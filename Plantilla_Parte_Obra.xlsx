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bajo\Desktop\"/>
    </mc:Choice>
  </mc:AlternateContent>
  <xr:revisionPtr revIDLastSave="0" documentId="13_ncr:1_{1545FC3F-36AE-41F1-AE7B-AD50763C264F}" xr6:coauthVersionLast="47" xr6:coauthVersionMax="47" xr10:uidLastSave="{00000000-0000-0000-0000-000000000000}"/>
  <bookViews>
    <workbookView xWindow="28680" yWindow="-120" windowWidth="29040" windowHeight="15720" tabRatio="655" xr2:uid="{00000000-000D-0000-FFFF-FFFF00000000}"/>
  </bookViews>
  <sheets>
    <sheet name="Actuación" sheetId="149" r:id="rId1"/>
    <sheet name="Maestro Materiales" sheetId="72" state="hidden" r:id="rId2"/>
    <sheet name="Baremos anteriores" sheetId="154" state="hidden" r:id="rId3"/>
    <sheet name="Baremos actuales" sheetId="155" state="hidden" r:id="rId4"/>
  </sheets>
  <definedNames>
    <definedName name="_xlnm._FilterDatabase" localSheetId="0" hidden="1">Actuación!$A$9:$M$1010</definedName>
    <definedName name="_xlnm._FilterDatabase" localSheetId="3" hidden="1">'Baremos actuales'!$A$1:$J$657</definedName>
    <definedName name="_xlnm._FilterDatabase" localSheetId="2" hidden="1">'Baremos anteriores'!$A$1:$J$504</definedName>
    <definedName name="_xlnm._FilterDatabase" localSheetId="1" hidden="1">'Maestro Materiales'!$A$1:$D$1</definedName>
    <definedName name="ALIAS" localSheetId="0">Actuación!$C$8:$C$401</definedName>
    <definedName name="ALIAS">#REF!</definedName>
    <definedName name="baremo">#REF!</definedName>
    <definedName name="BAREMOS" localSheetId="0">Actuación!$G$8:$G$401</definedName>
    <definedName name="BAREMOS">#REF!</definedName>
    <definedName name="BORRA" localSheetId="0">Actuación!#REF!</definedName>
    <definedName name="BORRA">#REF!</definedName>
    <definedName name="codigo">#REF!</definedName>
    <definedName name="CODIGOS" localSheetId="0">Actuación!$B$8:$B$401</definedName>
    <definedName name="CODIGOS">#REF!</definedName>
    <definedName name="concepto">#REF!</definedName>
    <definedName name="datos" localSheetId="0">Actuación!#REF!</definedName>
    <definedName name="datos">#REF!</definedName>
    <definedName name="TIPO" localSheetId="0">Actuación!$H$8:$H$401</definedName>
    <definedName name="TIPO">#REF!</definedName>
    <definedName name="_xlnm.Print_Titles" localSheetId="0">Actuación!$2:$14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49" l="1"/>
  <c r="D11" i="149"/>
  <c r="D12" i="149"/>
  <c r="F12" i="149" s="1"/>
  <c r="D13" i="149"/>
  <c r="F13" i="149" s="1"/>
  <c r="D14" i="149"/>
  <c r="F14" i="149" s="1"/>
  <c r="D15" i="149"/>
  <c r="F15" i="149" s="1"/>
  <c r="D16" i="149"/>
  <c r="F16" i="149" s="1"/>
  <c r="D17" i="149"/>
  <c r="F17" i="149" s="1"/>
  <c r="D18" i="149"/>
  <c r="F18" i="149" s="1"/>
  <c r="D19" i="149"/>
  <c r="F19" i="149" s="1"/>
  <c r="D20" i="149"/>
  <c r="F20" i="149" s="1"/>
  <c r="D21" i="149"/>
  <c r="F21" i="149" s="1"/>
  <c r="D22" i="149"/>
  <c r="D23" i="149"/>
  <c r="F23" i="149" s="1"/>
  <c r="D24" i="149"/>
  <c r="F24" i="149" s="1"/>
  <c r="D25" i="149"/>
  <c r="F25" i="149" s="1"/>
  <c r="D26" i="149"/>
  <c r="F26" i="149" s="1"/>
  <c r="D27" i="149"/>
  <c r="F27" i="149" s="1"/>
  <c r="D28" i="149"/>
  <c r="D29" i="149"/>
  <c r="F29" i="149" s="1"/>
  <c r="D30" i="149"/>
  <c r="D31" i="149"/>
  <c r="D32" i="149"/>
  <c r="F32" i="149" s="1"/>
  <c r="D33" i="149"/>
  <c r="F33" i="149" s="1"/>
  <c r="D34" i="149"/>
  <c r="F34" i="149" s="1"/>
  <c r="D35" i="149"/>
  <c r="F35" i="149" s="1"/>
  <c r="D36" i="149"/>
  <c r="F36" i="149" s="1"/>
  <c r="D37" i="149"/>
  <c r="D38" i="149"/>
  <c r="D39" i="149"/>
  <c r="F39" i="149" s="1"/>
  <c r="D40" i="149"/>
  <c r="F40" i="149" s="1"/>
  <c r="D41" i="149"/>
  <c r="F41" i="149" s="1"/>
  <c r="D42" i="149"/>
  <c r="F42" i="149" s="1"/>
  <c r="D43" i="149"/>
  <c r="F43" i="149" s="1"/>
  <c r="D44" i="149"/>
  <c r="D45" i="149"/>
  <c r="D46" i="149"/>
  <c r="D47" i="149"/>
  <c r="F47" i="149" s="1"/>
  <c r="D48" i="149"/>
  <c r="F48" i="149" s="1"/>
  <c r="D49" i="149"/>
  <c r="F49" i="149" s="1"/>
  <c r="D50" i="149"/>
  <c r="F50" i="149" s="1"/>
  <c r="D51" i="149"/>
  <c r="F51" i="149" s="1"/>
  <c r="D52" i="149"/>
  <c r="D53" i="149"/>
  <c r="D54" i="149"/>
  <c r="D55" i="149"/>
  <c r="F55" i="149" s="1"/>
  <c r="D56" i="149"/>
  <c r="F56" i="149" s="1"/>
  <c r="D57" i="149"/>
  <c r="F57" i="149" s="1"/>
  <c r="D58" i="149"/>
  <c r="F58" i="149" s="1"/>
  <c r="D59" i="149"/>
  <c r="F59" i="149" s="1"/>
  <c r="D60" i="149"/>
  <c r="F60" i="149" s="1"/>
  <c r="D61" i="149"/>
  <c r="F61" i="149" s="1"/>
  <c r="D62" i="149"/>
  <c r="F62" i="149" s="1"/>
  <c r="D63" i="149"/>
  <c r="F63" i="149" s="1"/>
  <c r="D64" i="149"/>
  <c r="F64" i="149" s="1"/>
  <c r="D65" i="149"/>
  <c r="F65" i="149" s="1"/>
  <c r="D66" i="149"/>
  <c r="F66" i="149" s="1"/>
  <c r="D67" i="149"/>
  <c r="F67" i="149" s="1"/>
  <c r="D68" i="149"/>
  <c r="D69" i="149"/>
  <c r="F69" i="149" s="1"/>
  <c r="D70" i="149"/>
  <c r="F70" i="149" s="1"/>
  <c r="D71" i="149"/>
  <c r="F71" i="149" s="1"/>
  <c r="D72" i="149"/>
  <c r="F72" i="149" s="1"/>
  <c r="D73" i="149"/>
  <c r="F73" i="149" s="1"/>
  <c r="D74" i="149"/>
  <c r="F74" i="149" s="1"/>
  <c r="D75" i="149"/>
  <c r="F75" i="149" s="1"/>
  <c r="D76" i="149"/>
  <c r="F76" i="149" s="1"/>
  <c r="D77" i="149"/>
  <c r="D78" i="149"/>
  <c r="F78" i="149" s="1"/>
  <c r="D79" i="149"/>
  <c r="F79" i="149" s="1"/>
  <c r="D80" i="149"/>
  <c r="F80" i="149" s="1"/>
  <c r="D81" i="149"/>
  <c r="F81" i="149" s="1"/>
  <c r="D82" i="149"/>
  <c r="F82" i="149" s="1"/>
  <c r="D83" i="149"/>
  <c r="F83" i="149" s="1"/>
  <c r="D84" i="149"/>
  <c r="D85" i="149"/>
  <c r="F85" i="149" s="1"/>
  <c r="D86" i="149"/>
  <c r="D87" i="149"/>
  <c r="F87" i="149" s="1"/>
  <c r="D88" i="149"/>
  <c r="F88" i="149" s="1"/>
  <c r="D89" i="149"/>
  <c r="F89" i="149" s="1"/>
  <c r="D90" i="149"/>
  <c r="F90" i="149" s="1"/>
  <c r="D91" i="149"/>
  <c r="F91" i="149" s="1"/>
  <c r="D92" i="149"/>
  <c r="D93" i="149"/>
  <c r="F93" i="149" s="1"/>
  <c r="D94" i="149"/>
  <c r="F94" i="149" s="1"/>
  <c r="D95" i="149"/>
  <c r="F95" i="149" s="1"/>
  <c r="D96" i="149"/>
  <c r="F96" i="149" s="1"/>
  <c r="D97" i="149"/>
  <c r="F97" i="149" s="1"/>
  <c r="D98" i="149"/>
  <c r="F98" i="149" s="1"/>
  <c r="D99" i="149"/>
  <c r="F99" i="149" s="1"/>
  <c r="D100" i="149"/>
  <c r="F100" i="149" s="1"/>
  <c r="D101" i="149"/>
  <c r="F101" i="149" s="1"/>
  <c r="D102" i="149"/>
  <c r="F102" i="149" s="1"/>
  <c r="D103" i="149"/>
  <c r="F103" i="149" s="1"/>
  <c r="D104" i="149"/>
  <c r="F104" i="149" s="1"/>
  <c r="D105" i="149"/>
  <c r="F105" i="149" s="1"/>
  <c r="D106" i="149"/>
  <c r="F106" i="149" s="1"/>
  <c r="D107" i="149"/>
  <c r="F107" i="149" s="1"/>
  <c r="D108" i="149"/>
  <c r="D109" i="149"/>
  <c r="F109" i="149" s="1"/>
  <c r="D110" i="149"/>
  <c r="F110" i="149" s="1"/>
  <c r="D111" i="149"/>
  <c r="F111" i="149" s="1"/>
  <c r="D112" i="149"/>
  <c r="F112" i="149" s="1"/>
  <c r="D113" i="149"/>
  <c r="F113" i="149" s="1"/>
  <c r="D114" i="149"/>
  <c r="F114" i="149" s="1"/>
  <c r="D115" i="149"/>
  <c r="F115" i="149" s="1"/>
  <c r="D116" i="149"/>
  <c r="F116" i="149" s="1"/>
  <c r="D117" i="149"/>
  <c r="D118" i="149"/>
  <c r="F118" i="149" s="1"/>
  <c r="D119" i="149"/>
  <c r="F119" i="149" s="1"/>
  <c r="D120" i="149"/>
  <c r="F120" i="149" s="1"/>
  <c r="D121" i="149"/>
  <c r="F121" i="149" s="1"/>
  <c r="D122" i="149"/>
  <c r="F122" i="149" s="1"/>
  <c r="D123" i="149"/>
  <c r="F123" i="149" s="1"/>
  <c r="D124" i="149"/>
  <c r="D125" i="149"/>
  <c r="D126" i="149"/>
  <c r="F126" i="149" s="1"/>
  <c r="D127" i="149"/>
  <c r="F127" i="149" s="1"/>
  <c r="D128" i="149"/>
  <c r="F128" i="149" s="1"/>
  <c r="D129" i="149"/>
  <c r="F129" i="149" s="1"/>
  <c r="D130" i="149"/>
  <c r="F130" i="149" s="1"/>
  <c r="D131" i="149"/>
  <c r="F131" i="149" s="1"/>
  <c r="D132" i="149"/>
  <c r="D133" i="149"/>
  <c r="D134" i="149"/>
  <c r="D135" i="149"/>
  <c r="F135" i="149" s="1"/>
  <c r="D136" i="149"/>
  <c r="F136" i="149" s="1"/>
  <c r="D137" i="149"/>
  <c r="F137" i="149" s="1"/>
  <c r="D138" i="149"/>
  <c r="F138" i="149" s="1"/>
  <c r="D139" i="149"/>
  <c r="F139" i="149" s="1"/>
  <c r="D140" i="149"/>
  <c r="F140" i="149" s="1"/>
  <c r="D141" i="149"/>
  <c r="F141" i="149" s="1"/>
  <c r="D142" i="149"/>
  <c r="D143" i="149"/>
  <c r="F143" i="149" s="1"/>
  <c r="D144" i="149"/>
  <c r="F144" i="149" s="1"/>
  <c r="D145" i="149"/>
  <c r="F145" i="149" s="1"/>
  <c r="D146" i="149"/>
  <c r="F146" i="149" s="1"/>
  <c r="D147" i="149"/>
  <c r="F147" i="149" s="1"/>
  <c r="D148" i="149"/>
  <c r="F148" i="149" s="1"/>
  <c r="D149" i="149"/>
  <c r="F149" i="149" s="1"/>
  <c r="D150" i="149"/>
  <c r="D151" i="149"/>
  <c r="F151" i="149" s="1"/>
  <c r="D152" i="149"/>
  <c r="F152" i="149" s="1"/>
  <c r="D153" i="149"/>
  <c r="F153" i="149" s="1"/>
  <c r="D154" i="149"/>
  <c r="F154" i="149" s="1"/>
  <c r="D155" i="149"/>
  <c r="F155" i="149" s="1"/>
  <c r="D156" i="149"/>
  <c r="F156" i="149" s="1"/>
  <c r="D157" i="149"/>
  <c r="F157" i="149" s="1"/>
  <c r="D158" i="149"/>
  <c r="D159" i="149"/>
  <c r="F159" i="149" s="1"/>
  <c r="D160" i="149"/>
  <c r="F160" i="149" s="1"/>
  <c r="D161" i="149"/>
  <c r="F161" i="149" s="1"/>
  <c r="D162" i="149"/>
  <c r="F162" i="149" s="1"/>
  <c r="D163" i="149"/>
  <c r="F163" i="149" s="1"/>
  <c r="D164" i="149"/>
  <c r="F164" i="149" s="1"/>
  <c r="D165" i="149"/>
  <c r="F165" i="149" s="1"/>
  <c r="D166" i="149"/>
  <c r="D167" i="149"/>
  <c r="F167" i="149" s="1"/>
  <c r="D168" i="149"/>
  <c r="F168" i="149" s="1"/>
  <c r="D169" i="149"/>
  <c r="F169" i="149" s="1"/>
  <c r="D170" i="149"/>
  <c r="F170" i="149" s="1"/>
  <c r="D171" i="149"/>
  <c r="F171" i="149" s="1"/>
  <c r="D172" i="149"/>
  <c r="D173" i="149"/>
  <c r="F173" i="149" s="1"/>
  <c r="D174" i="149"/>
  <c r="F174" i="149" s="1"/>
  <c r="D175" i="149"/>
  <c r="F175" i="149" s="1"/>
  <c r="D176" i="149"/>
  <c r="F176" i="149" s="1"/>
  <c r="D177" i="149"/>
  <c r="F177" i="149" s="1"/>
  <c r="D178" i="149"/>
  <c r="F178" i="149" s="1"/>
  <c r="D179" i="149"/>
  <c r="F179" i="149" s="1"/>
  <c r="D180" i="149"/>
  <c r="F180" i="149" s="1"/>
  <c r="D181" i="149"/>
  <c r="D182" i="149"/>
  <c r="F182" i="149" s="1"/>
  <c r="D183" i="149"/>
  <c r="F183" i="149" s="1"/>
  <c r="D184" i="149"/>
  <c r="F184" i="149" s="1"/>
  <c r="D185" i="149"/>
  <c r="F185" i="149" s="1"/>
  <c r="D186" i="149"/>
  <c r="F186" i="149" s="1"/>
  <c r="D187" i="149"/>
  <c r="F187" i="149" s="1"/>
  <c r="D188" i="149"/>
  <c r="F188" i="149" s="1"/>
  <c r="D189" i="149"/>
  <c r="F189" i="149" s="1"/>
  <c r="D190" i="149"/>
  <c r="D191" i="149"/>
  <c r="F191" i="149" s="1"/>
  <c r="D192" i="149"/>
  <c r="F192" i="149" s="1"/>
  <c r="D193" i="149"/>
  <c r="F193" i="149" s="1"/>
  <c r="D194" i="149"/>
  <c r="F194" i="149" s="1"/>
  <c r="D195" i="149"/>
  <c r="F195" i="149" s="1"/>
  <c r="D196" i="149"/>
  <c r="F196" i="149" s="1"/>
  <c r="D197" i="149"/>
  <c r="D198" i="149"/>
  <c r="D199" i="149"/>
  <c r="F199" i="149" s="1"/>
  <c r="D200" i="149"/>
  <c r="F200" i="149" s="1"/>
  <c r="D201" i="149"/>
  <c r="F201" i="149" s="1"/>
  <c r="D202" i="149"/>
  <c r="F202" i="149" s="1"/>
  <c r="D203" i="149"/>
  <c r="F203" i="149" s="1"/>
  <c r="D204" i="149"/>
  <c r="F204" i="149" s="1"/>
  <c r="D205" i="149"/>
  <c r="F205" i="149" s="1"/>
  <c r="D206" i="149"/>
  <c r="F206" i="149" s="1"/>
  <c r="D207" i="149"/>
  <c r="F207" i="149" s="1"/>
  <c r="D208" i="149"/>
  <c r="F208" i="149" s="1"/>
  <c r="D209" i="149"/>
  <c r="F209" i="149" s="1"/>
  <c r="D210" i="149"/>
  <c r="F210" i="149" s="1"/>
  <c r="D211" i="149"/>
  <c r="F211" i="149" s="1"/>
  <c r="D212" i="149"/>
  <c r="D213" i="149"/>
  <c r="F213" i="149" s="1"/>
  <c r="D214" i="149"/>
  <c r="F214" i="149" s="1"/>
  <c r="D215" i="149"/>
  <c r="F215" i="149" s="1"/>
  <c r="D216" i="149"/>
  <c r="F216" i="149" s="1"/>
  <c r="D217" i="149"/>
  <c r="F217" i="149" s="1"/>
  <c r="D218" i="149"/>
  <c r="F218" i="149" s="1"/>
  <c r="D219" i="149"/>
  <c r="F219" i="149" s="1"/>
  <c r="D220" i="149"/>
  <c r="F220" i="149" s="1"/>
  <c r="D221" i="149"/>
  <c r="F221" i="149" s="1"/>
  <c r="D222" i="149"/>
  <c r="D223" i="149"/>
  <c r="F223" i="149" s="1"/>
  <c r="D224" i="149"/>
  <c r="F224" i="149" s="1"/>
  <c r="D225" i="149"/>
  <c r="F225" i="149" s="1"/>
  <c r="D226" i="149"/>
  <c r="F226" i="149" s="1"/>
  <c r="D227" i="149"/>
  <c r="F227" i="149" s="1"/>
  <c r="D228" i="149"/>
  <c r="D229" i="149"/>
  <c r="F229" i="149" s="1"/>
  <c r="D230" i="149"/>
  <c r="D231" i="149"/>
  <c r="F231" i="149" s="1"/>
  <c r="D232" i="149"/>
  <c r="F232" i="149" s="1"/>
  <c r="D233" i="149"/>
  <c r="F233" i="149" s="1"/>
  <c r="D234" i="149"/>
  <c r="F234" i="149" s="1"/>
  <c r="D235" i="149"/>
  <c r="F235" i="149" s="1"/>
  <c r="D236" i="149"/>
  <c r="F236" i="149" s="1"/>
  <c r="D237" i="149"/>
  <c r="D238" i="149"/>
  <c r="F238" i="149" s="1"/>
  <c r="D239" i="149"/>
  <c r="F239" i="149" s="1"/>
  <c r="D240" i="149"/>
  <c r="F240" i="149" s="1"/>
  <c r="D241" i="149"/>
  <c r="F241" i="149" s="1"/>
  <c r="D242" i="149"/>
  <c r="F242" i="149" s="1"/>
  <c r="D243" i="149"/>
  <c r="F243" i="149" s="1"/>
  <c r="D244" i="149"/>
  <c r="F244" i="149" s="1"/>
  <c r="D245" i="149"/>
  <c r="F245" i="149" s="1"/>
  <c r="D246" i="149"/>
  <c r="F246" i="149" s="1"/>
  <c r="D247" i="149"/>
  <c r="F247" i="149" s="1"/>
  <c r="D248" i="149"/>
  <c r="F248" i="149" s="1"/>
  <c r="D249" i="149"/>
  <c r="F249" i="149" s="1"/>
  <c r="D250" i="149"/>
  <c r="F250" i="149" s="1"/>
  <c r="D251" i="149"/>
  <c r="F251" i="149" s="1"/>
  <c r="D252" i="149"/>
  <c r="D253" i="149"/>
  <c r="D254" i="149"/>
  <c r="D255" i="149"/>
  <c r="F255" i="149" s="1"/>
  <c r="D256" i="149"/>
  <c r="F256" i="149" s="1"/>
  <c r="D257" i="149"/>
  <c r="F257" i="149" s="1"/>
  <c r="D258" i="149"/>
  <c r="F258" i="149" s="1"/>
  <c r="D259" i="149"/>
  <c r="F259" i="149" s="1"/>
  <c r="D260" i="149"/>
  <c r="D261" i="149"/>
  <c r="D262" i="149"/>
  <c r="D263" i="149"/>
  <c r="F263" i="149" s="1"/>
  <c r="D264" i="149"/>
  <c r="F264" i="149" s="1"/>
  <c r="D265" i="149"/>
  <c r="F265" i="149" s="1"/>
  <c r="D266" i="149"/>
  <c r="F266" i="149" s="1"/>
  <c r="D267" i="149"/>
  <c r="F267" i="149" s="1"/>
  <c r="D268" i="149"/>
  <c r="F268" i="149" s="1"/>
  <c r="D269" i="149"/>
  <c r="F269" i="149" s="1"/>
  <c r="D270" i="149"/>
  <c r="F270" i="149" s="1"/>
  <c r="D271" i="149"/>
  <c r="F271" i="149" s="1"/>
  <c r="D272" i="149"/>
  <c r="F272" i="149" s="1"/>
  <c r="D273" i="149"/>
  <c r="F273" i="149" s="1"/>
  <c r="D274" i="149"/>
  <c r="F274" i="149" s="1"/>
  <c r="D275" i="149"/>
  <c r="F275" i="149" s="1"/>
  <c r="D276" i="149"/>
  <c r="F276" i="149" s="1"/>
  <c r="D277" i="149"/>
  <c r="D278" i="149"/>
  <c r="F278" i="149" s="1"/>
  <c r="D279" i="149"/>
  <c r="F279" i="149" s="1"/>
  <c r="D280" i="149"/>
  <c r="F280" i="149" s="1"/>
  <c r="D281" i="149"/>
  <c r="F281" i="149" s="1"/>
  <c r="D282" i="149"/>
  <c r="F282" i="149" s="1"/>
  <c r="D283" i="149"/>
  <c r="F283" i="149" s="1"/>
  <c r="D284" i="149"/>
  <c r="F284" i="149" s="1"/>
  <c r="D285" i="149"/>
  <c r="D286" i="149"/>
  <c r="D287" i="149"/>
  <c r="F287" i="149" s="1"/>
  <c r="D288" i="149"/>
  <c r="F288" i="149" s="1"/>
  <c r="D289" i="149"/>
  <c r="F289" i="149" s="1"/>
  <c r="D290" i="149"/>
  <c r="F290" i="149" s="1"/>
  <c r="D291" i="149"/>
  <c r="F291" i="149" s="1"/>
  <c r="D292" i="149"/>
  <c r="F292" i="149" s="1"/>
  <c r="D293" i="149"/>
  <c r="F293" i="149" s="1"/>
  <c r="D294" i="149"/>
  <c r="D295" i="149"/>
  <c r="F295" i="149" s="1"/>
  <c r="D296" i="149"/>
  <c r="F296" i="149" s="1"/>
  <c r="D297" i="149"/>
  <c r="F297" i="149" s="1"/>
  <c r="D298" i="149"/>
  <c r="F298" i="149" s="1"/>
  <c r="D299" i="149"/>
  <c r="F299" i="149" s="1"/>
  <c r="D300" i="149"/>
  <c r="F300" i="149" s="1"/>
  <c r="D301" i="149"/>
  <c r="F301" i="149" s="1"/>
  <c r="D302" i="149"/>
  <c r="F302" i="149" s="1"/>
  <c r="D303" i="149"/>
  <c r="F303" i="149" s="1"/>
  <c r="D304" i="149"/>
  <c r="F304" i="149" s="1"/>
  <c r="D305" i="149"/>
  <c r="F305" i="149" s="1"/>
  <c r="D306" i="149"/>
  <c r="F306" i="149" s="1"/>
  <c r="D307" i="149"/>
  <c r="F307" i="149" s="1"/>
  <c r="D308" i="149"/>
  <c r="F308" i="149" s="1"/>
  <c r="D309" i="149"/>
  <c r="F309" i="149" s="1"/>
  <c r="D310" i="149"/>
  <c r="F310" i="149" s="1"/>
  <c r="D311" i="149"/>
  <c r="F311" i="149" s="1"/>
  <c r="D312" i="149"/>
  <c r="F312" i="149" s="1"/>
  <c r="D313" i="149"/>
  <c r="F313" i="149" s="1"/>
  <c r="D314" i="149"/>
  <c r="F314" i="149" s="1"/>
  <c r="D315" i="149"/>
  <c r="F315" i="149" s="1"/>
  <c r="D316" i="149"/>
  <c r="D317" i="149"/>
  <c r="D318" i="149"/>
  <c r="F318" i="149" s="1"/>
  <c r="D319" i="149"/>
  <c r="D320" i="149"/>
  <c r="F320" i="149" s="1"/>
  <c r="D321" i="149"/>
  <c r="F321" i="149" s="1"/>
  <c r="D322" i="149"/>
  <c r="F322" i="149" s="1"/>
  <c r="D323" i="149"/>
  <c r="F323" i="149" s="1"/>
  <c r="D324" i="149"/>
  <c r="F324" i="149" s="1"/>
  <c r="D325" i="149"/>
  <c r="F325" i="149" s="1"/>
  <c r="D326" i="149"/>
  <c r="F326" i="149" s="1"/>
  <c r="D327" i="149"/>
  <c r="F327" i="149" s="1"/>
  <c r="D328" i="149"/>
  <c r="F328" i="149" s="1"/>
  <c r="D329" i="149"/>
  <c r="F329" i="149" s="1"/>
  <c r="D330" i="149"/>
  <c r="F330" i="149" s="1"/>
  <c r="D331" i="149"/>
  <c r="F331" i="149" s="1"/>
  <c r="D332" i="149"/>
  <c r="D333" i="149"/>
  <c r="F333" i="149" s="1"/>
  <c r="D334" i="149"/>
  <c r="F334" i="149" s="1"/>
  <c r="D335" i="149"/>
  <c r="F335" i="149" s="1"/>
  <c r="D336" i="149"/>
  <c r="F336" i="149" s="1"/>
  <c r="D337" i="149"/>
  <c r="F337" i="149" s="1"/>
  <c r="D338" i="149"/>
  <c r="F338" i="149" s="1"/>
  <c r="D339" i="149"/>
  <c r="F339" i="149" s="1"/>
  <c r="D340" i="149"/>
  <c r="D341" i="149"/>
  <c r="F341" i="149" s="1"/>
  <c r="D342" i="149"/>
  <c r="D343" i="149"/>
  <c r="F343" i="149" s="1"/>
  <c r="D344" i="149"/>
  <c r="F344" i="149" s="1"/>
  <c r="D345" i="149"/>
  <c r="F345" i="149" s="1"/>
  <c r="D346" i="149"/>
  <c r="F346" i="149" s="1"/>
  <c r="D347" i="149"/>
  <c r="F347" i="149" s="1"/>
  <c r="D348" i="149"/>
  <c r="F348" i="149" s="1"/>
  <c r="D349" i="149"/>
  <c r="D350" i="149"/>
  <c r="F350" i="149" s="1"/>
  <c r="D351" i="149"/>
  <c r="F351" i="149" s="1"/>
  <c r="D352" i="149"/>
  <c r="F352" i="149" s="1"/>
  <c r="D353" i="149"/>
  <c r="F353" i="149" s="1"/>
  <c r="D354" i="149"/>
  <c r="F354" i="149" s="1"/>
  <c r="D355" i="149"/>
  <c r="F355" i="149" s="1"/>
  <c r="D356" i="149"/>
  <c r="F356" i="149" s="1"/>
  <c r="D357" i="149"/>
  <c r="F357" i="149" s="1"/>
  <c r="D358" i="149"/>
  <c r="D359" i="149"/>
  <c r="F359" i="149" s="1"/>
  <c r="D360" i="149"/>
  <c r="F360" i="149" s="1"/>
  <c r="D361" i="149"/>
  <c r="F361" i="149" s="1"/>
  <c r="D362" i="149"/>
  <c r="F362" i="149" s="1"/>
  <c r="D363" i="149"/>
  <c r="F363" i="149" s="1"/>
  <c r="D364" i="149"/>
  <c r="D365" i="149"/>
  <c r="D366" i="149"/>
  <c r="F366" i="149" s="1"/>
  <c r="D367" i="149"/>
  <c r="F367" i="149" s="1"/>
  <c r="D368" i="149"/>
  <c r="F368" i="149" s="1"/>
  <c r="D369" i="149"/>
  <c r="F369" i="149" s="1"/>
  <c r="D370" i="149"/>
  <c r="F370" i="149" s="1"/>
  <c r="D371" i="149"/>
  <c r="F371" i="149" s="1"/>
  <c r="D372" i="149"/>
  <c r="D373" i="149"/>
  <c r="F373" i="149" s="1"/>
  <c r="D374" i="149"/>
  <c r="F374" i="149" s="1"/>
  <c r="D375" i="149"/>
  <c r="F375" i="149" s="1"/>
  <c r="D376" i="149"/>
  <c r="F376" i="149" s="1"/>
  <c r="D377" i="149"/>
  <c r="F377" i="149" s="1"/>
  <c r="D378" i="149"/>
  <c r="F378" i="149" s="1"/>
  <c r="D379" i="149"/>
  <c r="F379" i="149" s="1"/>
  <c r="D380" i="149"/>
  <c r="F380" i="149" s="1"/>
  <c r="D381" i="149"/>
  <c r="D382" i="149"/>
  <c r="F382" i="149" s="1"/>
  <c r="D383" i="149"/>
  <c r="F383" i="149" s="1"/>
  <c r="D384" i="149"/>
  <c r="F384" i="149" s="1"/>
  <c r="D385" i="149"/>
  <c r="F385" i="149" s="1"/>
  <c r="D386" i="149"/>
  <c r="F386" i="149" s="1"/>
  <c r="D387" i="149"/>
  <c r="F387" i="149" s="1"/>
  <c r="D388" i="149"/>
  <c r="D389" i="149"/>
  <c r="F389" i="149" s="1"/>
  <c r="D390" i="149"/>
  <c r="D391" i="149"/>
  <c r="F391" i="149" s="1"/>
  <c r="D392" i="149"/>
  <c r="F392" i="149" s="1"/>
  <c r="D393" i="149"/>
  <c r="F393" i="149" s="1"/>
  <c r="D394" i="149"/>
  <c r="F394" i="149" s="1"/>
  <c r="D395" i="149"/>
  <c r="F395" i="149" s="1"/>
  <c r="D396" i="149"/>
  <c r="F396" i="149" s="1"/>
  <c r="D397" i="149"/>
  <c r="D398" i="149"/>
  <c r="F398" i="149" s="1"/>
  <c r="D399" i="149"/>
  <c r="F399" i="149" s="1"/>
  <c r="D400" i="149"/>
  <c r="F400" i="149" s="1"/>
  <c r="D401" i="149"/>
  <c r="F401" i="149" s="1"/>
  <c r="D402" i="149"/>
  <c r="F402" i="149" s="1"/>
  <c r="D403" i="149"/>
  <c r="F403" i="149" s="1"/>
  <c r="D404" i="149"/>
  <c r="D405" i="149"/>
  <c r="F405" i="149" s="1"/>
  <c r="D406" i="149"/>
  <c r="F406" i="149" s="1"/>
  <c r="D407" i="149"/>
  <c r="F407" i="149" s="1"/>
  <c r="D408" i="149"/>
  <c r="F408" i="149" s="1"/>
  <c r="D409" i="149"/>
  <c r="F409" i="149" s="1"/>
  <c r="D410" i="149"/>
  <c r="F410" i="149" s="1"/>
  <c r="D411" i="149"/>
  <c r="F411" i="149" s="1"/>
  <c r="D412" i="149"/>
  <c r="D413" i="149"/>
  <c r="D414" i="149"/>
  <c r="F414" i="149" s="1"/>
  <c r="D415" i="149"/>
  <c r="F415" i="149" s="1"/>
  <c r="D416" i="149"/>
  <c r="F416" i="149" s="1"/>
  <c r="D417" i="149"/>
  <c r="F417" i="149" s="1"/>
  <c r="D418" i="149"/>
  <c r="F418" i="149" s="1"/>
  <c r="D419" i="149"/>
  <c r="F419" i="149" s="1"/>
  <c r="D420" i="149"/>
  <c r="F420" i="149" s="1"/>
  <c r="D421" i="149"/>
  <c r="F421" i="149" s="1"/>
  <c r="D422" i="149"/>
  <c r="D423" i="149"/>
  <c r="F423" i="149" s="1"/>
  <c r="D424" i="149"/>
  <c r="F424" i="149" s="1"/>
  <c r="D425" i="149"/>
  <c r="F425" i="149" s="1"/>
  <c r="D426" i="149"/>
  <c r="F426" i="149" s="1"/>
  <c r="D427" i="149"/>
  <c r="F427" i="149" s="1"/>
  <c r="D428" i="149"/>
  <c r="F428" i="149" s="1"/>
  <c r="D429" i="149"/>
  <c r="D430" i="149"/>
  <c r="D431" i="149"/>
  <c r="F431" i="149" s="1"/>
  <c r="D432" i="149"/>
  <c r="F432" i="149" s="1"/>
  <c r="D433" i="149"/>
  <c r="F433" i="149" s="1"/>
  <c r="D434" i="149"/>
  <c r="F434" i="149" s="1"/>
  <c r="D435" i="149"/>
  <c r="F435" i="149" s="1"/>
  <c r="D436" i="149"/>
  <c r="F436" i="149" s="1"/>
  <c r="D437" i="149"/>
  <c r="D438" i="149"/>
  <c r="D439" i="149"/>
  <c r="D440" i="149"/>
  <c r="F440" i="149" s="1"/>
  <c r="D441" i="149"/>
  <c r="F441" i="149" s="1"/>
  <c r="D442" i="149"/>
  <c r="F442" i="149" s="1"/>
  <c r="D443" i="149"/>
  <c r="F443" i="149" s="1"/>
  <c r="D444" i="149"/>
  <c r="F444" i="149" s="1"/>
  <c r="D445" i="149"/>
  <c r="D446" i="149"/>
  <c r="F446" i="149" s="1"/>
  <c r="D447" i="149"/>
  <c r="F447" i="149" s="1"/>
  <c r="D448" i="149"/>
  <c r="F448" i="149" s="1"/>
  <c r="D449" i="149"/>
  <c r="F449" i="149" s="1"/>
  <c r="D450" i="149"/>
  <c r="F450" i="149" s="1"/>
  <c r="D451" i="149"/>
  <c r="F451" i="149" s="1"/>
  <c r="D452" i="149"/>
  <c r="F452" i="149" s="1"/>
  <c r="D453" i="149"/>
  <c r="F453" i="149" s="1"/>
  <c r="D454" i="149"/>
  <c r="D455" i="149"/>
  <c r="F455" i="149" s="1"/>
  <c r="D456" i="149"/>
  <c r="F456" i="149" s="1"/>
  <c r="D457" i="149"/>
  <c r="F457" i="149" s="1"/>
  <c r="D458" i="149"/>
  <c r="F458" i="149" s="1"/>
  <c r="D459" i="149"/>
  <c r="F459" i="149" s="1"/>
  <c r="D460" i="149"/>
  <c r="F460" i="149" s="1"/>
  <c r="D461" i="149"/>
  <c r="D462" i="149"/>
  <c r="D463" i="149"/>
  <c r="F463" i="149" s="1"/>
  <c r="D464" i="149"/>
  <c r="F464" i="149" s="1"/>
  <c r="D465" i="149"/>
  <c r="F465" i="149" s="1"/>
  <c r="D466" i="149"/>
  <c r="F466" i="149" s="1"/>
  <c r="D467" i="149"/>
  <c r="F467" i="149" s="1"/>
  <c r="D468" i="149"/>
  <c r="F468" i="149" s="1"/>
  <c r="D469" i="149"/>
  <c r="F469" i="149" s="1"/>
  <c r="D470" i="149"/>
  <c r="D471" i="149"/>
  <c r="F471" i="149" s="1"/>
  <c r="D472" i="149"/>
  <c r="F472" i="149" s="1"/>
  <c r="D473" i="149"/>
  <c r="F473" i="149" s="1"/>
  <c r="D474" i="149"/>
  <c r="F474" i="149" s="1"/>
  <c r="D475" i="149"/>
  <c r="F475" i="149" s="1"/>
  <c r="D476" i="149"/>
  <c r="F476" i="149" s="1"/>
  <c r="D477" i="149"/>
  <c r="F477" i="149" s="1"/>
  <c r="D478" i="149"/>
  <c r="D479" i="149"/>
  <c r="F479" i="149" s="1"/>
  <c r="D480" i="149"/>
  <c r="F480" i="149" s="1"/>
  <c r="D481" i="149"/>
  <c r="F481" i="149" s="1"/>
  <c r="D482" i="149"/>
  <c r="F482" i="149" s="1"/>
  <c r="D483" i="149"/>
  <c r="F483" i="149" s="1"/>
  <c r="D484" i="149"/>
  <c r="F484" i="149" s="1"/>
  <c r="D485" i="149"/>
  <c r="F485" i="149" s="1"/>
  <c r="D486" i="149"/>
  <c r="D487" i="149"/>
  <c r="F487" i="149" s="1"/>
  <c r="D488" i="149"/>
  <c r="F488" i="149" s="1"/>
  <c r="D489" i="149"/>
  <c r="F489" i="149" s="1"/>
  <c r="D490" i="149"/>
  <c r="F490" i="149" s="1"/>
  <c r="D491" i="149"/>
  <c r="F491" i="149" s="1"/>
  <c r="D492" i="149"/>
  <c r="D493" i="149"/>
  <c r="F493" i="149" s="1"/>
  <c r="D494" i="149"/>
  <c r="F494" i="149" s="1"/>
  <c r="D495" i="149"/>
  <c r="F495" i="149" s="1"/>
  <c r="D496" i="149"/>
  <c r="F496" i="149" s="1"/>
  <c r="D497" i="149"/>
  <c r="F497" i="149" s="1"/>
  <c r="D498" i="149"/>
  <c r="F498" i="149" s="1"/>
  <c r="D499" i="149"/>
  <c r="F499" i="149" s="1"/>
  <c r="D500" i="149"/>
  <c r="D501" i="149"/>
  <c r="D502" i="149"/>
  <c r="F502" i="149" s="1"/>
  <c r="D503" i="149"/>
  <c r="F503" i="149" s="1"/>
  <c r="D504" i="149"/>
  <c r="F504" i="149" s="1"/>
  <c r="D505" i="149"/>
  <c r="F505" i="149" s="1"/>
  <c r="D506" i="149"/>
  <c r="F506" i="149" s="1"/>
  <c r="D507" i="149"/>
  <c r="F507" i="149" s="1"/>
  <c r="D508" i="149"/>
  <c r="D509" i="149"/>
  <c r="F509" i="149" s="1"/>
  <c r="D510" i="149"/>
  <c r="F510" i="149" s="1"/>
  <c r="D511" i="149"/>
  <c r="F511" i="149" s="1"/>
  <c r="D512" i="149"/>
  <c r="F512" i="149" s="1"/>
  <c r="D513" i="149"/>
  <c r="F513" i="149" s="1"/>
  <c r="D514" i="149"/>
  <c r="F514" i="149" s="1"/>
  <c r="D515" i="149"/>
  <c r="F515" i="149" s="1"/>
  <c r="D516" i="149"/>
  <c r="D517" i="149"/>
  <c r="F517" i="149" s="1"/>
  <c r="D518" i="149"/>
  <c r="F518" i="149" s="1"/>
  <c r="D519" i="149"/>
  <c r="F519" i="149" s="1"/>
  <c r="D520" i="149"/>
  <c r="F520" i="149" s="1"/>
  <c r="D521" i="149"/>
  <c r="F521" i="149" s="1"/>
  <c r="D522" i="149"/>
  <c r="F522" i="149" s="1"/>
  <c r="D523" i="149"/>
  <c r="F523" i="149" s="1"/>
  <c r="D524" i="149"/>
  <c r="F524" i="149" s="1"/>
  <c r="D525" i="149"/>
  <c r="D526" i="149"/>
  <c r="F526" i="149" s="1"/>
  <c r="D527" i="149"/>
  <c r="F527" i="149" s="1"/>
  <c r="D528" i="149"/>
  <c r="F528" i="149" s="1"/>
  <c r="D529" i="149"/>
  <c r="F529" i="149" s="1"/>
  <c r="D530" i="149"/>
  <c r="F530" i="149" s="1"/>
  <c r="D531" i="149"/>
  <c r="F531" i="149" s="1"/>
  <c r="D532" i="149"/>
  <c r="F532" i="149" s="1"/>
  <c r="D533" i="149"/>
  <c r="D534" i="149"/>
  <c r="F534" i="149" s="1"/>
  <c r="D535" i="149"/>
  <c r="F535" i="149" s="1"/>
  <c r="D536" i="149"/>
  <c r="F536" i="149" s="1"/>
  <c r="D537" i="149"/>
  <c r="F537" i="149" s="1"/>
  <c r="D538" i="149"/>
  <c r="F538" i="149" s="1"/>
  <c r="D539" i="149"/>
  <c r="F539" i="149" s="1"/>
  <c r="D540" i="149"/>
  <c r="F540" i="149" s="1"/>
  <c r="D541" i="149"/>
  <c r="F541" i="149" s="1"/>
  <c r="D542" i="149"/>
  <c r="D543" i="149"/>
  <c r="F543" i="149" s="1"/>
  <c r="D544" i="149"/>
  <c r="F544" i="149" s="1"/>
  <c r="D545" i="149"/>
  <c r="F545" i="149" s="1"/>
  <c r="D546" i="149"/>
  <c r="F546" i="149" s="1"/>
  <c r="D547" i="149"/>
  <c r="F547" i="149" s="1"/>
  <c r="D548" i="149"/>
  <c r="F548" i="149" s="1"/>
  <c r="D549" i="149"/>
  <c r="D550" i="149"/>
  <c r="F550" i="149" s="1"/>
  <c r="D551" i="149"/>
  <c r="F551" i="149" s="1"/>
  <c r="D552" i="149"/>
  <c r="F552" i="149" s="1"/>
  <c r="D553" i="149"/>
  <c r="F553" i="149" s="1"/>
  <c r="D554" i="149"/>
  <c r="F554" i="149" s="1"/>
  <c r="D555" i="149"/>
  <c r="F555" i="149" s="1"/>
  <c r="D556" i="149"/>
  <c r="F556" i="149" s="1"/>
  <c r="D557" i="149"/>
  <c r="F557" i="149" s="1"/>
  <c r="D558" i="149"/>
  <c r="D559" i="149"/>
  <c r="F559" i="149" s="1"/>
  <c r="D560" i="149"/>
  <c r="F560" i="149" s="1"/>
  <c r="D561" i="149"/>
  <c r="F561" i="149" s="1"/>
  <c r="D562" i="149"/>
  <c r="F562" i="149" s="1"/>
  <c r="D563" i="149"/>
  <c r="F563" i="149" s="1"/>
  <c r="D564" i="149"/>
  <c r="D565" i="149"/>
  <c r="D566" i="149"/>
  <c r="F566" i="149" s="1"/>
  <c r="D567" i="149"/>
  <c r="F567" i="149" s="1"/>
  <c r="D568" i="149"/>
  <c r="F568" i="149" s="1"/>
  <c r="D569" i="149"/>
  <c r="F569" i="149" s="1"/>
  <c r="D570" i="149"/>
  <c r="F570" i="149" s="1"/>
  <c r="D571" i="149"/>
  <c r="F571" i="149" s="1"/>
  <c r="D572" i="149"/>
  <c r="F572" i="149" s="1"/>
  <c r="D573" i="149"/>
  <c r="F573" i="149" s="1"/>
  <c r="D574" i="149"/>
  <c r="D575" i="149"/>
  <c r="F575" i="149" s="1"/>
  <c r="D576" i="149"/>
  <c r="F576" i="149" s="1"/>
  <c r="D577" i="149"/>
  <c r="F577" i="149" s="1"/>
  <c r="D578" i="149"/>
  <c r="F578" i="149" s="1"/>
  <c r="D579" i="149"/>
  <c r="F579" i="149" s="1"/>
  <c r="D580" i="149"/>
  <c r="F580" i="149" s="1"/>
  <c r="D581" i="149"/>
  <c r="D582" i="149"/>
  <c r="F582" i="149" s="1"/>
  <c r="D583" i="149"/>
  <c r="F583" i="149" s="1"/>
  <c r="D584" i="149"/>
  <c r="F584" i="149" s="1"/>
  <c r="D585" i="149"/>
  <c r="F585" i="149" s="1"/>
  <c r="D586" i="149"/>
  <c r="F586" i="149" s="1"/>
  <c r="D587" i="149"/>
  <c r="F587" i="149" s="1"/>
  <c r="D588" i="149"/>
  <c r="F588" i="149" s="1"/>
  <c r="D589" i="149"/>
  <c r="D590" i="149"/>
  <c r="D591" i="149"/>
  <c r="F591" i="149" s="1"/>
  <c r="D592" i="149"/>
  <c r="F592" i="149" s="1"/>
  <c r="D593" i="149"/>
  <c r="F593" i="149" s="1"/>
  <c r="D594" i="149"/>
  <c r="F594" i="149" s="1"/>
  <c r="D595" i="149"/>
  <c r="F595" i="149" s="1"/>
  <c r="D596" i="149"/>
  <c r="F596" i="149" s="1"/>
  <c r="D597" i="149"/>
  <c r="F597" i="149" s="1"/>
  <c r="D598" i="149"/>
  <c r="D599" i="149"/>
  <c r="F599" i="149" s="1"/>
  <c r="D600" i="149"/>
  <c r="F600" i="149" s="1"/>
  <c r="D601" i="149"/>
  <c r="F601" i="149" s="1"/>
  <c r="D602" i="149"/>
  <c r="F602" i="149" s="1"/>
  <c r="D603" i="149"/>
  <c r="F603" i="149" s="1"/>
  <c r="D604" i="149"/>
  <c r="F604" i="149" s="1"/>
  <c r="D605" i="149"/>
  <c r="F605" i="149" s="1"/>
  <c r="D606" i="149"/>
  <c r="F606" i="149" s="1"/>
  <c r="D607" i="149"/>
  <c r="F607" i="149" s="1"/>
  <c r="D608" i="149"/>
  <c r="F608" i="149" s="1"/>
  <c r="D609" i="149"/>
  <c r="F609" i="149" s="1"/>
  <c r="D610" i="149"/>
  <c r="F610" i="149" s="1"/>
  <c r="D611" i="149"/>
  <c r="F611" i="149" s="1"/>
  <c r="D612" i="149"/>
  <c r="F612" i="149" s="1"/>
  <c r="D613" i="149"/>
  <c r="F613" i="149" s="1"/>
  <c r="D614" i="149"/>
  <c r="D615" i="149"/>
  <c r="F615" i="149" s="1"/>
  <c r="D616" i="149"/>
  <c r="F616" i="149" s="1"/>
  <c r="D617" i="149"/>
  <c r="F617" i="149" s="1"/>
  <c r="D618" i="149"/>
  <c r="F618" i="149" s="1"/>
  <c r="D619" i="149"/>
  <c r="F619" i="149" s="1"/>
  <c r="D620" i="149"/>
  <c r="F620" i="149" s="1"/>
  <c r="D621" i="149"/>
  <c r="F621" i="149" s="1"/>
  <c r="D622" i="149"/>
  <c r="D623" i="149"/>
  <c r="F623" i="149" s="1"/>
  <c r="D624" i="149"/>
  <c r="F624" i="149" s="1"/>
  <c r="D625" i="149"/>
  <c r="F625" i="149" s="1"/>
  <c r="D626" i="149"/>
  <c r="F626" i="149" s="1"/>
  <c r="D627" i="149"/>
  <c r="F627" i="149" s="1"/>
  <c r="D628" i="149"/>
  <c r="F628" i="149" s="1"/>
  <c r="D629" i="149"/>
  <c r="F629" i="149" s="1"/>
  <c r="D630" i="149"/>
  <c r="D631" i="149"/>
  <c r="F631" i="149" s="1"/>
  <c r="D632" i="149"/>
  <c r="F632" i="149" s="1"/>
  <c r="D633" i="149"/>
  <c r="F633" i="149" s="1"/>
  <c r="D634" i="149"/>
  <c r="F634" i="149" s="1"/>
  <c r="D635" i="149"/>
  <c r="F635" i="149" s="1"/>
  <c r="D636" i="149"/>
  <c r="F636" i="149" s="1"/>
  <c r="D637" i="149"/>
  <c r="D638" i="149"/>
  <c r="F638" i="149" s="1"/>
  <c r="D639" i="149"/>
  <c r="F639" i="149" s="1"/>
  <c r="D640" i="149"/>
  <c r="F640" i="149" s="1"/>
  <c r="D641" i="149"/>
  <c r="F641" i="149" s="1"/>
  <c r="D642" i="149"/>
  <c r="F642" i="149" s="1"/>
  <c r="D643" i="149"/>
  <c r="F643" i="149" s="1"/>
  <c r="D644" i="149"/>
  <c r="F644" i="149" s="1"/>
  <c r="D645" i="149"/>
  <c r="F645" i="149" s="1"/>
  <c r="D646" i="149"/>
  <c r="F646" i="149" s="1"/>
  <c r="D647" i="149"/>
  <c r="F647" i="149" s="1"/>
  <c r="D648" i="149"/>
  <c r="F648" i="149" s="1"/>
  <c r="D649" i="149"/>
  <c r="F649" i="149" s="1"/>
  <c r="D650" i="149"/>
  <c r="F650" i="149" s="1"/>
  <c r="D651" i="149"/>
  <c r="F651" i="149" s="1"/>
  <c r="D652" i="149"/>
  <c r="D653" i="149"/>
  <c r="F653" i="149" s="1"/>
  <c r="D654" i="149"/>
  <c r="F654" i="149" s="1"/>
  <c r="D655" i="149"/>
  <c r="F655" i="149" s="1"/>
  <c r="D656" i="149"/>
  <c r="F656" i="149" s="1"/>
  <c r="D657" i="149"/>
  <c r="F657" i="149" s="1"/>
  <c r="D658" i="149"/>
  <c r="F658" i="149" s="1"/>
  <c r="D659" i="149"/>
  <c r="F659" i="149" s="1"/>
  <c r="D660" i="149"/>
  <c r="F660" i="149" s="1"/>
  <c r="D661" i="149"/>
  <c r="F661" i="149" s="1"/>
  <c r="D662" i="149"/>
  <c r="D663" i="149"/>
  <c r="F663" i="149" s="1"/>
  <c r="D664" i="149"/>
  <c r="F664" i="149" s="1"/>
  <c r="D665" i="149"/>
  <c r="F665" i="149" s="1"/>
  <c r="D666" i="149"/>
  <c r="F666" i="149" s="1"/>
  <c r="D667" i="149"/>
  <c r="F667" i="149" s="1"/>
  <c r="D668" i="149"/>
  <c r="F668" i="149" s="1"/>
  <c r="D669" i="149"/>
  <c r="D670" i="149"/>
  <c r="F670" i="149" s="1"/>
  <c r="D671" i="149"/>
  <c r="F671" i="149" s="1"/>
  <c r="D672" i="149"/>
  <c r="F672" i="149" s="1"/>
  <c r="D673" i="149"/>
  <c r="F673" i="149" s="1"/>
  <c r="D674" i="149"/>
  <c r="F674" i="149" s="1"/>
  <c r="D675" i="149"/>
  <c r="F675" i="149" s="1"/>
  <c r="D676" i="149"/>
  <c r="D677" i="149"/>
  <c r="F677" i="149" s="1"/>
  <c r="D678" i="149"/>
  <c r="F678" i="149" s="1"/>
  <c r="D679" i="149"/>
  <c r="F679" i="149" s="1"/>
  <c r="D680" i="149"/>
  <c r="F680" i="149" s="1"/>
  <c r="D681" i="149"/>
  <c r="F681" i="149" s="1"/>
  <c r="D682" i="149"/>
  <c r="F682" i="149" s="1"/>
  <c r="D683" i="149"/>
  <c r="F683" i="149" s="1"/>
  <c r="D684" i="149"/>
  <c r="F684" i="149" s="1"/>
  <c r="D685" i="149"/>
  <c r="D686" i="149"/>
  <c r="D687" i="149"/>
  <c r="F687" i="149" s="1"/>
  <c r="D688" i="149"/>
  <c r="F688" i="149" s="1"/>
  <c r="D689" i="149"/>
  <c r="F689" i="149" s="1"/>
  <c r="D690" i="149"/>
  <c r="F690" i="149" s="1"/>
  <c r="D691" i="149"/>
  <c r="F691" i="149" s="1"/>
  <c r="D692" i="149"/>
  <c r="F692" i="149" s="1"/>
  <c r="D693" i="149"/>
  <c r="F693" i="149" s="1"/>
  <c r="D694" i="149"/>
  <c r="D695" i="149"/>
  <c r="D696" i="149"/>
  <c r="F696" i="149" s="1"/>
  <c r="D697" i="149"/>
  <c r="F697" i="149" s="1"/>
  <c r="D698" i="149"/>
  <c r="F698" i="149" s="1"/>
  <c r="D699" i="149"/>
  <c r="F699" i="149" s="1"/>
  <c r="D700" i="149"/>
  <c r="F700" i="149" s="1"/>
  <c r="D701" i="149"/>
  <c r="F701" i="149" s="1"/>
  <c r="D702" i="149"/>
  <c r="F702" i="149" s="1"/>
  <c r="D703" i="149"/>
  <c r="F703" i="149" s="1"/>
  <c r="D704" i="149"/>
  <c r="F704" i="149" s="1"/>
  <c r="D705" i="149"/>
  <c r="F705" i="149" s="1"/>
  <c r="D706" i="149"/>
  <c r="F706" i="149" s="1"/>
  <c r="D707" i="149"/>
  <c r="F707" i="149" s="1"/>
  <c r="D708" i="149"/>
  <c r="F708" i="149" s="1"/>
  <c r="D709" i="149"/>
  <c r="F709" i="149" s="1"/>
  <c r="D710" i="149"/>
  <c r="D711" i="149"/>
  <c r="F711" i="149" s="1"/>
  <c r="D712" i="149"/>
  <c r="F712" i="149" s="1"/>
  <c r="D713" i="149"/>
  <c r="F713" i="149" s="1"/>
  <c r="D714" i="149"/>
  <c r="F714" i="149" s="1"/>
  <c r="D715" i="149"/>
  <c r="F715" i="149" s="1"/>
  <c r="D716" i="149"/>
  <c r="F716" i="149" s="1"/>
  <c r="D717" i="149"/>
  <c r="F717" i="149" s="1"/>
  <c r="D718" i="149"/>
  <c r="F718" i="149" s="1"/>
  <c r="D719" i="149"/>
  <c r="F719" i="149" s="1"/>
  <c r="D720" i="149"/>
  <c r="F720" i="149" s="1"/>
  <c r="D721" i="149"/>
  <c r="F721" i="149" s="1"/>
  <c r="D722" i="149"/>
  <c r="F722" i="149" s="1"/>
  <c r="D723" i="149"/>
  <c r="F723" i="149" s="1"/>
  <c r="D724" i="149"/>
  <c r="F724" i="149" s="1"/>
  <c r="D725" i="149"/>
  <c r="F725" i="149" s="1"/>
  <c r="D726" i="149"/>
  <c r="D727" i="149"/>
  <c r="F727" i="149" s="1"/>
  <c r="D728" i="149"/>
  <c r="F728" i="149" s="1"/>
  <c r="D729" i="149"/>
  <c r="F729" i="149" s="1"/>
  <c r="D730" i="149"/>
  <c r="F730" i="149" s="1"/>
  <c r="D731" i="149"/>
  <c r="F731" i="149" s="1"/>
  <c r="D732" i="149"/>
  <c r="F732" i="149" s="1"/>
  <c r="D733" i="149"/>
  <c r="D734" i="149"/>
  <c r="D735" i="149"/>
  <c r="F735" i="149" s="1"/>
  <c r="D736" i="149"/>
  <c r="F736" i="149" s="1"/>
  <c r="D737" i="149"/>
  <c r="F737" i="149" s="1"/>
  <c r="D738" i="149"/>
  <c r="F738" i="149" s="1"/>
  <c r="D739" i="149"/>
  <c r="F739" i="149" s="1"/>
  <c r="D740" i="149"/>
  <c r="F740" i="149" s="1"/>
  <c r="D741" i="149"/>
  <c r="F741" i="149" s="1"/>
  <c r="D742" i="149"/>
  <c r="F742" i="149" s="1"/>
  <c r="D743" i="149"/>
  <c r="F743" i="149" s="1"/>
  <c r="D744" i="149"/>
  <c r="F744" i="149" s="1"/>
  <c r="D745" i="149"/>
  <c r="F745" i="149" s="1"/>
  <c r="D746" i="149"/>
  <c r="F746" i="149" s="1"/>
  <c r="D747" i="149"/>
  <c r="F747" i="149" s="1"/>
  <c r="D748" i="149"/>
  <c r="D749" i="149"/>
  <c r="F749" i="149" s="1"/>
  <c r="D750" i="149"/>
  <c r="F750" i="149" s="1"/>
  <c r="D751" i="149"/>
  <c r="F751" i="149" s="1"/>
  <c r="D752" i="149"/>
  <c r="F752" i="149" s="1"/>
  <c r="D753" i="149"/>
  <c r="F753" i="149" s="1"/>
  <c r="D754" i="149"/>
  <c r="F754" i="149" s="1"/>
  <c r="D755" i="149"/>
  <c r="F755" i="149" s="1"/>
  <c r="D756" i="149"/>
  <c r="F756" i="149" s="1"/>
  <c r="D757" i="149"/>
  <c r="F757" i="149" s="1"/>
  <c r="D758" i="149"/>
  <c r="F758" i="149" s="1"/>
  <c r="D759" i="149"/>
  <c r="F759" i="149" s="1"/>
  <c r="D760" i="149"/>
  <c r="F760" i="149" s="1"/>
  <c r="D761" i="149"/>
  <c r="F761" i="149" s="1"/>
  <c r="D762" i="149"/>
  <c r="F762" i="149" s="1"/>
  <c r="D763" i="149"/>
  <c r="F763" i="149" s="1"/>
  <c r="D764" i="149"/>
  <c r="F764" i="149" s="1"/>
  <c r="D765" i="149"/>
  <c r="D766" i="149"/>
  <c r="F766" i="149" s="1"/>
  <c r="D767" i="149"/>
  <c r="F767" i="149" s="1"/>
  <c r="D768" i="149"/>
  <c r="F768" i="149" s="1"/>
  <c r="D769" i="149"/>
  <c r="F769" i="149" s="1"/>
  <c r="D770" i="149"/>
  <c r="F770" i="149" s="1"/>
  <c r="D771" i="149"/>
  <c r="F771" i="149" s="1"/>
  <c r="D772" i="149"/>
  <c r="F772" i="149" s="1"/>
  <c r="D773" i="149"/>
  <c r="F773" i="149" s="1"/>
  <c r="D774" i="149"/>
  <c r="D775" i="149"/>
  <c r="F775" i="149" s="1"/>
  <c r="D776" i="149"/>
  <c r="F776" i="149" s="1"/>
  <c r="D777" i="149"/>
  <c r="F777" i="149" s="1"/>
  <c r="D778" i="149"/>
  <c r="F778" i="149" s="1"/>
  <c r="D779" i="149"/>
  <c r="F779" i="149" s="1"/>
  <c r="D780" i="149"/>
  <c r="D781" i="149"/>
  <c r="F781" i="149" s="1"/>
  <c r="D782" i="149"/>
  <c r="F782" i="149" s="1"/>
  <c r="D783" i="149"/>
  <c r="F783" i="149" s="1"/>
  <c r="D784" i="149"/>
  <c r="F784" i="149" s="1"/>
  <c r="D785" i="149"/>
  <c r="F785" i="149" s="1"/>
  <c r="D786" i="149"/>
  <c r="F786" i="149" s="1"/>
  <c r="D787" i="149"/>
  <c r="F787" i="149" s="1"/>
  <c r="D788" i="149"/>
  <c r="F788" i="149" s="1"/>
  <c r="D789" i="149"/>
  <c r="F789" i="149" s="1"/>
  <c r="D790" i="149"/>
  <c r="D791" i="149"/>
  <c r="F791" i="149" s="1"/>
  <c r="D792" i="149"/>
  <c r="F792" i="149" s="1"/>
  <c r="D793" i="149"/>
  <c r="F793" i="149" s="1"/>
  <c r="D794" i="149"/>
  <c r="F794" i="149" s="1"/>
  <c r="D795" i="149"/>
  <c r="F795" i="149" s="1"/>
  <c r="D796" i="149"/>
  <c r="F796" i="149" s="1"/>
  <c r="D797" i="149"/>
  <c r="D798" i="149"/>
  <c r="F798" i="149" s="1"/>
  <c r="D799" i="149"/>
  <c r="F799" i="149" s="1"/>
  <c r="D800" i="149"/>
  <c r="F800" i="149" s="1"/>
  <c r="D801" i="149"/>
  <c r="F801" i="149" s="1"/>
  <c r="D802" i="149"/>
  <c r="F802" i="149" s="1"/>
  <c r="D803" i="149"/>
  <c r="F803" i="149" s="1"/>
  <c r="D804" i="149"/>
  <c r="F804" i="149" s="1"/>
  <c r="D805" i="149"/>
  <c r="F805" i="149" s="1"/>
  <c r="D806" i="149"/>
  <c r="D807" i="149"/>
  <c r="F807" i="149" s="1"/>
  <c r="D808" i="149"/>
  <c r="F808" i="149" s="1"/>
  <c r="D809" i="149"/>
  <c r="F809" i="149" s="1"/>
  <c r="D810" i="149"/>
  <c r="F810" i="149" s="1"/>
  <c r="D811" i="149"/>
  <c r="F811" i="149" s="1"/>
  <c r="D812" i="149"/>
  <c r="D813" i="149"/>
  <c r="D814" i="149"/>
  <c r="D815" i="149"/>
  <c r="F815" i="149" s="1"/>
  <c r="D816" i="149"/>
  <c r="F816" i="149" s="1"/>
  <c r="D817" i="149"/>
  <c r="F817" i="149" s="1"/>
  <c r="D818" i="149"/>
  <c r="F818" i="149" s="1"/>
  <c r="D819" i="149"/>
  <c r="F819" i="149" s="1"/>
  <c r="D820" i="149"/>
  <c r="F820" i="149" s="1"/>
  <c r="D821" i="149"/>
  <c r="F821" i="149" s="1"/>
  <c r="D822" i="149"/>
  <c r="F822" i="149" s="1"/>
  <c r="D823" i="149"/>
  <c r="F823" i="149" s="1"/>
  <c r="D824" i="149"/>
  <c r="F824" i="149" s="1"/>
  <c r="D825" i="149"/>
  <c r="F825" i="149" s="1"/>
  <c r="D826" i="149"/>
  <c r="F826" i="149" s="1"/>
  <c r="D827" i="149"/>
  <c r="F827" i="149" s="1"/>
  <c r="D828" i="149"/>
  <c r="D829" i="149"/>
  <c r="F829" i="149" s="1"/>
  <c r="D830" i="149"/>
  <c r="F830" i="149" s="1"/>
  <c r="D831" i="149"/>
  <c r="F831" i="149" s="1"/>
  <c r="D832" i="149"/>
  <c r="F832" i="149" s="1"/>
  <c r="D833" i="149"/>
  <c r="F833" i="149" s="1"/>
  <c r="D834" i="149"/>
  <c r="F834" i="149" s="1"/>
  <c r="D835" i="149"/>
  <c r="F835" i="149" s="1"/>
  <c r="D836" i="149"/>
  <c r="D837" i="149"/>
  <c r="F837" i="149" s="1"/>
  <c r="D838" i="149"/>
  <c r="D839" i="149"/>
  <c r="F839" i="149" s="1"/>
  <c r="D840" i="149"/>
  <c r="F840" i="149" s="1"/>
  <c r="D841" i="149"/>
  <c r="F841" i="149" s="1"/>
  <c r="D842" i="149"/>
  <c r="F842" i="149" s="1"/>
  <c r="D843" i="149"/>
  <c r="F843" i="149" s="1"/>
  <c r="D844" i="149"/>
  <c r="F844" i="149" s="1"/>
  <c r="D845" i="149"/>
  <c r="D846" i="149"/>
  <c r="F846" i="149" s="1"/>
  <c r="D847" i="149"/>
  <c r="F847" i="149" s="1"/>
  <c r="D848" i="149"/>
  <c r="F848" i="149" s="1"/>
  <c r="D849" i="149"/>
  <c r="F849" i="149" s="1"/>
  <c r="D850" i="149"/>
  <c r="F850" i="149" s="1"/>
  <c r="D851" i="149"/>
  <c r="F851" i="149" s="1"/>
  <c r="D852" i="149"/>
  <c r="F852" i="149" s="1"/>
  <c r="D853" i="149"/>
  <c r="F853" i="149" s="1"/>
  <c r="D854" i="149"/>
  <c r="D855" i="149"/>
  <c r="F855" i="149" s="1"/>
  <c r="D856" i="149"/>
  <c r="F856" i="149" s="1"/>
  <c r="D857" i="149"/>
  <c r="F857" i="149" s="1"/>
  <c r="D858" i="149"/>
  <c r="F858" i="149" s="1"/>
  <c r="D859" i="149"/>
  <c r="F859" i="149" s="1"/>
  <c r="D860" i="149"/>
  <c r="F860" i="149" s="1"/>
  <c r="D861" i="149"/>
  <c r="F861" i="149" s="1"/>
  <c r="D862" i="149"/>
  <c r="D863" i="149"/>
  <c r="D864" i="149"/>
  <c r="F864" i="149" s="1"/>
  <c r="D865" i="149"/>
  <c r="F865" i="149" s="1"/>
  <c r="D866" i="149"/>
  <c r="F866" i="149" s="1"/>
  <c r="D867" i="149"/>
  <c r="F867" i="149" s="1"/>
  <c r="D868" i="149"/>
  <c r="F868" i="149" s="1"/>
  <c r="D869" i="149"/>
  <c r="F869" i="149" s="1"/>
  <c r="D870" i="149"/>
  <c r="F870" i="149" s="1"/>
  <c r="D871" i="149"/>
  <c r="F871" i="149" s="1"/>
  <c r="D872" i="149"/>
  <c r="F872" i="149" s="1"/>
  <c r="D873" i="149"/>
  <c r="F873" i="149" s="1"/>
  <c r="D874" i="149"/>
  <c r="F874" i="149" s="1"/>
  <c r="D875" i="149"/>
  <c r="F875" i="149" s="1"/>
  <c r="D876" i="149"/>
  <c r="D877" i="149"/>
  <c r="F877" i="149" s="1"/>
  <c r="D878" i="149"/>
  <c r="F878" i="149" s="1"/>
  <c r="D879" i="149"/>
  <c r="F879" i="149" s="1"/>
  <c r="D880" i="149"/>
  <c r="F880" i="149" s="1"/>
  <c r="D881" i="149"/>
  <c r="F881" i="149" s="1"/>
  <c r="D882" i="149"/>
  <c r="F882" i="149" s="1"/>
  <c r="D883" i="149"/>
  <c r="F883" i="149" s="1"/>
  <c r="D884" i="149"/>
  <c r="F884" i="149" s="1"/>
  <c r="D885" i="149"/>
  <c r="F885" i="149" s="1"/>
  <c r="D886" i="149"/>
  <c r="D887" i="149"/>
  <c r="F887" i="149" s="1"/>
  <c r="D888" i="149"/>
  <c r="F888" i="149" s="1"/>
  <c r="D889" i="149"/>
  <c r="F889" i="149" s="1"/>
  <c r="D890" i="149"/>
  <c r="F890" i="149" s="1"/>
  <c r="D891" i="149"/>
  <c r="F891" i="149" s="1"/>
  <c r="D892" i="149"/>
  <c r="D893" i="149"/>
  <c r="F893" i="149" s="1"/>
  <c r="D894" i="149"/>
  <c r="D895" i="149"/>
  <c r="F895" i="149" s="1"/>
  <c r="D896" i="149"/>
  <c r="F896" i="149" s="1"/>
  <c r="D897" i="149"/>
  <c r="F897" i="149" s="1"/>
  <c r="D898" i="149"/>
  <c r="F898" i="149" s="1"/>
  <c r="D899" i="149"/>
  <c r="F899" i="149" s="1"/>
  <c r="D900" i="149"/>
  <c r="F900" i="149" s="1"/>
  <c r="D901" i="149"/>
  <c r="F901" i="149" s="1"/>
  <c r="D902" i="149"/>
  <c r="F902" i="149" s="1"/>
  <c r="D903" i="149"/>
  <c r="F903" i="149" s="1"/>
  <c r="D904" i="149"/>
  <c r="F904" i="149" s="1"/>
  <c r="D905" i="149"/>
  <c r="F905" i="149" s="1"/>
  <c r="D906" i="149"/>
  <c r="F906" i="149" s="1"/>
  <c r="D907" i="149"/>
  <c r="F907" i="149" s="1"/>
  <c r="D908" i="149"/>
  <c r="D909" i="149"/>
  <c r="F909" i="149" s="1"/>
  <c r="D910" i="149"/>
  <c r="F910" i="149" s="1"/>
  <c r="D911" i="149"/>
  <c r="F911" i="149" s="1"/>
  <c r="D912" i="149"/>
  <c r="F912" i="149" s="1"/>
  <c r="D913" i="149"/>
  <c r="F913" i="149" s="1"/>
  <c r="D914" i="149"/>
  <c r="F914" i="149" s="1"/>
  <c r="D915" i="149"/>
  <c r="F915" i="149" s="1"/>
  <c r="D916" i="149"/>
  <c r="F916" i="149" s="1"/>
  <c r="D917" i="149"/>
  <c r="F917" i="149" s="1"/>
  <c r="D918" i="149"/>
  <c r="D919" i="149"/>
  <c r="F919" i="149" s="1"/>
  <c r="D920" i="149"/>
  <c r="F920" i="149" s="1"/>
  <c r="D921" i="149"/>
  <c r="F921" i="149" s="1"/>
  <c r="D922" i="149"/>
  <c r="F922" i="149" s="1"/>
  <c r="D923" i="149"/>
  <c r="F923" i="149" s="1"/>
  <c r="D924" i="149"/>
  <c r="F924" i="149" s="1"/>
  <c r="D925" i="149"/>
  <c r="D926" i="149"/>
  <c r="D927" i="149"/>
  <c r="F927" i="149" s="1"/>
  <c r="D928" i="149"/>
  <c r="F928" i="149" s="1"/>
  <c r="D929" i="149"/>
  <c r="F929" i="149" s="1"/>
  <c r="D930" i="149"/>
  <c r="F930" i="149" s="1"/>
  <c r="D931" i="149"/>
  <c r="F931" i="149" s="1"/>
  <c r="D932" i="149"/>
  <c r="F932" i="149" s="1"/>
  <c r="D933" i="149"/>
  <c r="F933" i="149" s="1"/>
  <c r="D934" i="149"/>
  <c r="D935" i="149"/>
  <c r="F935" i="149" s="1"/>
  <c r="D936" i="149"/>
  <c r="F936" i="149" s="1"/>
  <c r="D937" i="149"/>
  <c r="F937" i="149" s="1"/>
  <c r="D938" i="149"/>
  <c r="F938" i="149" s="1"/>
  <c r="D939" i="149"/>
  <c r="F939" i="149" s="1"/>
  <c r="D940" i="149"/>
  <c r="F940" i="149" s="1"/>
  <c r="D941" i="149"/>
  <c r="F941" i="149" s="1"/>
  <c r="D942" i="149"/>
  <c r="D943" i="149"/>
  <c r="F943" i="149" s="1"/>
  <c r="D944" i="149"/>
  <c r="F944" i="149" s="1"/>
  <c r="D945" i="149"/>
  <c r="F945" i="149" s="1"/>
  <c r="D946" i="149"/>
  <c r="F946" i="149" s="1"/>
  <c r="D947" i="149"/>
  <c r="F947" i="149" s="1"/>
  <c r="D948" i="149"/>
  <c r="F948" i="149" s="1"/>
  <c r="D949" i="149"/>
  <c r="F949" i="149" s="1"/>
  <c r="D950" i="149"/>
  <c r="F950" i="149" s="1"/>
  <c r="D951" i="149"/>
  <c r="F951" i="149" s="1"/>
  <c r="D952" i="149"/>
  <c r="F952" i="149" s="1"/>
  <c r="D953" i="149"/>
  <c r="F953" i="149" s="1"/>
  <c r="D954" i="149"/>
  <c r="F954" i="149" s="1"/>
  <c r="D955" i="149"/>
  <c r="F955" i="149" s="1"/>
  <c r="D956" i="149"/>
  <c r="F956" i="149" s="1"/>
  <c r="D957" i="149"/>
  <c r="F957" i="149" s="1"/>
  <c r="D958" i="149"/>
  <c r="D959" i="149"/>
  <c r="F959" i="149" s="1"/>
  <c r="D960" i="149"/>
  <c r="F960" i="149" s="1"/>
  <c r="D961" i="149"/>
  <c r="F961" i="149" s="1"/>
  <c r="D962" i="149"/>
  <c r="F962" i="149" s="1"/>
  <c r="D963" i="149"/>
  <c r="F963" i="149" s="1"/>
  <c r="D964" i="149"/>
  <c r="D965" i="149"/>
  <c r="F965" i="149" s="1"/>
  <c r="D966" i="149"/>
  <c r="F966" i="149" s="1"/>
  <c r="D967" i="149"/>
  <c r="F967" i="149" s="1"/>
  <c r="D968" i="149"/>
  <c r="F968" i="149" s="1"/>
  <c r="D969" i="149"/>
  <c r="F969" i="149" s="1"/>
  <c r="D970" i="149"/>
  <c r="F970" i="149" s="1"/>
  <c r="D971" i="149"/>
  <c r="F971" i="149" s="1"/>
  <c r="D972" i="149"/>
  <c r="D973" i="149"/>
  <c r="F973" i="149" s="1"/>
  <c r="D974" i="149"/>
  <c r="F974" i="149" s="1"/>
  <c r="D975" i="149"/>
  <c r="F975" i="149" s="1"/>
  <c r="D976" i="149"/>
  <c r="F976" i="149" s="1"/>
  <c r="D977" i="149"/>
  <c r="F977" i="149" s="1"/>
  <c r="D978" i="149"/>
  <c r="F978" i="149" s="1"/>
  <c r="D979" i="149"/>
  <c r="F979" i="149" s="1"/>
  <c r="D980" i="149"/>
  <c r="F980" i="149" s="1"/>
  <c r="D981" i="149"/>
  <c r="F981" i="149" s="1"/>
  <c r="D982" i="149"/>
  <c r="F982" i="149" s="1"/>
  <c r="D983" i="149"/>
  <c r="F983" i="149" s="1"/>
  <c r="D984" i="149"/>
  <c r="F984" i="149" s="1"/>
  <c r="D985" i="149"/>
  <c r="F985" i="149" s="1"/>
  <c r="D986" i="149"/>
  <c r="F986" i="149" s="1"/>
  <c r="D987" i="149"/>
  <c r="F987" i="149" s="1"/>
  <c r="D988" i="149"/>
  <c r="D989" i="149"/>
  <c r="F989" i="149" s="1"/>
  <c r="D990" i="149"/>
  <c r="F990" i="149" s="1"/>
  <c r="D991" i="149"/>
  <c r="F991" i="149" s="1"/>
  <c r="D992" i="149"/>
  <c r="F992" i="149" s="1"/>
  <c r="D993" i="149"/>
  <c r="F993" i="149" s="1"/>
  <c r="D994" i="149"/>
  <c r="F994" i="149" s="1"/>
  <c r="D995" i="149"/>
  <c r="F995" i="149" s="1"/>
  <c r="D996" i="149"/>
  <c r="F996" i="149" s="1"/>
  <c r="D997" i="149"/>
  <c r="F997" i="149" s="1"/>
  <c r="D998" i="149"/>
  <c r="D999" i="149"/>
  <c r="F999" i="149" s="1"/>
  <c r="D1000" i="149"/>
  <c r="F1000" i="149" s="1"/>
  <c r="D1001" i="149"/>
  <c r="F1001" i="149" s="1"/>
  <c r="D1002" i="149"/>
  <c r="F1002" i="149" s="1"/>
  <c r="D1003" i="149"/>
  <c r="F1003" i="149" s="1"/>
  <c r="D1004" i="149"/>
  <c r="F1004" i="149" s="1"/>
  <c r="D1005" i="149"/>
  <c r="F1005" i="149" s="1"/>
  <c r="D1006" i="149"/>
  <c r="D1007" i="149"/>
  <c r="F1007" i="149" s="1"/>
  <c r="D1008" i="149"/>
  <c r="F1008" i="149" s="1"/>
  <c r="D1009" i="149"/>
  <c r="F1009" i="149" s="1"/>
  <c r="D1010" i="149"/>
  <c r="F1010" i="149" s="1"/>
  <c r="F22" i="149"/>
  <c r="F28" i="149"/>
  <c r="F30" i="149"/>
  <c r="F31" i="149"/>
  <c r="F37" i="149"/>
  <c r="F38" i="149"/>
  <c r="F44" i="149"/>
  <c r="F45" i="149"/>
  <c r="F46" i="149"/>
  <c r="F52" i="149"/>
  <c r="F53" i="149"/>
  <c r="F54" i="149"/>
  <c r="F68" i="149"/>
  <c r="F77" i="149"/>
  <c r="F84" i="149"/>
  <c r="F86" i="149"/>
  <c r="F92" i="149"/>
  <c r="F108" i="149"/>
  <c r="F117" i="149"/>
  <c r="F124" i="149"/>
  <c r="F125" i="149"/>
  <c r="F132" i="149"/>
  <c r="F133" i="149"/>
  <c r="F134" i="149"/>
  <c r="F142" i="149"/>
  <c r="F150" i="149"/>
  <c r="F158" i="149"/>
  <c r="F166" i="149"/>
  <c r="F172" i="149"/>
  <c r="F181" i="149"/>
  <c r="F190" i="149"/>
  <c r="F197" i="149"/>
  <c r="F198" i="149"/>
  <c r="F212" i="149"/>
  <c r="F222" i="149"/>
  <c r="F228" i="149"/>
  <c r="F230" i="149"/>
  <c r="F237" i="149"/>
  <c r="F252" i="149"/>
  <c r="F253" i="149"/>
  <c r="F254" i="149"/>
  <c r="F260" i="149"/>
  <c r="F261" i="149"/>
  <c r="F262" i="149"/>
  <c r="F277" i="149"/>
  <c r="F285" i="149"/>
  <c r="F286" i="149"/>
  <c r="F294" i="149"/>
  <c r="F316" i="149"/>
  <c r="F317" i="149"/>
  <c r="F319" i="149"/>
  <c r="F332" i="149"/>
  <c r="F340" i="149"/>
  <c r="F342" i="149"/>
  <c r="F349" i="149"/>
  <c r="F358" i="149"/>
  <c r="F364" i="149"/>
  <c r="F365" i="149"/>
  <c r="F372" i="149"/>
  <c r="F381" i="149"/>
  <c r="F388" i="149"/>
  <c r="F390" i="149"/>
  <c r="F397" i="149"/>
  <c r="F404" i="149"/>
  <c r="F412" i="149"/>
  <c r="F413" i="149"/>
  <c r="F422" i="149"/>
  <c r="F429" i="149"/>
  <c r="F430" i="149"/>
  <c r="F437" i="149"/>
  <c r="F438" i="149"/>
  <c r="F439" i="149"/>
  <c r="F445" i="149"/>
  <c r="F454" i="149"/>
  <c r="F461" i="149"/>
  <c r="F462" i="149"/>
  <c r="F470" i="149"/>
  <c r="F478" i="149"/>
  <c r="F486" i="149"/>
  <c r="F492" i="149"/>
  <c r="F500" i="149"/>
  <c r="F501" i="149"/>
  <c r="F508" i="149"/>
  <c r="F516" i="149"/>
  <c r="F525" i="149"/>
  <c r="F533" i="149"/>
  <c r="F542" i="149"/>
  <c r="F549" i="149"/>
  <c r="F558" i="149"/>
  <c r="F564" i="149"/>
  <c r="F565" i="149"/>
  <c r="F574" i="149"/>
  <c r="F581" i="149"/>
  <c r="F589" i="149"/>
  <c r="F590" i="149"/>
  <c r="F598" i="149"/>
  <c r="F614" i="149"/>
  <c r="F622" i="149"/>
  <c r="F630" i="149"/>
  <c r="F637" i="149"/>
  <c r="F652" i="149"/>
  <c r="F662" i="149"/>
  <c r="F669" i="149"/>
  <c r="F676" i="149"/>
  <c r="F685" i="149"/>
  <c r="F686" i="149"/>
  <c r="F694" i="149"/>
  <c r="F695" i="149"/>
  <c r="F710" i="149"/>
  <c r="F726" i="149"/>
  <c r="F733" i="149"/>
  <c r="F734" i="149"/>
  <c r="F748" i="149"/>
  <c r="F765" i="149"/>
  <c r="F774" i="149"/>
  <c r="F780" i="149"/>
  <c r="F790" i="149"/>
  <c r="F797" i="149"/>
  <c r="F806" i="149"/>
  <c r="F812" i="149"/>
  <c r="F813" i="149"/>
  <c r="F814" i="149"/>
  <c r="F828" i="149"/>
  <c r="F836" i="149"/>
  <c r="F838" i="149"/>
  <c r="F845" i="149"/>
  <c r="F854" i="149"/>
  <c r="F862" i="149"/>
  <c r="F863" i="149"/>
  <c r="F876" i="149"/>
  <c r="F886" i="149"/>
  <c r="F892" i="149"/>
  <c r="F894" i="149"/>
  <c r="F908" i="149"/>
  <c r="F918" i="149"/>
  <c r="F925" i="149"/>
  <c r="F926" i="149"/>
  <c r="F934" i="149"/>
  <c r="F942" i="149"/>
  <c r="F958" i="149"/>
  <c r="F964" i="149"/>
  <c r="F972" i="149"/>
  <c r="F988" i="149"/>
  <c r="F998" i="149"/>
  <c r="F1006" i="149"/>
  <c r="D10" i="149"/>
  <c r="J164" i="149" l="1"/>
  <c r="J172" i="149"/>
  <c r="J180" i="149"/>
  <c r="J196" i="149"/>
  <c r="J204" i="149"/>
  <c r="J212" i="149"/>
  <c r="J228" i="149"/>
  <c r="J236" i="149"/>
  <c r="J244" i="149"/>
  <c r="J260" i="149"/>
  <c r="J268" i="149"/>
  <c r="J276" i="149"/>
  <c r="J292" i="149"/>
  <c r="J300" i="149"/>
  <c r="J308" i="149"/>
  <c r="J324" i="149"/>
  <c r="J332" i="149"/>
  <c r="J340" i="149"/>
  <c r="J356" i="149"/>
  <c r="J364" i="149"/>
  <c r="J372" i="149"/>
  <c r="J388" i="149"/>
  <c r="J396" i="149"/>
  <c r="J404" i="149"/>
  <c r="J420" i="149"/>
  <c r="J428" i="149"/>
  <c r="J436" i="149"/>
  <c r="J452" i="149"/>
  <c r="J460" i="149"/>
  <c r="J468" i="149"/>
  <c r="J484" i="149"/>
  <c r="J492" i="149"/>
  <c r="J500" i="149"/>
  <c r="J516" i="149"/>
  <c r="J524" i="149"/>
  <c r="J532" i="149"/>
  <c r="J548" i="149"/>
  <c r="J556" i="149"/>
  <c r="J564" i="149"/>
  <c r="J580" i="149"/>
  <c r="J588" i="149"/>
  <c r="J596" i="149"/>
  <c r="J612" i="149"/>
  <c r="J620" i="149"/>
  <c r="K628" i="149"/>
  <c r="J644" i="149"/>
  <c r="J652" i="149"/>
  <c r="J660" i="149"/>
  <c r="J676" i="149"/>
  <c r="J684" i="149"/>
  <c r="J692" i="149"/>
  <c r="J708" i="149"/>
  <c r="J716" i="149"/>
  <c r="J724" i="149"/>
  <c r="J740" i="149"/>
  <c r="J748" i="149"/>
  <c r="J756" i="149"/>
  <c r="J772" i="149"/>
  <c r="J780" i="149"/>
  <c r="J788" i="149"/>
  <c r="J804" i="149"/>
  <c r="J812" i="149"/>
  <c r="J820" i="149"/>
  <c r="K829" i="149"/>
  <c r="J836" i="149"/>
  <c r="J844" i="149"/>
  <c r="J852" i="149"/>
  <c r="J868" i="149"/>
  <c r="J876" i="149"/>
  <c r="K882" i="149"/>
  <c r="J884" i="149"/>
  <c r="J900" i="149"/>
  <c r="J908" i="149"/>
  <c r="J916" i="149"/>
  <c r="J932" i="149"/>
  <c r="J940" i="149"/>
  <c r="J948" i="149"/>
  <c r="J964" i="149"/>
  <c r="J972" i="149"/>
  <c r="J980" i="149"/>
  <c r="J996" i="149"/>
  <c r="K1010" i="149"/>
  <c r="C14" i="149"/>
  <c r="C15" i="149"/>
  <c r="C17" i="149"/>
  <c r="C18" i="149"/>
  <c r="C19" i="149"/>
  <c r="C20" i="149"/>
  <c r="C21" i="149"/>
  <c r="C22" i="149"/>
  <c r="C23" i="149"/>
  <c r="C24" i="149"/>
  <c r="C25" i="149"/>
  <c r="C26" i="149"/>
  <c r="C27" i="149"/>
  <c r="C28" i="149"/>
  <c r="C29" i="149"/>
  <c r="C30" i="149"/>
  <c r="C31" i="149"/>
  <c r="C32" i="149"/>
  <c r="C33" i="149"/>
  <c r="C34" i="149"/>
  <c r="C35" i="149"/>
  <c r="C36" i="149"/>
  <c r="C37" i="149"/>
  <c r="C38" i="149"/>
  <c r="C39" i="149"/>
  <c r="C40" i="149"/>
  <c r="C41" i="149"/>
  <c r="C42" i="149"/>
  <c r="C43" i="149"/>
  <c r="C44" i="149"/>
  <c r="C45" i="149"/>
  <c r="C46" i="149"/>
  <c r="C47" i="149"/>
  <c r="C48" i="149"/>
  <c r="C49" i="149"/>
  <c r="C50" i="149"/>
  <c r="C51" i="149"/>
  <c r="C52" i="149"/>
  <c r="C53" i="149"/>
  <c r="C54" i="149"/>
  <c r="C55" i="149"/>
  <c r="C56" i="149"/>
  <c r="C57" i="149"/>
  <c r="C58" i="149"/>
  <c r="C59" i="149"/>
  <c r="C60" i="149"/>
  <c r="C61" i="149"/>
  <c r="C62" i="149"/>
  <c r="C63" i="149"/>
  <c r="C64" i="149"/>
  <c r="C65" i="149"/>
  <c r="C66" i="149"/>
  <c r="C67" i="149"/>
  <c r="C68" i="149"/>
  <c r="C69" i="149"/>
  <c r="C70" i="149"/>
  <c r="C71" i="149"/>
  <c r="C72" i="149"/>
  <c r="C73" i="149"/>
  <c r="C74" i="149"/>
  <c r="C75" i="149"/>
  <c r="C76" i="149"/>
  <c r="C77" i="149"/>
  <c r="C78" i="149"/>
  <c r="C79" i="149"/>
  <c r="C80" i="149"/>
  <c r="C81" i="149"/>
  <c r="C82" i="149"/>
  <c r="C83" i="149"/>
  <c r="C84" i="149"/>
  <c r="C85" i="149"/>
  <c r="C86" i="149"/>
  <c r="C87" i="149"/>
  <c r="C88" i="149"/>
  <c r="C89" i="149"/>
  <c r="C90" i="149"/>
  <c r="C91" i="149"/>
  <c r="C92" i="149"/>
  <c r="C93" i="149"/>
  <c r="C94" i="149"/>
  <c r="C95" i="149"/>
  <c r="C96" i="149"/>
  <c r="C97" i="149"/>
  <c r="C98" i="149"/>
  <c r="C99" i="149"/>
  <c r="C100" i="149"/>
  <c r="C101" i="149"/>
  <c r="C102" i="149"/>
  <c r="C103" i="149"/>
  <c r="C104" i="149"/>
  <c r="C105" i="149"/>
  <c r="C106" i="149"/>
  <c r="C107" i="149"/>
  <c r="C108" i="149"/>
  <c r="C109" i="149"/>
  <c r="C110" i="149"/>
  <c r="C111" i="149"/>
  <c r="C112" i="149"/>
  <c r="C113" i="149"/>
  <c r="C114" i="149"/>
  <c r="C115" i="149"/>
  <c r="C116" i="149"/>
  <c r="C117" i="149"/>
  <c r="C118" i="149"/>
  <c r="C119" i="149"/>
  <c r="C120" i="149"/>
  <c r="C121" i="149"/>
  <c r="C122" i="149"/>
  <c r="C123" i="149"/>
  <c r="C124" i="149"/>
  <c r="C125" i="149"/>
  <c r="C126" i="149"/>
  <c r="C127" i="149"/>
  <c r="C128" i="149"/>
  <c r="C129" i="149"/>
  <c r="C130" i="149"/>
  <c r="C131" i="149"/>
  <c r="C132" i="149"/>
  <c r="C133" i="149"/>
  <c r="C134" i="149"/>
  <c r="C135" i="149"/>
  <c r="C136" i="149"/>
  <c r="C137" i="149"/>
  <c r="C138" i="149"/>
  <c r="C139" i="149"/>
  <c r="C140" i="149"/>
  <c r="C141" i="149"/>
  <c r="C142" i="149"/>
  <c r="C143" i="149"/>
  <c r="C144" i="149"/>
  <c r="C145" i="149"/>
  <c r="C146" i="149"/>
  <c r="C147" i="149"/>
  <c r="C148" i="149"/>
  <c r="C149" i="149"/>
  <c r="C150" i="149"/>
  <c r="C151" i="149"/>
  <c r="C152" i="149"/>
  <c r="C153" i="149"/>
  <c r="C154" i="149"/>
  <c r="C155" i="149"/>
  <c r="C156" i="149"/>
  <c r="C157" i="149"/>
  <c r="C158" i="149"/>
  <c r="C159" i="149"/>
  <c r="C160" i="149"/>
  <c r="C161" i="149"/>
  <c r="C162" i="149"/>
  <c r="C163" i="149"/>
  <c r="C164" i="149"/>
  <c r="C165" i="149"/>
  <c r="C166" i="149"/>
  <c r="C167" i="149"/>
  <c r="C168" i="149"/>
  <c r="C169" i="149"/>
  <c r="C170" i="149"/>
  <c r="C171" i="149"/>
  <c r="C172" i="149"/>
  <c r="C173" i="149"/>
  <c r="C174" i="149"/>
  <c r="C175" i="149"/>
  <c r="C176" i="149"/>
  <c r="C177" i="149"/>
  <c r="C178" i="149"/>
  <c r="C179" i="149"/>
  <c r="C180" i="149"/>
  <c r="C181" i="149"/>
  <c r="C182" i="149"/>
  <c r="C183" i="149"/>
  <c r="C184" i="149"/>
  <c r="C185" i="149"/>
  <c r="C186" i="149"/>
  <c r="C187" i="149"/>
  <c r="C188" i="149"/>
  <c r="C189" i="149"/>
  <c r="C190" i="149"/>
  <c r="C191" i="149"/>
  <c r="C192" i="149"/>
  <c r="C193" i="149"/>
  <c r="C194" i="149"/>
  <c r="C195" i="149"/>
  <c r="C196" i="149"/>
  <c r="C197" i="149"/>
  <c r="C198" i="149"/>
  <c r="C199" i="149"/>
  <c r="C200" i="149"/>
  <c r="C201" i="149"/>
  <c r="C202" i="149"/>
  <c r="C203" i="149"/>
  <c r="C204" i="149"/>
  <c r="C205" i="149"/>
  <c r="C206" i="149"/>
  <c r="C207" i="149"/>
  <c r="C208" i="149"/>
  <c r="C209" i="149"/>
  <c r="C210" i="149"/>
  <c r="C211" i="149"/>
  <c r="C212" i="149"/>
  <c r="C213" i="149"/>
  <c r="C214" i="149"/>
  <c r="C215" i="149"/>
  <c r="C216" i="149"/>
  <c r="C217" i="149"/>
  <c r="C218" i="149"/>
  <c r="C219" i="149"/>
  <c r="C220" i="149"/>
  <c r="C221" i="149"/>
  <c r="C222" i="149"/>
  <c r="C223" i="149"/>
  <c r="C224" i="149"/>
  <c r="C225" i="149"/>
  <c r="C226" i="149"/>
  <c r="C227" i="149"/>
  <c r="C228" i="149"/>
  <c r="C229" i="149"/>
  <c r="C230" i="149"/>
  <c r="C231" i="149"/>
  <c r="C232" i="149"/>
  <c r="C233" i="149"/>
  <c r="C234" i="149"/>
  <c r="C235" i="149"/>
  <c r="C236" i="149"/>
  <c r="C237" i="149"/>
  <c r="C238" i="149"/>
  <c r="C239" i="149"/>
  <c r="C240" i="149"/>
  <c r="C241" i="149"/>
  <c r="C242" i="149"/>
  <c r="C243" i="149"/>
  <c r="C244" i="149"/>
  <c r="C245" i="149"/>
  <c r="C246" i="149"/>
  <c r="C247" i="149"/>
  <c r="C248" i="149"/>
  <c r="C249" i="149"/>
  <c r="C250" i="149"/>
  <c r="C251" i="149"/>
  <c r="C252" i="149"/>
  <c r="C253" i="149"/>
  <c r="C254" i="149"/>
  <c r="C255" i="149"/>
  <c r="C256" i="149"/>
  <c r="C257" i="149"/>
  <c r="C258" i="149"/>
  <c r="C259" i="149"/>
  <c r="C260" i="149"/>
  <c r="C261" i="149"/>
  <c r="C262" i="149"/>
  <c r="C263" i="149"/>
  <c r="C264" i="149"/>
  <c r="C265" i="149"/>
  <c r="C266" i="149"/>
  <c r="C267" i="149"/>
  <c r="C268" i="149"/>
  <c r="C269" i="149"/>
  <c r="C270" i="149"/>
  <c r="C271" i="149"/>
  <c r="C272" i="149"/>
  <c r="C273" i="149"/>
  <c r="C274" i="149"/>
  <c r="C275" i="149"/>
  <c r="C276" i="149"/>
  <c r="C277" i="149"/>
  <c r="C278" i="149"/>
  <c r="C279" i="149"/>
  <c r="C280" i="149"/>
  <c r="C281" i="149"/>
  <c r="C282" i="149"/>
  <c r="C283" i="149"/>
  <c r="C284" i="149"/>
  <c r="C285" i="149"/>
  <c r="C286" i="149"/>
  <c r="C287" i="149"/>
  <c r="C288" i="149"/>
  <c r="C289" i="149"/>
  <c r="C290" i="149"/>
  <c r="C291" i="149"/>
  <c r="C292" i="149"/>
  <c r="C293" i="149"/>
  <c r="C294" i="149"/>
  <c r="C295" i="149"/>
  <c r="C296" i="149"/>
  <c r="C297" i="149"/>
  <c r="C298" i="149"/>
  <c r="C299" i="149"/>
  <c r="C300" i="149"/>
  <c r="C301" i="149"/>
  <c r="C302" i="149"/>
  <c r="C303" i="149"/>
  <c r="C304" i="149"/>
  <c r="C305" i="149"/>
  <c r="C306" i="149"/>
  <c r="C307" i="149"/>
  <c r="C308" i="149"/>
  <c r="C309" i="149"/>
  <c r="C310" i="149"/>
  <c r="C311" i="149"/>
  <c r="C312" i="149"/>
  <c r="C313" i="149"/>
  <c r="C314" i="149"/>
  <c r="C315" i="149"/>
  <c r="C316" i="149"/>
  <c r="C317" i="149"/>
  <c r="C318" i="149"/>
  <c r="C319" i="149"/>
  <c r="C320" i="149"/>
  <c r="C321" i="149"/>
  <c r="C322" i="149"/>
  <c r="C323" i="149"/>
  <c r="C324" i="149"/>
  <c r="C325" i="149"/>
  <c r="C326" i="149"/>
  <c r="C327" i="149"/>
  <c r="C328" i="149"/>
  <c r="C329" i="149"/>
  <c r="C330" i="149"/>
  <c r="C331" i="149"/>
  <c r="C332" i="149"/>
  <c r="C333" i="149"/>
  <c r="C334" i="149"/>
  <c r="C335" i="149"/>
  <c r="C336" i="149"/>
  <c r="C337" i="149"/>
  <c r="C338" i="149"/>
  <c r="C339" i="149"/>
  <c r="C340" i="149"/>
  <c r="C341" i="149"/>
  <c r="C342" i="149"/>
  <c r="C343" i="149"/>
  <c r="C344" i="149"/>
  <c r="C345" i="149"/>
  <c r="C346" i="149"/>
  <c r="C347" i="149"/>
  <c r="C348" i="149"/>
  <c r="C349" i="149"/>
  <c r="C350" i="149"/>
  <c r="C351" i="149"/>
  <c r="C352" i="149"/>
  <c r="C353" i="149"/>
  <c r="C354" i="149"/>
  <c r="C355" i="149"/>
  <c r="C356" i="149"/>
  <c r="C357" i="149"/>
  <c r="C358" i="149"/>
  <c r="C359" i="149"/>
  <c r="C360" i="149"/>
  <c r="C361" i="149"/>
  <c r="C362" i="149"/>
  <c r="C363" i="149"/>
  <c r="C364" i="149"/>
  <c r="C365" i="149"/>
  <c r="C366" i="149"/>
  <c r="C367" i="149"/>
  <c r="C368" i="149"/>
  <c r="C369" i="149"/>
  <c r="C370" i="149"/>
  <c r="C371" i="149"/>
  <c r="C372" i="149"/>
  <c r="C373" i="149"/>
  <c r="C374" i="149"/>
  <c r="C375" i="149"/>
  <c r="C376" i="149"/>
  <c r="C377" i="149"/>
  <c r="C378" i="149"/>
  <c r="C379" i="149"/>
  <c r="C380" i="149"/>
  <c r="C381" i="149"/>
  <c r="C382" i="149"/>
  <c r="C383" i="149"/>
  <c r="C384" i="149"/>
  <c r="C385" i="149"/>
  <c r="C386" i="149"/>
  <c r="C387" i="149"/>
  <c r="C388" i="149"/>
  <c r="C389" i="149"/>
  <c r="C390" i="149"/>
  <c r="C391" i="149"/>
  <c r="C392" i="149"/>
  <c r="C393" i="149"/>
  <c r="C394" i="149"/>
  <c r="C395" i="149"/>
  <c r="C396" i="149"/>
  <c r="C397" i="149"/>
  <c r="C398" i="149"/>
  <c r="C399" i="149"/>
  <c r="C400" i="149"/>
  <c r="C401" i="149"/>
  <c r="C402" i="149"/>
  <c r="C403" i="149"/>
  <c r="C404" i="149"/>
  <c r="C405" i="149"/>
  <c r="C406" i="149"/>
  <c r="C407" i="149"/>
  <c r="C408" i="149"/>
  <c r="C409" i="149"/>
  <c r="C410" i="149"/>
  <c r="C411" i="149"/>
  <c r="C412" i="149"/>
  <c r="C413" i="149"/>
  <c r="C414" i="149"/>
  <c r="C415" i="149"/>
  <c r="C416" i="149"/>
  <c r="C417" i="149"/>
  <c r="C418" i="149"/>
  <c r="C419" i="149"/>
  <c r="C420" i="149"/>
  <c r="C421" i="149"/>
  <c r="C422" i="149"/>
  <c r="C423" i="149"/>
  <c r="C424" i="149"/>
  <c r="C425" i="149"/>
  <c r="C426" i="149"/>
  <c r="C427" i="149"/>
  <c r="C428" i="149"/>
  <c r="C429" i="149"/>
  <c r="C430" i="149"/>
  <c r="C431" i="149"/>
  <c r="C432" i="149"/>
  <c r="C433" i="149"/>
  <c r="C434" i="149"/>
  <c r="C435" i="149"/>
  <c r="C436" i="149"/>
  <c r="C437" i="149"/>
  <c r="C438" i="149"/>
  <c r="C439" i="149"/>
  <c r="C440" i="149"/>
  <c r="C441" i="149"/>
  <c r="C442" i="149"/>
  <c r="C443" i="149"/>
  <c r="C444" i="149"/>
  <c r="C445" i="149"/>
  <c r="C446" i="149"/>
  <c r="C447" i="149"/>
  <c r="C448" i="149"/>
  <c r="C449" i="149"/>
  <c r="C450" i="149"/>
  <c r="C451" i="149"/>
  <c r="C452" i="149"/>
  <c r="C453" i="149"/>
  <c r="C454" i="149"/>
  <c r="C455" i="149"/>
  <c r="C456" i="149"/>
  <c r="C457" i="149"/>
  <c r="C458" i="149"/>
  <c r="C459" i="149"/>
  <c r="C460" i="149"/>
  <c r="C461" i="149"/>
  <c r="C462" i="149"/>
  <c r="C463" i="149"/>
  <c r="C464" i="149"/>
  <c r="C465" i="149"/>
  <c r="C466" i="149"/>
  <c r="C467" i="149"/>
  <c r="C468" i="149"/>
  <c r="C469" i="149"/>
  <c r="C470" i="149"/>
  <c r="C471" i="149"/>
  <c r="C472" i="149"/>
  <c r="C473" i="149"/>
  <c r="C474" i="149"/>
  <c r="C475" i="149"/>
  <c r="C476" i="149"/>
  <c r="C477" i="149"/>
  <c r="C478" i="149"/>
  <c r="C479" i="149"/>
  <c r="C480" i="149"/>
  <c r="C481" i="149"/>
  <c r="C482" i="149"/>
  <c r="C483" i="149"/>
  <c r="C484" i="149"/>
  <c r="C485" i="149"/>
  <c r="C486" i="149"/>
  <c r="C487" i="149"/>
  <c r="C488" i="149"/>
  <c r="C489" i="149"/>
  <c r="C490" i="149"/>
  <c r="C491" i="149"/>
  <c r="C492" i="149"/>
  <c r="C493" i="149"/>
  <c r="C494" i="149"/>
  <c r="C495" i="149"/>
  <c r="C496" i="149"/>
  <c r="C497" i="149"/>
  <c r="C498" i="149"/>
  <c r="C499" i="149"/>
  <c r="C500" i="149"/>
  <c r="C501" i="149"/>
  <c r="C502" i="149"/>
  <c r="C503" i="149"/>
  <c r="C504" i="149"/>
  <c r="C505" i="149"/>
  <c r="C506" i="149"/>
  <c r="C507" i="149"/>
  <c r="C508" i="149"/>
  <c r="C509" i="149"/>
  <c r="C510" i="149"/>
  <c r="C511" i="149"/>
  <c r="C512" i="149"/>
  <c r="C513" i="149"/>
  <c r="C514" i="149"/>
  <c r="C515" i="149"/>
  <c r="C516" i="149"/>
  <c r="C517" i="149"/>
  <c r="C518" i="149"/>
  <c r="C519" i="149"/>
  <c r="C520" i="149"/>
  <c r="C521" i="149"/>
  <c r="C522" i="149"/>
  <c r="C523" i="149"/>
  <c r="C524" i="149"/>
  <c r="C525" i="149"/>
  <c r="C526" i="149"/>
  <c r="C527" i="149"/>
  <c r="C528" i="149"/>
  <c r="C529" i="149"/>
  <c r="C530" i="149"/>
  <c r="C531" i="149"/>
  <c r="C532" i="149"/>
  <c r="C533" i="149"/>
  <c r="C534" i="149"/>
  <c r="C535" i="149"/>
  <c r="C536" i="149"/>
  <c r="C537" i="149"/>
  <c r="C538" i="149"/>
  <c r="C539" i="149"/>
  <c r="C540" i="149"/>
  <c r="C541" i="149"/>
  <c r="C542" i="149"/>
  <c r="C543" i="149"/>
  <c r="C544" i="149"/>
  <c r="C545" i="149"/>
  <c r="C546" i="149"/>
  <c r="C547" i="149"/>
  <c r="C548" i="149"/>
  <c r="C549" i="149"/>
  <c r="C550" i="149"/>
  <c r="C551" i="149"/>
  <c r="C552" i="149"/>
  <c r="C553" i="149"/>
  <c r="C554" i="149"/>
  <c r="C555" i="149"/>
  <c r="C556" i="149"/>
  <c r="C557" i="149"/>
  <c r="C558" i="149"/>
  <c r="C559" i="149"/>
  <c r="C560" i="149"/>
  <c r="C561" i="149"/>
  <c r="C562" i="149"/>
  <c r="C563" i="149"/>
  <c r="C564" i="149"/>
  <c r="C565" i="149"/>
  <c r="C566" i="149"/>
  <c r="C567" i="149"/>
  <c r="C568" i="149"/>
  <c r="C569" i="149"/>
  <c r="C570" i="149"/>
  <c r="C571" i="149"/>
  <c r="C572" i="149"/>
  <c r="C573" i="149"/>
  <c r="C574" i="149"/>
  <c r="C575" i="149"/>
  <c r="C576" i="149"/>
  <c r="C577" i="149"/>
  <c r="C578" i="149"/>
  <c r="C579" i="149"/>
  <c r="C580" i="149"/>
  <c r="C581" i="149"/>
  <c r="C582" i="149"/>
  <c r="C583" i="149"/>
  <c r="C584" i="149"/>
  <c r="C585" i="149"/>
  <c r="C586" i="149"/>
  <c r="C587" i="149"/>
  <c r="C588" i="149"/>
  <c r="C589" i="149"/>
  <c r="C590" i="149"/>
  <c r="C591" i="149"/>
  <c r="C592" i="149"/>
  <c r="C593" i="149"/>
  <c r="C594" i="149"/>
  <c r="C595" i="149"/>
  <c r="C596" i="149"/>
  <c r="C597" i="149"/>
  <c r="C598" i="149"/>
  <c r="C599" i="149"/>
  <c r="C600" i="149"/>
  <c r="C601" i="149"/>
  <c r="C602" i="149"/>
  <c r="C603" i="149"/>
  <c r="C604" i="149"/>
  <c r="C605" i="149"/>
  <c r="C606" i="149"/>
  <c r="C607" i="149"/>
  <c r="C608" i="149"/>
  <c r="C609" i="149"/>
  <c r="C610" i="149"/>
  <c r="C611" i="149"/>
  <c r="C612" i="149"/>
  <c r="C613" i="149"/>
  <c r="C614" i="149"/>
  <c r="C615" i="149"/>
  <c r="C616" i="149"/>
  <c r="C617" i="149"/>
  <c r="C618" i="149"/>
  <c r="C619" i="149"/>
  <c r="C620" i="149"/>
  <c r="C621" i="149"/>
  <c r="C622" i="149"/>
  <c r="C623" i="149"/>
  <c r="C624" i="149"/>
  <c r="C625" i="149"/>
  <c r="C626" i="149"/>
  <c r="C627" i="149"/>
  <c r="C628" i="149"/>
  <c r="C629" i="149"/>
  <c r="C630" i="149"/>
  <c r="C631" i="149"/>
  <c r="C632" i="149"/>
  <c r="C633" i="149"/>
  <c r="C634" i="149"/>
  <c r="C635" i="149"/>
  <c r="C636" i="149"/>
  <c r="C637" i="149"/>
  <c r="C638" i="149"/>
  <c r="C639" i="149"/>
  <c r="C640" i="149"/>
  <c r="C641" i="149"/>
  <c r="C642" i="149"/>
  <c r="C643" i="149"/>
  <c r="C644" i="149"/>
  <c r="C645" i="149"/>
  <c r="C646" i="149"/>
  <c r="C647" i="149"/>
  <c r="C648" i="149"/>
  <c r="C649" i="149"/>
  <c r="C650" i="149"/>
  <c r="C651" i="149"/>
  <c r="C652" i="149"/>
  <c r="C653" i="149"/>
  <c r="C654" i="149"/>
  <c r="C655" i="149"/>
  <c r="C656" i="149"/>
  <c r="C657" i="149"/>
  <c r="C658" i="149"/>
  <c r="C659" i="149"/>
  <c r="C660" i="149"/>
  <c r="C661" i="149"/>
  <c r="C662" i="149"/>
  <c r="C663" i="149"/>
  <c r="C664" i="149"/>
  <c r="C665" i="149"/>
  <c r="C666" i="149"/>
  <c r="C667" i="149"/>
  <c r="C668" i="149"/>
  <c r="C669" i="149"/>
  <c r="C670" i="149"/>
  <c r="C671" i="149"/>
  <c r="C672" i="149"/>
  <c r="C673" i="149"/>
  <c r="C674" i="149"/>
  <c r="C675" i="149"/>
  <c r="C676" i="149"/>
  <c r="C677" i="149"/>
  <c r="C678" i="149"/>
  <c r="C679" i="149"/>
  <c r="C680" i="149"/>
  <c r="C681" i="149"/>
  <c r="C682" i="149"/>
  <c r="C683" i="149"/>
  <c r="C684" i="149"/>
  <c r="C685" i="149"/>
  <c r="C686" i="149"/>
  <c r="C687" i="149"/>
  <c r="C688" i="149"/>
  <c r="C689" i="149"/>
  <c r="C690" i="149"/>
  <c r="C691" i="149"/>
  <c r="C692" i="149"/>
  <c r="C693" i="149"/>
  <c r="C694" i="149"/>
  <c r="C695" i="149"/>
  <c r="C696" i="149"/>
  <c r="C697" i="149"/>
  <c r="C698" i="149"/>
  <c r="C699" i="149"/>
  <c r="C700" i="149"/>
  <c r="C701" i="149"/>
  <c r="C702" i="149"/>
  <c r="C703" i="149"/>
  <c r="C704" i="149"/>
  <c r="C705" i="149"/>
  <c r="C706" i="149"/>
  <c r="C707" i="149"/>
  <c r="C708" i="149"/>
  <c r="C709" i="149"/>
  <c r="C710" i="149"/>
  <c r="C711" i="149"/>
  <c r="C712" i="149"/>
  <c r="C713" i="149"/>
  <c r="C714" i="149"/>
  <c r="C715" i="149"/>
  <c r="C716" i="149"/>
  <c r="C717" i="149"/>
  <c r="C718" i="149"/>
  <c r="C719" i="149"/>
  <c r="C720" i="149"/>
  <c r="C721" i="149"/>
  <c r="C722" i="149"/>
  <c r="C723" i="149"/>
  <c r="C724" i="149"/>
  <c r="C725" i="149"/>
  <c r="C726" i="149"/>
  <c r="C727" i="149"/>
  <c r="C728" i="149"/>
  <c r="C729" i="149"/>
  <c r="C730" i="149"/>
  <c r="C731" i="149"/>
  <c r="C732" i="149"/>
  <c r="C733" i="149"/>
  <c r="C734" i="149"/>
  <c r="C735" i="149"/>
  <c r="C736" i="149"/>
  <c r="C737" i="149"/>
  <c r="C738" i="149"/>
  <c r="C739" i="149"/>
  <c r="C740" i="149"/>
  <c r="C741" i="149"/>
  <c r="C742" i="149"/>
  <c r="C743" i="149"/>
  <c r="C744" i="149"/>
  <c r="C745" i="149"/>
  <c r="C746" i="149"/>
  <c r="C747" i="149"/>
  <c r="C748" i="149"/>
  <c r="C749" i="149"/>
  <c r="C750" i="149"/>
  <c r="C751" i="149"/>
  <c r="C752" i="149"/>
  <c r="C753" i="149"/>
  <c r="C754" i="149"/>
  <c r="C755" i="149"/>
  <c r="C756" i="149"/>
  <c r="C757" i="149"/>
  <c r="C758" i="149"/>
  <c r="C759" i="149"/>
  <c r="C760" i="149"/>
  <c r="C761" i="149"/>
  <c r="C762" i="149"/>
  <c r="C763" i="149"/>
  <c r="C764" i="149"/>
  <c r="C765" i="149"/>
  <c r="C766" i="149"/>
  <c r="C767" i="149"/>
  <c r="C768" i="149"/>
  <c r="C769" i="149"/>
  <c r="C770" i="149"/>
  <c r="C771" i="149"/>
  <c r="C772" i="149"/>
  <c r="C773" i="149"/>
  <c r="C774" i="149"/>
  <c r="C775" i="149"/>
  <c r="C776" i="149"/>
  <c r="C777" i="149"/>
  <c r="C778" i="149"/>
  <c r="C779" i="149"/>
  <c r="C780" i="149"/>
  <c r="C781" i="149"/>
  <c r="C782" i="149"/>
  <c r="C783" i="149"/>
  <c r="C784" i="149"/>
  <c r="C785" i="149"/>
  <c r="C786" i="149"/>
  <c r="C787" i="149"/>
  <c r="C788" i="149"/>
  <c r="C789" i="149"/>
  <c r="C790" i="149"/>
  <c r="C791" i="149"/>
  <c r="C792" i="149"/>
  <c r="C793" i="149"/>
  <c r="C794" i="149"/>
  <c r="C795" i="149"/>
  <c r="C796" i="149"/>
  <c r="C797" i="149"/>
  <c r="C798" i="149"/>
  <c r="C799" i="149"/>
  <c r="C800" i="149"/>
  <c r="C801" i="149"/>
  <c r="C802" i="149"/>
  <c r="C803" i="149"/>
  <c r="C804" i="149"/>
  <c r="C805" i="149"/>
  <c r="C806" i="149"/>
  <c r="C807" i="149"/>
  <c r="C808" i="149"/>
  <c r="C809" i="149"/>
  <c r="C810" i="149"/>
  <c r="C811" i="149"/>
  <c r="C812" i="149"/>
  <c r="C813" i="149"/>
  <c r="C814" i="149"/>
  <c r="C815" i="149"/>
  <c r="C816" i="149"/>
  <c r="C817" i="149"/>
  <c r="C818" i="149"/>
  <c r="C819" i="149"/>
  <c r="C820" i="149"/>
  <c r="C821" i="149"/>
  <c r="C822" i="149"/>
  <c r="C823" i="149"/>
  <c r="C824" i="149"/>
  <c r="C825" i="149"/>
  <c r="C826" i="149"/>
  <c r="C827" i="149"/>
  <c r="C828" i="149"/>
  <c r="C829" i="149"/>
  <c r="C830" i="149"/>
  <c r="C831" i="149"/>
  <c r="C832" i="149"/>
  <c r="C833" i="149"/>
  <c r="C834" i="149"/>
  <c r="C835" i="149"/>
  <c r="C836" i="149"/>
  <c r="C837" i="149"/>
  <c r="C838" i="149"/>
  <c r="C839" i="149"/>
  <c r="C840" i="149"/>
  <c r="C841" i="149"/>
  <c r="C842" i="149"/>
  <c r="C843" i="149"/>
  <c r="C844" i="149"/>
  <c r="C845" i="149"/>
  <c r="C846" i="149"/>
  <c r="C847" i="149"/>
  <c r="C848" i="149"/>
  <c r="C849" i="149"/>
  <c r="C850" i="149"/>
  <c r="C851" i="149"/>
  <c r="C852" i="149"/>
  <c r="C853" i="149"/>
  <c r="C854" i="149"/>
  <c r="C855" i="149"/>
  <c r="C856" i="149"/>
  <c r="C857" i="149"/>
  <c r="C858" i="149"/>
  <c r="C859" i="149"/>
  <c r="C860" i="149"/>
  <c r="C861" i="149"/>
  <c r="C862" i="149"/>
  <c r="C863" i="149"/>
  <c r="C864" i="149"/>
  <c r="C865" i="149"/>
  <c r="C866" i="149"/>
  <c r="C867" i="149"/>
  <c r="C868" i="149"/>
  <c r="C869" i="149"/>
  <c r="C870" i="149"/>
  <c r="C871" i="149"/>
  <c r="C872" i="149"/>
  <c r="C873" i="149"/>
  <c r="C874" i="149"/>
  <c r="C875" i="149"/>
  <c r="C876" i="149"/>
  <c r="C877" i="149"/>
  <c r="C878" i="149"/>
  <c r="C879" i="149"/>
  <c r="C880" i="149"/>
  <c r="C881" i="149"/>
  <c r="C882" i="149"/>
  <c r="C883" i="149"/>
  <c r="C884" i="149"/>
  <c r="C885" i="149"/>
  <c r="C886" i="149"/>
  <c r="C887" i="149"/>
  <c r="C888" i="149"/>
  <c r="C889" i="149"/>
  <c r="C890" i="149"/>
  <c r="C891" i="149"/>
  <c r="C892" i="149"/>
  <c r="C893" i="149"/>
  <c r="C894" i="149"/>
  <c r="C895" i="149"/>
  <c r="C896" i="149"/>
  <c r="C897" i="149"/>
  <c r="C898" i="149"/>
  <c r="C899" i="149"/>
  <c r="C900" i="149"/>
  <c r="C901" i="149"/>
  <c r="C902" i="149"/>
  <c r="C903" i="149"/>
  <c r="C904" i="149"/>
  <c r="C905" i="149"/>
  <c r="C906" i="149"/>
  <c r="C907" i="149"/>
  <c r="C908" i="149"/>
  <c r="C909" i="149"/>
  <c r="C910" i="149"/>
  <c r="C911" i="149"/>
  <c r="C912" i="149"/>
  <c r="C913" i="149"/>
  <c r="C914" i="149"/>
  <c r="C915" i="149"/>
  <c r="C916" i="149"/>
  <c r="C917" i="149"/>
  <c r="C918" i="149"/>
  <c r="C919" i="149"/>
  <c r="C920" i="149"/>
  <c r="C921" i="149"/>
  <c r="C922" i="149"/>
  <c r="C923" i="149"/>
  <c r="C924" i="149"/>
  <c r="C925" i="149"/>
  <c r="C926" i="149"/>
  <c r="C927" i="149"/>
  <c r="C928" i="149"/>
  <c r="C929" i="149"/>
  <c r="C930" i="149"/>
  <c r="C931" i="149"/>
  <c r="C932" i="149"/>
  <c r="C933" i="149"/>
  <c r="C934" i="149"/>
  <c r="C935" i="149"/>
  <c r="C936" i="149"/>
  <c r="C937" i="149"/>
  <c r="C938" i="149"/>
  <c r="C939" i="149"/>
  <c r="C940" i="149"/>
  <c r="C941" i="149"/>
  <c r="C942" i="149"/>
  <c r="C943" i="149"/>
  <c r="C944" i="149"/>
  <c r="C945" i="149"/>
  <c r="C946" i="149"/>
  <c r="C947" i="149"/>
  <c r="C948" i="149"/>
  <c r="C949" i="149"/>
  <c r="C950" i="149"/>
  <c r="C951" i="149"/>
  <c r="C952" i="149"/>
  <c r="C953" i="149"/>
  <c r="C954" i="149"/>
  <c r="C955" i="149"/>
  <c r="C956" i="149"/>
  <c r="C957" i="149"/>
  <c r="C958" i="149"/>
  <c r="C959" i="149"/>
  <c r="C960" i="149"/>
  <c r="C961" i="149"/>
  <c r="C962" i="149"/>
  <c r="C963" i="149"/>
  <c r="C964" i="149"/>
  <c r="C965" i="149"/>
  <c r="C966" i="149"/>
  <c r="C967" i="149"/>
  <c r="C968" i="149"/>
  <c r="C969" i="149"/>
  <c r="C970" i="149"/>
  <c r="C971" i="149"/>
  <c r="C972" i="149"/>
  <c r="C973" i="149"/>
  <c r="C974" i="149"/>
  <c r="C975" i="149"/>
  <c r="C976" i="149"/>
  <c r="C977" i="149"/>
  <c r="C978" i="149"/>
  <c r="C979" i="149"/>
  <c r="C980" i="149"/>
  <c r="C981" i="149"/>
  <c r="C982" i="149"/>
  <c r="C983" i="149"/>
  <c r="C984" i="149"/>
  <c r="C985" i="149"/>
  <c r="C986" i="149"/>
  <c r="C987" i="149"/>
  <c r="C988" i="149"/>
  <c r="C989" i="149"/>
  <c r="C990" i="149"/>
  <c r="C991" i="149"/>
  <c r="C992" i="149"/>
  <c r="C993" i="149"/>
  <c r="C994" i="149"/>
  <c r="C995" i="149"/>
  <c r="C996" i="149"/>
  <c r="C997" i="149"/>
  <c r="C998" i="149"/>
  <c r="C999" i="149"/>
  <c r="C1000" i="149"/>
  <c r="C1001" i="149"/>
  <c r="C1002" i="149"/>
  <c r="C1003" i="149"/>
  <c r="C1004" i="149"/>
  <c r="C1005" i="149"/>
  <c r="C1006" i="149"/>
  <c r="C1007" i="149"/>
  <c r="C1008" i="149"/>
  <c r="C1009" i="149"/>
  <c r="C1010" i="149"/>
  <c r="J628" i="149" l="1"/>
  <c r="L999" i="149"/>
  <c r="K999" i="149"/>
  <c r="J999" i="149"/>
  <c r="L987" i="149"/>
  <c r="K987" i="149"/>
  <c r="J987" i="149"/>
  <c r="L975" i="149"/>
  <c r="K975" i="149"/>
  <c r="J975" i="149"/>
  <c r="L963" i="149"/>
  <c r="K963" i="149"/>
  <c r="J963" i="149"/>
  <c r="L955" i="149"/>
  <c r="K955" i="149"/>
  <c r="J955" i="149"/>
  <c r="L939" i="149"/>
  <c r="K939" i="149"/>
  <c r="J939" i="149"/>
  <c r="L927" i="149"/>
  <c r="K927" i="149"/>
  <c r="J927" i="149"/>
  <c r="L915" i="149"/>
  <c r="K915" i="149"/>
  <c r="J915" i="149"/>
  <c r="L903" i="149"/>
  <c r="K903" i="149"/>
  <c r="J903" i="149"/>
  <c r="L895" i="149"/>
  <c r="K895" i="149"/>
  <c r="J895" i="149"/>
  <c r="L883" i="149"/>
  <c r="K883" i="149"/>
  <c r="J883" i="149"/>
  <c r="L875" i="149"/>
  <c r="K875" i="149"/>
  <c r="J875" i="149"/>
  <c r="L867" i="149"/>
  <c r="K867" i="149"/>
  <c r="J867" i="149"/>
  <c r="L855" i="149"/>
  <c r="K855" i="149"/>
  <c r="J855" i="149"/>
  <c r="L843" i="149"/>
  <c r="K843" i="149"/>
  <c r="J843" i="149"/>
  <c r="L835" i="149"/>
  <c r="K835" i="149"/>
  <c r="J835" i="149"/>
  <c r="L827" i="149"/>
  <c r="K827" i="149"/>
  <c r="J827" i="149"/>
  <c r="L819" i="149"/>
  <c r="K819" i="149"/>
  <c r="J819" i="149"/>
  <c r="L799" i="149"/>
  <c r="K799" i="149"/>
  <c r="J799" i="149"/>
  <c r="L703" i="149"/>
  <c r="K703" i="149"/>
  <c r="J703" i="149"/>
  <c r="L695" i="149"/>
  <c r="K695" i="149"/>
  <c r="J695" i="149"/>
  <c r="L687" i="149"/>
  <c r="K687" i="149"/>
  <c r="J687" i="149"/>
  <c r="L671" i="149"/>
  <c r="K671" i="149"/>
  <c r="J671" i="149"/>
  <c r="L663" i="149"/>
  <c r="K663" i="149"/>
  <c r="J663" i="149"/>
  <c r="L655" i="149"/>
  <c r="K655" i="149"/>
  <c r="J655" i="149"/>
  <c r="L647" i="149"/>
  <c r="K647" i="149"/>
  <c r="J647" i="149"/>
  <c r="L639" i="149"/>
  <c r="K639" i="149"/>
  <c r="J639" i="149"/>
  <c r="L627" i="149"/>
  <c r="K627" i="149"/>
  <c r="J627" i="149"/>
  <c r="L615" i="149"/>
  <c r="K615" i="149"/>
  <c r="J615" i="149"/>
  <c r="L603" i="149"/>
  <c r="K603" i="149"/>
  <c r="J603" i="149"/>
  <c r="L591" i="149"/>
  <c r="K591" i="149"/>
  <c r="J591" i="149"/>
  <c r="L579" i="149"/>
  <c r="K579" i="149"/>
  <c r="J579" i="149"/>
  <c r="L571" i="149"/>
  <c r="K571" i="149"/>
  <c r="J571" i="149"/>
  <c r="L559" i="149"/>
  <c r="K559" i="149"/>
  <c r="J559" i="149"/>
  <c r="L547" i="149"/>
  <c r="K547" i="149"/>
  <c r="J547" i="149"/>
  <c r="L535" i="149"/>
  <c r="K535" i="149"/>
  <c r="J535" i="149"/>
  <c r="L523" i="149"/>
  <c r="K523" i="149"/>
  <c r="J523" i="149"/>
  <c r="L511" i="149"/>
  <c r="K511" i="149"/>
  <c r="J511" i="149"/>
  <c r="L495" i="149"/>
  <c r="K495" i="149"/>
  <c r="J495" i="149"/>
  <c r="L483" i="149"/>
  <c r="K483" i="149"/>
  <c r="J483" i="149"/>
  <c r="L463" i="149"/>
  <c r="K463" i="149"/>
  <c r="J463" i="149"/>
  <c r="L447" i="149"/>
  <c r="K447" i="149"/>
  <c r="J447" i="149"/>
  <c r="L435" i="149"/>
  <c r="K435" i="149"/>
  <c r="J435" i="149"/>
  <c r="L423" i="149"/>
  <c r="K423" i="149"/>
  <c r="J423" i="149"/>
  <c r="L411" i="149"/>
  <c r="K411" i="149"/>
  <c r="J411" i="149"/>
  <c r="L399" i="149"/>
  <c r="K399" i="149"/>
  <c r="J399" i="149"/>
  <c r="L383" i="149"/>
  <c r="K383" i="149"/>
  <c r="J383" i="149"/>
  <c r="L371" i="149"/>
  <c r="K371" i="149"/>
  <c r="J371" i="149"/>
  <c r="L359" i="149"/>
  <c r="K359" i="149"/>
  <c r="J359" i="149"/>
  <c r="L351" i="149"/>
  <c r="K351" i="149"/>
  <c r="J351" i="149"/>
  <c r="L339" i="149"/>
  <c r="K339" i="149"/>
  <c r="J339" i="149"/>
  <c r="L331" i="149"/>
  <c r="K331" i="149"/>
  <c r="J331" i="149"/>
  <c r="L323" i="149"/>
  <c r="K323" i="149"/>
  <c r="J323" i="149"/>
  <c r="L311" i="149"/>
  <c r="K311" i="149"/>
  <c r="J311" i="149"/>
  <c r="L303" i="149"/>
  <c r="K303" i="149"/>
  <c r="J303" i="149"/>
  <c r="L291" i="149"/>
  <c r="K291" i="149"/>
  <c r="J291" i="149"/>
  <c r="L279" i="149"/>
  <c r="K279" i="149"/>
  <c r="J279" i="149"/>
  <c r="L275" i="149"/>
  <c r="K275" i="149"/>
  <c r="J275" i="149"/>
  <c r="L263" i="149"/>
  <c r="K263" i="149"/>
  <c r="J263" i="149"/>
  <c r="L251" i="149"/>
  <c r="K251" i="149"/>
  <c r="J251" i="149"/>
  <c r="L239" i="149"/>
  <c r="K239" i="149"/>
  <c r="J239" i="149"/>
  <c r="L227" i="149"/>
  <c r="K227" i="149"/>
  <c r="J227" i="149"/>
  <c r="L215" i="149"/>
  <c r="K215" i="149"/>
  <c r="J215" i="149"/>
  <c r="L203" i="149"/>
  <c r="K203" i="149"/>
  <c r="J203" i="149"/>
  <c r="L187" i="149"/>
  <c r="K187" i="149"/>
  <c r="J187" i="149"/>
  <c r="L175" i="149"/>
  <c r="K175" i="149"/>
  <c r="J175" i="149"/>
  <c r="L167" i="149"/>
  <c r="K167" i="149"/>
  <c r="J167" i="149"/>
  <c r="L155" i="149"/>
  <c r="K155" i="149"/>
  <c r="J155" i="149"/>
  <c r="L147" i="149"/>
  <c r="K147" i="149"/>
  <c r="J147" i="149"/>
  <c r="L135" i="149"/>
  <c r="K135" i="149"/>
  <c r="L119" i="149"/>
  <c r="K119" i="149"/>
  <c r="J119" i="149"/>
  <c r="L107" i="149"/>
  <c r="K107" i="149"/>
  <c r="J107" i="149"/>
  <c r="L95" i="149"/>
  <c r="K95" i="149"/>
  <c r="J95" i="149"/>
  <c r="L79" i="149"/>
  <c r="K79" i="149"/>
  <c r="J79" i="149"/>
  <c r="L67" i="149"/>
  <c r="K67" i="149"/>
  <c r="J67" i="149"/>
  <c r="L59" i="149"/>
  <c r="K59" i="149"/>
  <c r="J59" i="149"/>
  <c r="L47" i="149"/>
  <c r="K47" i="149"/>
  <c r="J47" i="149"/>
  <c r="L35" i="149"/>
  <c r="K35" i="149"/>
  <c r="J35" i="149"/>
  <c r="L23" i="149"/>
  <c r="K23" i="149"/>
  <c r="J23" i="149"/>
  <c r="L1010" i="149"/>
  <c r="J1010" i="149"/>
  <c r="L1006" i="149"/>
  <c r="K1006" i="149"/>
  <c r="J1006" i="149"/>
  <c r="L1002" i="149"/>
  <c r="K1002" i="149"/>
  <c r="J1002" i="149"/>
  <c r="L998" i="149"/>
  <c r="K998" i="149"/>
  <c r="J998" i="149"/>
  <c r="L994" i="149"/>
  <c r="K994" i="149"/>
  <c r="J994" i="149"/>
  <c r="L990" i="149"/>
  <c r="K990" i="149"/>
  <c r="J990" i="149"/>
  <c r="L986" i="149"/>
  <c r="K986" i="149"/>
  <c r="J986" i="149"/>
  <c r="L982" i="149"/>
  <c r="K982" i="149"/>
  <c r="J982" i="149"/>
  <c r="L978" i="149"/>
  <c r="J978" i="149"/>
  <c r="L974" i="149"/>
  <c r="K974" i="149"/>
  <c r="J974" i="149"/>
  <c r="L970" i="149"/>
  <c r="K970" i="149"/>
  <c r="J970" i="149"/>
  <c r="L966" i="149"/>
  <c r="K966" i="149"/>
  <c r="J966" i="149"/>
  <c r="L962" i="149"/>
  <c r="K962" i="149"/>
  <c r="J962" i="149"/>
  <c r="L958" i="149"/>
  <c r="K958" i="149"/>
  <c r="J958" i="149"/>
  <c r="L954" i="149"/>
  <c r="K954" i="149"/>
  <c r="J954" i="149"/>
  <c r="L950" i="149"/>
  <c r="K950" i="149"/>
  <c r="J950" i="149"/>
  <c r="L946" i="149"/>
  <c r="J946" i="149"/>
  <c r="L942" i="149"/>
  <c r="K942" i="149"/>
  <c r="J942" i="149"/>
  <c r="L938" i="149"/>
  <c r="K938" i="149"/>
  <c r="J938" i="149"/>
  <c r="L934" i="149"/>
  <c r="K934" i="149"/>
  <c r="J934" i="149"/>
  <c r="L930" i="149"/>
  <c r="K930" i="149"/>
  <c r="J930" i="149"/>
  <c r="L926" i="149"/>
  <c r="K926" i="149"/>
  <c r="J926" i="149"/>
  <c r="L922" i="149"/>
  <c r="K922" i="149"/>
  <c r="J922" i="149"/>
  <c r="L918" i="149"/>
  <c r="K918" i="149"/>
  <c r="J918" i="149"/>
  <c r="L914" i="149"/>
  <c r="J914" i="149"/>
  <c r="L910" i="149"/>
  <c r="K910" i="149"/>
  <c r="J910" i="149"/>
  <c r="L906" i="149"/>
  <c r="K906" i="149"/>
  <c r="J906" i="149"/>
  <c r="L902" i="149"/>
  <c r="K902" i="149"/>
  <c r="J902" i="149"/>
  <c r="L898" i="149"/>
  <c r="K898" i="149"/>
  <c r="J898" i="149"/>
  <c r="L894" i="149"/>
  <c r="K894" i="149"/>
  <c r="J894" i="149"/>
  <c r="L890" i="149"/>
  <c r="K890" i="149"/>
  <c r="J890" i="149"/>
  <c r="L886" i="149"/>
  <c r="K886" i="149"/>
  <c r="J886" i="149"/>
  <c r="L882" i="149"/>
  <c r="J882" i="149"/>
  <c r="L878" i="149"/>
  <c r="K878" i="149"/>
  <c r="J878" i="149"/>
  <c r="L874" i="149"/>
  <c r="K874" i="149"/>
  <c r="J874" i="149"/>
  <c r="L870" i="149"/>
  <c r="K870" i="149"/>
  <c r="J870" i="149"/>
  <c r="L866" i="149"/>
  <c r="K866" i="149"/>
  <c r="J866" i="149"/>
  <c r="L862" i="149"/>
  <c r="K862" i="149"/>
  <c r="J862" i="149"/>
  <c r="L858" i="149"/>
  <c r="K858" i="149"/>
  <c r="J858" i="149"/>
  <c r="L854" i="149"/>
  <c r="K854" i="149"/>
  <c r="J854" i="149"/>
  <c r="L850" i="149"/>
  <c r="K850" i="149"/>
  <c r="J850" i="149"/>
  <c r="L846" i="149"/>
  <c r="K846" i="149"/>
  <c r="J846" i="149"/>
  <c r="L842" i="149"/>
  <c r="K842" i="149"/>
  <c r="J842" i="149"/>
  <c r="L838" i="149"/>
  <c r="K838" i="149"/>
  <c r="J838" i="149"/>
  <c r="L834" i="149"/>
  <c r="K834" i="149"/>
  <c r="J834" i="149"/>
  <c r="L830" i="149"/>
  <c r="K830" i="149"/>
  <c r="J830" i="149"/>
  <c r="L826" i="149"/>
  <c r="K826" i="149"/>
  <c r="J826" i="149"/>
  <c r="L822" i="149"/>
  <c r="K822" i="149"/>
  <c r="J822" i="149"/>
  <c r="L818" i="149"/>
  <c r="K818" i="149"/>
  <c r="J818" i="149"/>
  <c r="L814" i="149"/>
  <c r="K814" i="149"/>
  <c r="J814" i="149"/>
  <c r="L810" i="149"/>
  <c r="K810" i="149"/>
  <c r="J810" i="149"/>
  <c r="L806" i="149"/>
  <c r="K806" i="149"/>
  <c r="J806" i="149"/>
  <c r="L802" i="149"/>
  <c r="K802" i="149"/>
  <c r="J802" i="149"/>
  <c r="L798" i="149"/>
  <c r="K798" i="149"/>
  <c r="J798" i="149"/>
  <c r="L794" i="149"/>
  <c r="K794" i="149"/>
  <c r="J794" i="149"/>
  <c r="L790" i="149"/>
  <c r="K790" i="149"/>
  <c r="J790" i="149"/>
  <c r="L786" i="149"/>
  <c r="K786" i="149"/>
  <c r="J786" i="149"/>
  <c r="L782" i="149"/>
  <c r="K782" i="149"/>
  <c r="J782" i="149"/>
  <c r="L778" i="149"/>
  <c r="K778" i="149"/>
  <c r="J778" i="149"/>
  <c r="L774" i="149"/>
  <c r="K774" i="149"/>
  <c r="J774" i="149"/>
  <c r="L770" i="149"/>
  <c r="K770" i="149"/>
  <c r="J770" i="149"/>
  <c r="L766" i="149"/>
  <c r="K766" i="149"/>
  <c r="J766" i="149"/>
  <c r="L762" i="149"/>
  <c r="K762" i="149"/>
  <c r="J762" i="149"/>
  <c r="L758" i="149"/>
  <c r="K758" i="149"/>
  <c r="J758" i="149"/>
  <c r="L754" i="149"/>
  <c r="K754" i="149"/>
  <c r="J754" i="149"/>
  <c r="L750" i="149"/>
  <c r="K750" i="149"/>
  <c r="J750" i="149"/>
  <c r="L746" i="149"/>
  <c r="K746" i="149"/>
  <c r="J746" i="149"/>
  <c r="L742" i="149"/>
  <c r="K742" i="149"/>
  <c r="J742" i="149"/>
  <c r="L738" i="149"/>
  <c r="K738" i="149"/>
  <c r="J738" i="149"/>
  <c r="L734" i="149"/>
  <c r="K734" i="149"/>
  <c r="J734" i="149"/>
  <c r="L730" i="149"/>
  <c r="K730" i="149"/>
  <c r="J730" i="149"/>
  <c r="L726" i="149"/>
  <c r="K726" i="149"/>
  <c r="J726" i="149"/>
  <c r="L722" i="149"/>
  <c r="K722" i="149"/>
  <c r="J722" i="149"/>
  <c r="L718" i="149"/>
  <c r="K718" i="149"/>
  <c r="J718" i="149"/>
  <c r="L714" i="149"/>
  <c r="K714" i="149"/>
  <c r="J714" i="149"/>
  <c r="L710" i="149"/>
  <c r="K710" i="149"/>
  <c r="J710" i="149"/>
  <c r="L706" i="149"/>
  <c r="K706" i="149"/>
  <c r="J706" i="149"/>
  <c r="L702" i="149"/>
  <c r="K702" i="149"/>
  <c r="J702" i="149"/>
  <c r="L698" i="149"/>
  <c r="K698" i="149"/>
  <c r="J698" i="149"/>
  <c r="L694" i="149"/>
  <c r="K694" i="149"/>
  <c r="J694" i="149"/>
  <c r="L690" i="149"/>
  <c r="K690" i="149"/>
  <c r="J690" i="149"/>
  <c r="L686" i="149"/>
  <c r="K686" i="149"/>
  <c r="J686" i="149"/>
  <c r="L682" i="149"/>
  <c r="K682" i="149"/>
  <c r="J682" i="149"/>
  <c r="L678" i="149"/>
  <c r="K678" i="149"/>
  <c r="J678" i="149"/>
  <c r="L674" i="149"/>
  <c r="K674" i="149"/>
  <c r="J674" i="149"/>
  <c r="L670" i="149"/>
  <c r="K670" i="149"/>
  <c r="J670" i="149"/>
  <c r="L666" i="149"/>
  <c r="K666" i="149"/>
  <c r="J666" i="149"/>
  <c r="L662" i="149"/>
  <c r="K662" i="149"/>
  <c r="J662" i="149"/>
  <c r="L658" i="149"/>
  <c r="K658" i="149"/>
  <c r="J658" i="149"/>
  <c r="L654" i="149"/>
  <c r="K654" i="149"/>
  <c r="J654" i="149"/>
  <c r="L650" i="149"/>
  <c r="K650" i="149"/>
  <c r="J650" i="149"/>
  <c r="L646" i="149"/>
  <c r="K646" i="149"/>
  <c r="J646" i="149"/>
  <c r="L642" i="149"/>
  <c r="K642" i="149"/>
  <c r="J642" i="149"/>
  <c r="L638" i="149"/>
  <c r="K638" i="149"/>
  <c r="J638" i="149"/>
  <c r="L634" i="149"/>
  <c r="K634" i="149"/>
  <c r="J634" i="149"/>
  <c r="L630" i="149"/>
  <c r="K630" i="149"/>
  <c r="J630" i="149"/>
  <c r="L626" i="149"/>
  <c r="K626" i="149"/>
  <c r="J626" i="149"/>
  <c r="L622" i="149"/>
  <c r="K622" i="149"/>
  <c r="J622" i="149"/>
  <c r="L618" i="149"/>
  <c r="K618" i="149"/>
  <c r="J618" i="149"/>
  <c r="L614" i="149"/>
  <c r="K614" i="149"/>
  <c r="J614" i="149"/>
  <c r="L610" i="149"/>
  <c r="K610" i="149"/>
  <c r="J610" i="149"/>
  <c r="L606" i="149"/>
  <c r="K606" i="149"/>
  <c r="J606" i="149"/>
  <c r="L602" i="149"/>
  <c r="K602" i="149"/>
  <c r="J602" i="149"/>
  <c r="L598" i="149"/>
  <c r="K598" i="149"/>
  <c r="J598" i="149"/>
  <c r="L594" i="149"/>
  <c r="K594" i="149"/>
  <c r="J594" i="149"/>
  <c r="L590" i="149"/>
  <c r="K590" i="149"/>
  <c r="J590" i="149"/>
  <c r="L586" i="149"/>
  <c r="K586" i="149"/>
  <c r="J586" i="149"/>
  <c r="L582" i="149"/>
  <c r="K582" i="149"/>
  <c r="J582" i="149"/>
  <c r="L578" i="149"/>
  <c r="K578" i="149"/>
  <c r="J578" i="149"/>
  <c r="L574" i="149"/>
  <c r="K574" i="149"/>
  <c r="J574" i="149"/>
  <c r="L570" i="149"/>
  <c r="K570" i="149"/>
  <c r="J570" i="149"/>
  <c r="L566" i="149"/>
  <c r="K566" i="149"/>
  <c r="J566" i="149"/>
  <c r="L562" i="149"/>
  <c r="K562" i="149"/>
  <c r="J562" i="149"/>
  <c r="L558" i="149"/>
  <c r="K558" i="149"/>
  <c r="J558" i="149"/>
  <c r="L554" i="149"/>
  <c r="K554" i="149"/>
  <c r="J554" i="149"/>
  <c r="L550" i="149"/>
  <c r="K550" i="149"/>
  <c r="J550" i="149"/>
  <c r="L546" i="149"/>
  <c r="K546" i="149"/>
  <c r="J546" i="149"/>
  <c r="L542" i="149"/>
  <c r="K542" i="149"/>
  <c r="J542" i="149"/>
  <c r="L538" i="149"/>
  <c r="K538" i="149"/>
  <c r="J538" i="149"/>
  <c r="L534" i="149"/>
  <c r="K534" i="149"/>
  <c r="J534" i="149"/>
  <c r="L530" i="149"/>
  <c r="K530" i="149"/>
  <c r="J530" i="149"/>
  <c r="L526" i="149"/>
  <c r="K526" i="149"/>
  <c r="J526" i="149"/>
  <c r="L522" i="149"/>
  <c r="K522" i="149"/>
  <c r="J522" i="149"/>
  <c r="L518" i="149"/>
  <c r="K518" i="149"/>
  <c r="J518" i="149"/>
  <c r="L514" i="149"/>
  <c r="K514" i="149"/>
  <c r="J514" i="149"/>
  <c r="L510" i="149"/>
  <c r="K510" i="149"/>
  <c r="J510" i="149"/>
  <c r="L506" i="149"/>
  <c r="K506" i="149"/>
  <c r="J506" i="149"/>
  <c r="L502" i="149"/>
  <c r="K502" i="149"/>
  <c r="J502" i="149"/>
  <c r="L498" i="149"/>
  <c r="K498" i="149"/>
  <c r="J498" i="149"/>
  <c r="L494" i="149"/>
  <c r="K494" i="149"/>
  <c r="J494" i="149"/>
  <c r="L490" i="149"/>
  <c r="K490" i="149"/>
  <c r="J490" i="149"/>
  <c r="L486" i="149"/>
  <c r="K486" i="149"/>
  <c r="J486" i="149"/>
  <c r="L482" i="149"/>
  <c r="K482" i="149"/>
  <c r="J482" i="149"/>
  <c r="L478" i="149"/>
  <c r="K478" i="149"/>
  <c r="J478" i="149"/>
  <c r="L474" i="149"/>
  <c r="K474" i="149"/>
  <c r="J474" i="149"/>
  <c r="L470" i="149"/>
  <c r="K470" i="149"/>
  <c r="J470" i="149"/>
  <c r="L466" i="149"/>
  <c r="K466" i="149"/>
  <c r="J466" i="149"/>
  <c r="L462" i="149"/>
  <c r="K462" i="149"/>
  <c r="J462" i="149"/>
  <c r="L458" i="149"/>
  <c r="K458" i="149"/>
  <c r="J458" i="149"/>
  <c r="L454" i="149"/>
  <c r="K454" i="149"/>
  <c r="J454" i="149"/>
  <c r="L450" i="149"/>
  <c r="K450" i="149"/>
  <c r="J450" i="149"/>
  <c r="L446" i="149"/>
  <c r="K446" i="149"/>
  <c r="J446" i="149"/>
  <c r="L442" i="149"/>
  <c r="K442" i="149"/>
  <c r="J442" i="149"/>
  <c r="L438" i="149"/>
  <c r="K438" i="149"/>
  <c r="J438" i="149"/>
  <c r="L434" i="149"/>
  <c r="K434" i="149"/>
  <c r="J434" i="149"/>
  <c r="L430" i="149"/>
  <c r="K430" i="149"/>
  <c r="J430" i="149"/>
  <c r="L426" i="149"/>
  <c r="K426" i="149"/>
  <c r="J426" i="149"/>
  <c r="L422" i="149"/>
  <c r="K422" i="149"/>
  <c r="J422" i="149"/>
  <c r="L418" i="149"/>
  <c r="K418" i="149"/>
  <c r="J418" i="149"/>
  <c r="L414" i="149"/>
  <c r="K414" i="149"/>
  <c r="J414" i="149"/>
  <c r="L410" i="149"/>
  <c r="J410" i="149"/>
  <c r="L406" i="149"/>
  <c r="K406" i="149"/>
  <c r="J406" i="149"/>
  <c r="L402" i="149"/>
  <c r="K402" i="149"/>
  <c r="J402" i="149"/>
  <c r="L398" i="149"/>
  <c r="K398" i="149"/>
  <c r="J398" i="149"/>
  <c r="L394" i="149"/>
  <c r="K394" i="149"/>
  <c r="J394" i="149"/>
  <c r="L390" i="149"/>
  <c r="K390" i="149"/>
  <c r="J390" i="149"/>
  <c r="L386" i="149"/>
  <c r="K386" i="149"/>
  <c r="J386" i="149"/>
  <c r="L382" i="149"/>
  <c r="K382" i="149"/>
  <c r="J382" i="149"/>
  <c r="L378" i="149"/>
  <c r="K378" i="149"/>
  <c r="J378" i="149"/>
  <c r="L374" i="149"/>
  <c r="K374" i="149"/>
  <c r="J374" i="149"/>
  <c r="L370" i="149"/>
  <c r="K370" i="149"/>
  <c r="J370" i="149"/>
  <c r="L366" i="149"/>
  <c r="K366" i="149"/>
  <c r="J366" i="149"/>
  <c r="L362" i="149"/>
  <c r="K362" i="149"/>
  <c r="J362" i="149"/>
  <c r="L358" i="149"/>
  <c r="K358" i="149"/>
  <c r="J358" i="149"/>
  <c r="L354" i="149"/>
  <c r="K354" i="149"/>
  <c r="J354" i="149"/>
  <c r="L350" i="149"/>
  <c r="K350" i="149"/>
  <c r="J350" i="149"/>
  <c r="L346" i="149"/>
  <c r="K346" i="149"/>
  <c r="J346" i="149"/>
  <c r="L342" i="149"/>
  <c r="K342" i="149"/>
  <c r="J342" i="149"/>
  <c r="L338" i="149"/>
  <c r="K338" i="149"/>
  <c r="J338" i="149"/>
  <c r="L334" i="149"/>
  <c r="K334" i="149"/>
  <c r="J334" i="149"/>
  <c r="L330" i="149"/>
  <c r="K330" i="149"/>
  <c r="J330" i="149"/>
  <c r="L326" i="149"/>
  <c r="K326" i="149"/>
  <c r="J326" i="149"/>
  <c r="L322" i="149"/>
  <c r="K322" i="149"/>
  <c r="J322" i="149"/>
  <c r="L318" i="149"/>
  <c r="K318" i="149"/>
  <c r="J318" i="149"/>
  <c r="L314" i="149"/>
  <c r="K314" i="149"/>
  <c r="J314" i="149"/>
  <c r="L310" i="149"/>
  <c r="K310" i="149"/>
  <c r="J310" i="149"/>
  <c r="L306" i="149"/>
  <c r="K306" i="149"/>
  <c r="J306" i="149"/>
  <c r="L302" i="149"/>
  <c r="K302" i="149"/>
  <c r="J302" i="149"/>
  <c r="L298" i="149"/>
  <c r="K298" i="149"/>
  <c r="J298" i="149"/>
  <c r="L294" i="149"/>
  <c r="K294" i="149"/>
  <c r="J294" i="149"/>
  <c r="L290" i="149"/>
  <c r="K290" i="149"/>
  <c r="J290" i="149"/>
  <c r="L286" i="149"/>
  <c r="K286" i="149"/>
  <c r="J286" i="149"/>
  <c r="L282" i="149"/>
  <c r="K282" i="149"/>
  <c r="J282" i="149"/>
  <c r="L278" i="149"/>
  <c r="K278" i="149"/>
  <c r="J278" i="149"/>
  <c r="L274" i="149"/>
  <c r="K274" i="149"/>
  <c r="J274" i="149"/>
  <c r="L270" i="149"/>
  <c r="K270" i="149"/>
  <c r="J270" i="149"/>
  <c r="L266" i="149"/>
  <c r="K266" i="149"/>
  <c r="J266" i="149"/>
  <c r="L262" i="149"/>
  <c r="K262" i="149"/>
  <c r="J262" i="149"/>
  <c r="L258" i="149"/>
  <c r="K258" i="149"/>
  <c r="J258" i="149"/>
  <c r="L254" i="149"/>
  <c r="K254" i="149"/>
  <c r="J254" i="149"/>
  <c r="L250" i="149"/>
  <c r="K250" i="149"/>
  <c r="J250" i="149"/>
  <c r="L246" i="149"/>
  <c r="K246" i="149"/>
  <c r="J246" i="149"/>
  <c r="L242" i="149"/>
  <c r="K242" i="149"/>
  <c r="J242" i="149"/>
  <c r="L238" i="149"/>
  <c r="K238" i="149"/>
  <c r="J238" i="149"/>
  <c r="L234" i="149"/>
  <c r="K234" i="149"/>
  <c r="J234" i="149"/>
  <c r="L230" i="149"/>
  <c r="K230" i="149"/>
  <c r="J230" i="149"/>
  <c r="L226" i="149"/>
  <c r="K226" i="149"/>
  <c r="J226" i="149"/>
  <c r="L222" i="149"/>
  <c r="K222" i="149"/>
  <c r="J222" i="149"/>
  <c r="L218" i="149"/>
  <c r="K218" i="149"/>
  <c r="J218" i="149"/>
  <c r="L214" i="149"/>
  <c r="K214" i="149"/>
  <c r="J214" i="149"/>
  <c r="L210" i="149"/>
  <c r="K210" i="149"/>
  <c r="J210" i="149"/>
  <c r="L206" i="149"/>
  <c r="K206" i="149"/>
  <c r="J206" i="149"/>
  <c r="L202" i="149"/>
  <c r="K202" i="149"/>
  <c r="J202" i="149"/>
  <c r="L198" i="149"/>
  <c r="K198" i="149"/>
  <c r="J198" i="149"/>
  <c r="L194" i="149"/>
  <c r="K194" i="149"/>
  <c r="J194" i="149"/>
  <c r="L190" i="149"/>
  <c r="K190" i="149"/>
  <c r="J190" i="149"/>
  <c r="L186" i="149"/>
  <c r="K186" i="149"/>
  <c r="J186" i="149"/>
  <c r="L182" i="149"/>
  <c r="K182" i="149"/>
  <c r="J182" i="149"/>
  <c r="L178" i="149"/>
  <c r="K178" i="149"/>
  <c r="J178" i="149"/>
  <c r="L174" i="149"/>
  <c r="K174" i="149"/>
  <c r="J174" i="149"/>
  <c r="L170" i="149"/>
  <c r="K170" i="149"/>
  <c r="J170" i="149"/>
  <c r="L166" i="149"/>
  <c r="K166" i="149"/>
  <c r="J166" i="149"/>
  <c r="L162" i="149"/>
  <c r="K162" i="149"/>
  <c r="J162" i="149"/>
  <c r="L158" i="149"/>
  <c r="K158" i="149"/>
  <c r="J158" i="149"/>
  <c r="L154" i="149"/>
  <c r="K154" i="149"/>
  <c r="L150" i="149"/>
  <c r="K150" i="149"/>
  <c r="J150" i="149"/>
  <c r="L146" i="149"/>
  <c r="K146" i="149"/>
  <c r="J146" i="149"/>
  <c r="L142" i="149"/>
  <c r="K142" i="149"/>
  <c r="J142" i="149"/>
  <c r="L138" i="149"/>
  <c r="K138" i="149"/>
  <c r="J138" i="149"/>
  <c r="L134" i="149"/>
  <c r="K134" i="149"/>
  <c r="J134" i="149"/>
  <c r="L130" i="149"/>
  <c r="K130" i="149"/>
  <c r="J130" i="149"/>
  <c r="L126" i="149"/>
  <c r="K126" i="149"/>
  <c r="J126" i="149"/>
  <c r="L122" i="149"/>
  <c r="K122" i="149"/>
  <c r="J122" i="149"/>
  <c r="L118" i="149"/>
  <c r="K118" i="149"/>
  <c r="J118" i="149"/>
  <c r="L114" i="149"/>
  <c r="K114" i="149"/>
  <c r="J114" i="149"/>
  <c r="L110" i="149"/>
  <c r="K110" i="149"/>
  <c r="J110" i="149"/>
  <c r="L106" i="149"/>
  <c r="L102" i="149"/>
  <c r="K102" i="149"/>
  <c r="J102" i="149"/>
  <c r="L98" i="149"/>
  <c r="K98" i="149"/>
  <c r="J98" i="149"/>
  <c r="L94" i="149"/>
  <c r="K94" i="149"/>
  <c r="J94" i="149"/>
  <c r="L90" i="149"/>
  <c r="K90" i="149"/>
  <c r="J90" i="149"/>
  <c r="L86" i="149"/>
  <c r="K86" i="149"/>
  <c r="J86" i="149"/>
  <c r="L82" i="149"/>
  <c r="K82" i="149"/>
  <c r="J82" i="149"/>
  <c r="L78" i="149"/>
  <c r="K78" i="149"/>
  <c r="J78" i="149"/>
  <c r="L74" i="149"/>
  <c r="K74" i="149"/>
  <c r="L70" i="149"/>
  <c r="K70" i="149"/>
  <c r="J70" i="149"/>
  <c r="L66" i="149"/>
  <c r="K66" i="149"/>
  <c r="J66" i="149"/>
  <c r="L62" i="149"/>
  <c r="K62" i="149"/>
  <c r="J62" i="149"/>
  <c r="L58" i="149"/>
  <c r="K58" i="149"/>
  <c r="J58" i="149"/>
  <c r="L54" i="149"/>
  <c r="K54" i="149"/>
  <c r="J54" i="149"/>
  <c r="L50" i="149"/>
  <c r="K50" i="149"/>
  <c r="J50" i="149"/>
  <c r="L46" i="149"/>
  <c r="K46" i="149"/>
  <c r="J46" i="149"/>
  <c r="L42" i="149"/>
  <c r="K42" i="149"/>
  <c r="L38" i="149"/>
  <c r="K38" i="149"/>
  <c r="J38" i="149"/>
  <c r="L34" i="149"/>
  <c r="K34" i="149"/>
  <c r="J34" i="149"/>
  <c r="L30" i="149"/>
  <c r="K30" i="149"/>
  <c r="J30" i="149"/>
  <c r="L26" i="149"/>
  <c r="K26" i="149"/>
  <c r="J26" i="149"/>
  <c r="L22" i="149"/>
  <c r="K22" i="149"/>
  <c r="J22" i="149"/>
  <c r="L18" i="149"/>
  <c r="K18" i="149"/>
  <c r="J18" i="149"/>
  <c r="L14" i="149"/>
  <c r="K14" i="149"/>
  <c r="J14" i="149"/>
  <c r="J1004" i="149"/>
  <c r="J106" i="149"/>
  <c r="K978" i="149"/>
  <c r="K410" i="149"/>
  <c r="L1007" i="149"/>
  <c r="K1007" i="149"/>
  <c r="J1007" i="149"/>
  <c r="L995" i="149"/>
  <c r="K995" i="149"/>
  <c r="J995" i="149"/>
  <c r="L983" i="149"/>
  <c r="K983" i="149"/>
  <c r="J983" i="149"/>
  <c r="L971" i="149"/>
  <c r="K971" i="149"/>
  <c r="J971" i="149"/>
  <c r="L959" i="149"/>
  <c r="K959" i="149"/>
  <c r="J959" i="149"/>
  <c r="L951" i="149"/>
  <c r="K951" i="149"/>
  <c r="J951" i="149"/>
  <c r="L943" i="149"/>
  <c r="K943" i="149"/>
  <c r="J943" i="149"/>
  <c r="L931" i="149"/>
  <c r="K931" i="149"/>
  <c r="J931" i="149"/>
  <c r="L919" i="149"/>
  <c r="K919" i="149"/>
  <c r="J919" i="149"/>
  <c r="L907" i="149"/>
  <c r="K907" i="149"/>
  <c r="J907" i="149"/>
  <c r="L899" i="149"/>
  <c r="K899" i="149"/>
  <c r="J899" i="149"/>
  <c r="L891" i="149"/>
  <c r="K891" i="149"/>
  <c r="J891" i="149"/>
  <c r="L879" i="149"/>
  <c r="K879" i="149"/>
  <c r="J879" i="149"/>
  <c r="L871" i="149"/>
  <c r="K871" i="149"/>
  <c r="J871" i="149"/>
  <c r="L863" i="149"/>
  <c r="K863" i="149"/>
  <c r="J863" i="149"/>
  <c r="L859" i="149"/>
  <c r="K859" i="149"/>
  <c r="J859" i="149"/>
  <c r="L851" i="149"/>
  <c r="K851" i="149"/>
  <c r="J851" i="149"/>
  <c r="L847" i="149"/>
  <c r="K847" i="149"/>
  <c r="J847" i="149"/>
  <c r="L839" i="149"/>
  <c r="K839" i="149"/>
  <c r="J839" i="149"/>
  <c r="L831" i="149"/>
  <c r="K831" i="149"/>
  <c r="J831" i="149"/>
  <c r="L823" i="149"/>
  <c r="K823" i="149"/>
  <c r="J823" i="149"/>
  <c r="L815" i="149"/>
  <c r="K815" i="149"/>
  <c r="J815" i="149"/>
  <c r="L811" i="149"/>
  <c r="K811" i="149"/>
  <c r="J811" i="149"/>
  <c r="L807" i="149"/>
  <c r="K807" i="149"/>
  <c r="J807" i="149"/>
  <c r="L803" i="149"/>
  <c r="K803" i="149"/>
  <c r="J803" i="149"/>
  <c r="L795" i="149"/>
  <c r="K795" i="149"/>
  <c r="J795" i="149"/>
  <c r="L791" i="149"/>
  <c r="K791" i="149"/>
  <c r="J791" i="149"/>
  <c r="L787" i="149"/>
  <c r="K787" i="149"/>
  <c r="J787" i="149"/>
  <c r="L783" i="149"/>
  <c r="K783" i="149"/>
  <c r="J783" i="149"/>
  <c r="L779" i="149"/>
  <c r="K779" i="149"/>
  <c r="J779" i="149"/>
  <c r="L775" i="149"/>
  <c r="K775" i="149"/>
  <c r="J775" i="149"/>
  <c r="L767" i="149"/>
  <c r="K767" i="149"/>
  <c r="J767" i="149"/>
  <c r="L759" i="149"/>
  <c r="K759" i="149"/>
  <c r="J759" i="149"/>
  <c r="L751" i="149"/>
  <c r="K751" i="149"/>
  <c r="J751" i="149"/>
  <c r="L735" i="149"/>
  <c r="K735" i="149"/>
  <c r="J735" i="149"/>
  <c r="L727" i="149"/>
  <c r="K727" i="149"/>
  <c r="J727" i="149"/>
  <c r="L719" i="149"/>
  <c r="K719" i="149"/>
  <c r="J719" i="149"/>
  <c r="L715" i="149"/>
  <c r="K715" i="149"/>
  <c r="J715" i="149"/>
  <c r="L711" i="149"/>
  <c r="K711" i="149"/>
  <c r="J711" i="149"/>
  <c r="L683" i="149"/>
  <c r="K683" i="149"/>
  <c r="J683" i="149"/>
  <c r="L679" i="149"/>
  <c r="K679" i="149"/>
  <c r="J679" i="149"/>
  <c r="L675" i="149"/>
  <c r="K675" i="149"/>
  <c r="J675" i="149"/>
  <c r="L659" i="149"/>
  <c r="K659" i="149"/>
  <c r="J659" i="149"/>
  <c r="L643" i="149"/>
  <c r="K643" i="149"/>
  <c r="J643" i="149"/>
  <c r="L631" i="149"/>
  <c r="K631" i="149"/>
  <c r="J631" i="149"/>
  <c r="L619" i="149"/>
  <c r="K619" i="149"/>
  <c r="J619" i="149"/>
  <c r="L607" i="149"/>
  <c r="K607" i="149"/>
  <c r="J607" i="149"/>
  <c r="L595" i="149"/>
  <c r="K595" i="149"/>
  <c r="J595" i="149"/>
  <c r="L583" i="149"/>
  <c r="K583" i="149"/>
  <c r="J583" i="149"/>
  <c r="L567" i="149"/>
  <c r="K567" i="149"/>
  <c r="J567" i="149"/>
  <c r="L555" i="149"/>
  <c r="K555" i="149"/>
  <c r="J555" i="149"/>
  <c r="L543" i="149"/>
  <c r="K543" i="149"/>
  <c r="J543" i="149"/>
  <c r="L531" i="149"/>
  <c r="K531" i="149"/>
  <c r="J531" i="149"/>
  <c r="L519" i="149"/>
  <c r="K519" i="149"/>
  <c r="J519" i="149"/>
  <c r="L507" i="149"/>
  <c r="K507" i="149"/>
  <c r="J507" i="149"/>
  <c r="L491" i="149"/>
  <c r="K491" i="149"/>
  <c r="J491" i="149"/>
  <c r="L479" i="149"/>
  <c r="K479" i="149"/>
  <c r="J479" i="149"/>
  <c r="L471" i="149"/>
  <c r="K471" i="149"/>
  <c r="J471" i="149"/>
  <c r="L459" i="149"/>
  <c r="K459" i="149"/>
  <c r="J459" i="149"/>
  <c r="L451" i="149"/>
  <c r="K451" i="149"/>
  <c r="J451" i="149"/>
  <c r="L439" i="149"/>
  <c r="K439" i="149"/>
  <c r="J439" i="149"/>
  <c r="L427" i="149"/>
  <c r="K427" i="149"/>
  <c r="J427" i="149"/>
  <c r="L415" i="149"/>
  <c r="K415" i="149"/>
  <c r="J415" i="149"/>
  <c r="L403" i="149"/>
  <c r="K403" i="149"/>
  <c r="J403" i="149"/>
  <c r="L391" i="149"/>
  <c r="K391" i="149"/>
  <c r="J391" i="149"/>
  <c r="L379" i="149"/>
  <c r="K379" i="149"/>
  <c r="J379" i="149"/>
  <c r="L367" i="149"/>
  <c r="K367" i="149"/>
  <c r="J367" i="149"/>
  <c r="L355" i="149"/>
  <c r="K355" i="149"/>
  <c r="J355" i="149"/>
  <c r="L347" i="149"/>
  <c r="K347" i="149"/>
  <c r="J347" i="149"/>
  <c r="L335" i="149"/>
  <c r="K335" i="149"/>
  <c r="J335" i="149"/>
  <c r="L319" i="149"/>
  <c r="K319" i="149"/>
  <c r="J319" i="149"/>
  <c r="L307" i="149"/>
  <c r="K307" i="149"/>
  <c r="J307" i="149"/>
  <c r="L295" i="149"/>
  <c r="K295" i="149"/>
  <c r="J295" i="149"/>
  <c r="L283" i="149"/>
  <c r="K283" i="149"/>
  <c r="J283" i="149"/>
  <c r="L271" i="149"/>
  <c r="K271" i="149"/>
  <c r="J271" i="149"/>
  <c r="L259" i="149"/>
  <c r="K259" i="149"/>
  <c r="J259" i="149"/>
  <c r="L247" i="149"/>
  <c r="K247" i="149"/>
  <c r="J247" i="149"/>
  <c r="L235" i="149"/>
  <c r="K235" i="149"/>
  <c r="J235" i="149"/>
  <c r="L223" i="149"/>
  <c r="K223" i="149"/>
  <c r="J223" i="149"/>
  <c r="L211" i="149"/>
  <c r="K211" i="149"/>
  <c r="J211" i="149"/>
  <c r="L199" i="149"/>
  <c r="K199" i="149"/>
  <c r="J199" i="149"/>
  <c r="L191" i="149"/>
  <c r="K191" i="149"/>
  <c r="J191" i="149"/>
  <c r="L179" i="149"/>
  <c r="K179" i="149"/>
  <c r="J179" i="149"/>
  <c r="L163" i="149"/>
  <c r="K163" i="149"/>
  <c r="J163" i="149"/>
  <c r="L151" i="149"/>
  <c r="K151" i="149"/>
  <c r="J151" i="149"/>
  <c r="L139" i="149"/>
  <c r="K139" i="149"/>
  <c r="J139" i="149"/>
  <c r="L127" i="149"/>
  <c r="K127" i="149"/>
  <c r="J127" i="149"/>
  <c r="L123" i="149"/>
  <c r="K123" i="149"/>
  <c r="J123" i="149"/>
  <c r="L111" i="149"/>
  <c r="K111" i="149"/>
  <c r="J111" i="149"/>
  <c r="L103" i="149"/>
  <c r="K103" i="149"/>
  <c r="J103" i="149"/>
  <c r="L91" i="149"/>
  <c r="K91" i="149"/>
  <c r="J91" i="149"/>
  <c r="L83" i="149"/>
  <c r="K83" i="149"/>
  <c r="J83" i="149"/>
  <c r="L71" i="149"/>
  <c r="K71" i="149"/>
  <c r="J71" i="149"/>
  <c r="L63" i="149"/>
  <c r="K63" i="149"/>
  <c r="J63" i="149"/>
  <c r="L55" i="149"/>
  <c r="K55" i="149"/>
  <c r="J55" i="149"/>
  <c r="L43" i="149"/>
  <c r="K43" i="149"/>
  <c r="J43" i="149"/>
  <c r="L31" i="149"/>
  <c r="K31" i="149"/>
  <c r="J31" i="149"/>
  <c r="L19" i="149"/>
  <c r="K19" i="149"/>
  <c r="J19" i="149"/>
  <c r="L1009" i="149"/>
  <c r="K1009" i="149"/>
  <c r="J1009" i="149"/>
  <c r="L1005" i="149"/>
  <c r="K1005" i="149"/>
  <c r="J1005" i="149"/>
  <c r="L1001" i="149"/>
  <c r="K1001" i="149"/>
  <c r="J1001" i="149"/>
  <c r="L997" i="149"/>
  <c r="K997" i="149"/>
  <c r="J997" i="149"/>
  <c r="L993" i="149"/>
  <c r="K993" i="149"/>
  <c r="J993" i="149"/>
  <c r="L989" i="149"/>
  <c r="K989" i="149"/>
  <c r="J989" i="149"/>
  <c r="L985" i="149"/>
  <c r="K985" i="149"/>
  <c r="J985" i="149"/>
  <c r="L981" i="149"/>
  <c r="K981" i="149"/>
  <c r="J981" i="149"/>
  <c r="L977" i="149"/>
  <c r="K977" i="149"/>
  <c r="J977" i="149"/>
  <c r="L973" i="149"/>
  <c r="K973" i="149"/>
  <c r="J973" i="149"/>
  <c r="L969" i="149"/>
  <c r="K969" i="149"/>
  <c r="J969" i="149"/>
  <c r="L965" i="149"/>
  <c r="K965" i="149"/>
  <c r="J965" i="149"/>
  <c r="L961" i="149"/>
  <c r="K961" i="149"/>
  <c r="J961" i="149"/>
  <c r="L957" i="149"/>
  <c r="K957" i="149"/>
  <c r="J957" i="149"/>
  <c r="L953" i="149"/>
  <c r="K953" i="149"/>
  <c r="J953" i="149"/>
  <c r="K949" i="149"/>
  <c r="J949" i="149"/>
  <c r="L949" i="149"/>
  <c r="L945" i="149"/>
  <c r="K945" i="149"/>
  <c r="J945" i="149"/>
  <c r="L941" i="149"/>
  <c r="K941" i="149"/>
  <c r="J941" i="149"/>
  <c r="L937" i="149"/>
  <c r="K937" i="149"/>
  <c r="J937" i="149"/>
  <c r="L933" i="149"/>
  <c r="K933" i="149"/>
  <c r="J933" i="149"/>
  <c r="L929" i="149"/>
  <c r="K929" i="149"/>
  <c r="J929" i="149"/>
  <c r="L925" i="149"/>
  <c r="K925" i="149"/>
  <c r="J925" i="149"/>
  <c r="L921" i="149"/>
  <c r="K921" i="149"/>
  <c r="J921" i="149"/>
  <c r="L917" i="149"/>
  <c r="K917" i="149"/>
  <c r="J917" i="149"/>
  <c r="L913" i="149"/>
  <c r="K913" i="149"/>
  <c r="J913" i="149"/>
  <c r="L909" i="149"/>
  <c r="K909" i="149"/>
  <c r="J909" i="149"/>
  <c r="L905" i="149"/>
  <c r="K905" i="149"/>
  <c r="J905" i="149"/>
  <c r="L901" i="149"/>
  <c r="K901" i="149"/>
  <c r="J901" i="149"/>
  <c r="L897" i="149"/>
  <c r="K897" i="149"/>
  <c r="J897" i="149"/>
  <c r="L893" i="149"/>
  <c r="K893" i="149"/>
  <c r="J893" i="149"/>
  <c r="L889" i="149"/>
  <c r="K889" i="149"/>
  <c r="J889" i="149"/>
  <c r="K885" i="149"/>
  <c r="L885" i="149"/>
  <c r="J885" i="149"/>
  <c r="L881" i="149"/>
  <c r="K881" i="149"/>
  <c r="J881" i="149"/>
  <c r="L877" i="149"/>
  <c r="K877" i="149"/>
  <c r="J877" i="149"/>
  <c r="L873" i="149"/>
  <c r="K873" i="149"/>
  <c r="J873" i="149"/>
  <c r="L869" i="149"/>
  <c r="K869" i="149"/>
  <c r="J869" i="149"/>
  <c r="L865" i="149"/>
  <c r="K865" i="149"/>
  <c r="J865" i="149"/>
  <c r="L861" i="149"/>
  <c r="J861" i="149"/>
  <c r="K861" i="149"/>
  <c r="L857" i="149"/>
  <c r="K857" i="149"/>
  <c r="J857" i="149"/>
  <c r="L853" i="149"/>
  <c r="K853" i="149"/>
  <c r="J853" i="149"/>
  <c r="L849" i="149"/>
  <c r="K849" i="149"/>
  <c r="J849" i="149"/>
  <c r="L845" i="149"/>
  <c r="J845" i="149"/>
  <c r="K845" i="149"/>
  <c r="L841" i="149"/>
  <c r="K841" i="149"/>
  <c r="J841" i="149"/>
  <c r="L837" i="149"/>
  <c r="K837" i="149"/>
  <c r="J837" i="149"/>
  <c r="L833" i="149"/>
  <c r="K833" i="149"/>
  <c r="J833" i="149"/>
  <c r="L829" i="149"/>
  <c r="J829" i="149"/>
  <c r="L825" i="149"/>
  <c r="K825" i="149"/>
  <c r="J825" i="149"/>
  <c r="L821" i="149"/>
  <c r="K821" i="149"/>
  <c r="J821" i="149"/>
  <c r="L817" i="149"/>
  <c r="K817" i="149"/>
  <c r="J817" i="149"/>
  <c r="L813" i="149"/>
  <c r="J813" i="149"/>
  <c r="K813" i="149"/>
  <c r="L809" i="149"/>
  <c r="K809" i="149"/>
  <c r="J809" i="149"/>
  <c r="L805" i="149"/>
  <c r="K805" i="149"/>
  <c r="J805" i="149"/>
  <c r="L801" i="149"/>
  <c r="K801" i="149"/>
  <c r="J801" i="149"/>
  <c r="L797" i="149"/>
  <c r="J797" i="149"/>
  <c r="K797" i="149"/>
  <c r="L793" i="149"/>
  <c r="K793" i="149"/>
  <c r="J793" i="149"/>
  <c r="L789" i="149"/>
  <c r="K789" i="149"/>
  <c r="J789" i="149"/>
  <c r="L785" i="149"/>
  <c r="K785" i="149"/>
  <c r="J785" i="149"/>
  <c r="L781" i="149"/>
  <c r="J781" i="149"/>
  <c r="K781" i="149"/>
  <c r="L777" i="149"/>
  <c r="K777" i="149"/>
  <c r="J777" i="149"/>
  <c r="L773" i="149"/>
  <c r="K773" i="149"/>
  <c r="J773" i="149"/>
  <c r="L769" i="149"/>
  <c r="K769" i="149"/>
  <c r="J769" i="149"/>
  <c r="L765" i="149"/>
  <c r="J765" i="149"/>
  <c r="L761" i="149"/>
  <c r="K761" i="149"/>
  <c r="J761" i="149"/>
  <c r="L757" i="149"/>
  <c r="K757" i="149"/>
  <c r="J757" i="149"/>
  <c r="L753" i="149"/>
  <c r="K753" i="149"/>
  <c r="J753" i="149"/>
  <c r="L749" i="149"/>
  <c r="J749" i="149"/>
  <c r="K749" i="149"/>
  <c r="L745" i="149"/>
  <c r="K745" i="149"/>
  <c r="J745" i="149"/>
  <c r="L741" i="149"/>
  <c r="K741" i="149"/>
  <c r="J741" i="149"/>
  <c r="L737" i="149"/>
  <c r="K737" i="149"/>
  <c r="J737" i="149"/>
  <c r="L733" i="149"/>
  <c r="J733" i="149"/>
  <c r="K733" i="149"/>
  <c r="L729" i="149"/>
  <c r="K729" i="149"/>
  <c r="J729" i="149"/>
  <c r="L725" i="149"/>
  <c r="K725" i="149"/>
  <c r="J725" i="149"/>
  <c r="L721" i="149"/>
  <c r="K721" i="149"/>
  <c r="J721" i="149"/>
  <c r="L717" i="149"/>
  <c r="J717" i="149"/>
  <c r="K717" i="149"/>
  <c r="L713" i="149"/>
  <c r="K713" i="149"/>
  <c r="J713" i="149"/>
  <c r="L709" i="149"/>
  <c r="K709" i="149"/>
  <c r="J709" i="149"/>
  <c r="L705" i="149"/>
  <c r="K705" i="149"/>
  <c r="J705" i="149"/>
  <c r="L701" i="149"/>
  <c r="J701" i="149"/>
  <c r="L697" i="149"/>
  <c r="K697" i="149"/>
  <c r="J697" i="149"/>
  <c r="K693" i="149"/>
  <c r="J693" i="149"/>
  <c r="L693" i="149"/>
  <c r="L689" i="149"/>
  <c r="K689" i="149"/>
  <c r="J689" i="149"/>
  <c r="L685" i="149"/>
  <c r="J685" i="149"/>
  <c r="K685" i="149"/>
  <c r="L681" i="149"/>
  <c r="K681" i="149"/>
  <c r="J681" i="149"/>
  <c r="L677" i="149"/>
  <c r="K677" i="149"/>
  <c r="J677" i="149"/>
  <c r="L673" i="149"/>
  <c r="K673" i="149"/>
  <c r="J673" i="149"/>
  <c r="L669" i="149"/>
  <c r="J669" i="149"/>
  <c r="K669" i="149"/>
  <c r="L665" i="149"/>
  <c r="K665" i="149"/>
  <c r="J665" i="149"/>
  <c r="K661" i="149"/>
  <c r="L661" i="149"/>
  <c r="J661" i="149"/>
  <c r="L657" i="149"/>
  <c r="K657" i="149"/>
  <c r="J657" i="149"/>
  <c r="L653" i="149"/>
  <c r="K653" i="149"/>
  <c r="J653" i="149"/>
  <c r="L649" i="149"/>
  <c r="J649" i="149"/>
  <c r="K649" i="149"/>
  <c r="L645" i="149"/>
  <c r="K645" i="149"/>
  <c r="J645" i="149"/>
  <c r="L641" i="149"/>
  <c r="K641" i="149"/>
  <c r="J641" i="149"/>
  <c r="L637" i="149"/>
  <c r="K637" i="149"/>
  <c r="J637" i="149"/>
  <c r="L633" i="149"/>
  <c r="K633" i="149"/>
  <c r="J633" i="149"/>
  <c r="K629" i="149"/>
  <c r="L629" i="149"/>
  <c r="J629" i="149"/>
  <c r="L625" i="149"/>
  <c r="K625" i="149"/>
  <c r="J625" i="149"/>
  <c r="L621" i="149"/>
  <c r="K621" i="149"/>
  <c r="J621" i="149"/>
  <c r="L617" i="149"/>
  <c r="K617" i="149"/>
  <c r="J617" i="149"/>
  <c r="K613" i="149"/>
  <c r="L613" i="149"/>
  <c r="J613" i="149"/>
  <c r="L609" i="149"/>
  <c r="K609" i="149"/>
  <c r="J609" i="149"/>
  <c r="L605" i="149"/>
  <c r="K605" i="149"/>
  <c r="J605" i="149"/>
  <c r="L601" i="149"/>
  <c r="K601" i="149"/>
  <c r="J601" i="149"/>
  <c r="L597" i="149"/>
  <c r="K597" i="149"/>
  <c r="J597" i="149"/>
  <c r="L593" i="149"/>
  <c r="K593" i="149"/>
  <c r="J593" i="149"/>
  <c r="L589" i="149"/>
  <c r="K589" i="149"/>
  <c r="J589" i="149"/>
  <c r="L585" i="149"/>
  <c r="K585" i="149"/>
  <c r="J585" i="149"/>
  <c r="L581" i="149"/>
  <c r="K581" i="149"/>
  <c r="J581" i="149"/>
  <c r="L577" i="149"/>
  <c r="K577" i="149"/>
  <c r="J577" i="149"/>
  <c r="L573" i="149"/>
  <c r="K573" i="149"/>
  <c r="J573" i="149"/>
  <c r="L569" i="149"/>
  <c r="K569" i="149"/>
  <c r="J569" i="149"/>
  <c r="L565" i="149"/>
  <c r="K565" i="149"/>
  <c r="J565" i="149"/>
  <c r="L561" i="149"/>
  <c r="K561" i="149"/>
  <c r="J561" i="149"/>
  <c r="L557" i="149"/>
  <c r="K557" i="149"/>
  <c r="J557" i="149"/>
  <c r="L553" i="149"/>
  <c r="K553" i="149"/>
  <c r="J553" i="149"/>
  <c r="L549" i="149"/>
  <c r="K549" i="149"/>
  <c r="J549" i="149"/>
  <c r="L545" i="149"/>
  <c r="K545" i="149"/>
  <c r="J545" i="149"/>
  <c r="L541" i="149"/>
  <c r="K541" i="149"/>
  <c r="J541" i="149"/>
  <c r="L537" i="149"/>
  <c r="K537" i="149"/>
  <c r="J537" i="149"/>
  <c r="L533" i="149"/>
  <c r="K533" i="149"/>
  <c r="J533" i="149"/>
  <c r="L529" i="149"/>
  <c r="K529" i="149"/>
  <c r="J529" i="149"/>
  <c r="L525" i="149"/>
  <c r="K525" i="149"/>
  <c r="J525" i="149"/>
  <c r="L521" i="149"/>
  <c r="K521" i="149"/>
  <c r="J521" i="149"/>
  <c r="L517" i="149"/>
  <c r="K517" i="149"/>
  <c r="J517" i="149"/>
  <c r="L513" i="149"/>
  <c r="K513" i="149"/>
  <c r="J513" i="149"/>
  <c r="L509" i="149"/>
  <c r="K509" i="149"/>
  <c r="J509" i="149"/>
  <c r="L505" i="149"/>
  <c r="K505" i="149"/>
  <c r="J505" i="149"/>
  <c r="L501" i="149"/>
  <c r="K501" i="149"/>
  <c r="J501" i="149"/>
  <c r="L497" i="149"/>
  <c r="K497" i="149"/>
  <c r="J497" i="149"/>
  <c r="L493" i="149"/>
  <c r="K493" i="149"/>
  <c r="J493" i="149"/>
  <c r="L489" i="149"/>
  <c r="K489" i="149"/>
  <c r="J489" i="149"/>
  <c r="L485" i="149"/>
  <c r="K485" i="149"/>
  <c r="J485" i="149"/>
  <c r="L481" i="149"/>
  <c r="K481" i="149"/>
  <c r="J481" i="149"/>
  <c r="L477" i="149"/>
  <c r="K477" i="149"/>
  <c r="J477" i="149"/>
  <c r="L473" i="149"/>
  <c r="K473" i="149"/>
  <c r="J473" i="149"/>
  <c r="L469" i="149"/>
  <c r="K469" i="149"/>
  <c r="J469" i="149"/>
  <c r="L465" i="149"/>
  <c r="K465" i="149"/>
  <c r="J465" i="149"/>
  <c r="L461" i="149"/>
  <c r="K461" i="149"/>
  <c r="J461" i="149"/>
  <c r="L457" i="149"/>
  <c r="K457" i="149"/>
  <c r="J457" i="149"/>
  <c r="L453" i="149"/>
  <c r="K453" i="149"/>
  <c r="J453" i="149"/>
  <c r="L449" i="149"/>
  <c r="K449" i="149"/>
  <c r="J449" i="149"/>
  <c r="L445" i="149"/>
  <c r="K445" i="149"/>
  <c r="J445" i="149"/>
  <c r="L441" i="149"/>
  <c r="K441" i="149"/>
  <c r="J441" i="149"/>
  <c r="L437" i="149"/>
  <c r="K437" i="149"/>
  <c r="J437" i="149"/>
  <c r="L433" i="149"/>
  <c r="K433" i="149"/>
  <c r="J433" i="149"/>
  <c r="L429" i="149"/>
  <c r="K429" i="149"/>
  <c r="J429" i="149"/>
  <c r="L425" i="149"/>
  <c r="K425" i="149"/>
  <c r="J425" i="149"/>
  <c r="L421" i="149"/>
  <c r="K421" i="149"/>
  <c r="J421" i="149"/>
  <c r="L417" i="149"/>
  <c r="K417" i="149"/>
  <c r="J417" i="149"/>
  <c r="L413" i="149"/>
  <c r="K413" i="149"/>
  <c r="J413" i="149"/>
  <c r="L409" i="149"/>
  <c r="K409" i="149"/>
  <c r="J409" i="149"/>
  <c r="L405" i="149"/>
  <c r="K405" i="149"/>
  <c r="J405" i="149"/>
  <c r="L401" i="149"/>
  <c r="K401" i="149"/>
  <c r="J401" i="149"/>
  <c r="L397" i="149"/>
  <c r="K397" i="149"/>
  <c r="J397" i="149"/>
  <c r="L393" i="149"/>
  <c r="K393" i="149"/>
  <c r="J393" i="149"/>
  <c r="L389" i="149"/>
  <c r="K389" i="149"/>
  <c r="J389" i="149"/>
  <c r="L385" i="149"/>
  <c r="K385" i="149"/>
  <c r="J385" i="149"/>
  <c r="L381" i="149"/>
  <c r="K381" i="149"/>
  <c r="J381" i="149"/>
  <c r="L377" i="149"/>
  <c r="K377" i="149"/>
  <c r="J377" i="149"/>
  <c r="L373" i="149"/>
  <c r="K373" i="149"/>
  <c r="J373" i="149"/>
  <c r="L369" i="149"/>
  <c r="K369" i="149"/>
  <c r="J369" i="149"/>
  <c r="L365" i="149"/>
  <c r="K365" i="149"/>
  <c r="J365" i="149"/>
  <c r="L361" i="149"/>
  <c r="K361" i="149"/>
  <c r="J361" i="149"/>
  <c r="L357" i="149"/>
  <c r="K357" i="149"/>
  <c r="J357" i="149"/>
  <c r="L353" i="149"/>
  <c r="K353" i="149"/>
  <c r="J353" i="149"/>
  <c r="L349" i="149"/>
  <c r="K349" i="149"/>
  <c r="J349" i="149"/>
  <c r="L345" i="149"/>
  <c r="K345" i="149"/>
  <c r="J345" i="149"/>
  <c r="L341" i="149"/>
  <c r="K341" i="149"/>
  <c r="J341" i="149"/>
  <c r="L337" i="149"/>
  <c r="K337" i="149"/>
  <c r="J337" i="149"/>
  <c r="L333" i="149"/>
  <c r="K333" i="149"/>
  <c r="J333" i="149"/>
  <c r="L329" i="149"/>
  <c r="K329" i="149"/>
  <c r="J329" i="149"/>
  <c r="L325" i="149"/>
  <c r="K325" i="149"/>
  <c r="J325" i="149"/>
  <c r="L321" i="149"/>
  <c r="K321" i="149"/>
  <c r="J321" i="149"/>
  <c r="L317" i="149"/>
  <c r="K317" i="149"/>
  <c r="J317" i="149"/>
  <c r="L313" i="149"/>
  <c r="K313" i="149"/>
  <c r="J313" i="149"/>
  <c r="L309" i="149"/>
  <c r="K309" i="149"/>
  <c r="J309" i="149"/>
  <c r="L305" i="149"/>
  <c r="K305" i="149"/>
  <c r="J305" i="149"/>
  <c r="L301" i="149"/>
  <c r="K301" i="149"/>
  <c r="J301" i="149"/>
  <c r="L297" i="149"/>
  <c r="K297" i="149"/>
  <c r="J297" i="149"/>
  <c r="L293" i="149"/>
  <c r="K293" i="149"/>
  <c r="J293" i="149"/>
  <c r="L289" i="149"/>
  <c r="K289" i="149"/>
  <c r="J289" i="149"/>
  <c r="L285" i="149"/>
  <c r="K285" i="149"/>
  <c r="J285" i="149"/>
  <c r="L281" i="149"/>
  <c r="K281" i="149"/>
  <c r="J281" i="149"/>
  <c r="L277" i="149"/>
  <c r="K277" i="149"/>
  <c r="J277" i="149"/>
  <c r="L273" i="149"/>
  <c r="K273" i="149"/>
  <c r="J273" i="149"/>
  <c r="L269" i="149"/>
  <c r="K269" i="149"/>
  <c r="J269" i="149"/>
  <c r="L265" i="149"/>
  <c r="K265" i="149"/>
  <c r="J265" i="149"/>
  <c r="L261" i="149"/>
  <c r="K261" i="149"/>
  <c r="J261" i="149"/>
  <c r="L257" i="149"/>
  <c r="K257" i="149"/>
  <c r="J257" i="149"/>
  <c r="L253" i="149"/>
  <c r="K253" i="149"/>
  <c r="J253" i="149"/>
  <c r="L249" i="149"/>
  <c r="K249" i="149"/>
  <c r="J249" i="149"/>
  <c r="L245" i="149"/>
  <c r="K245" i="149"/>
  <c r="J245" i="149"/>
  <c r="L241" i="149"/>
  <c r="K241" i="149"/>
  <c r="J241" i="149"/>
  <c r="L237" i="149"/>
  <c r="K237" i="149"/>
  <c r="J237" i="149"/>
  <c r="L233" i="149"/>
  <c r="K233" i="149"/>
  <c r="J233" i="149"/>
  <c r="L229" i="149"/>
  <c r="K229" i="149"/>
  <c r="J229" i="149"/>
  <c r="L225" i="149"/>
  <c r="K225" i="149"/>
  <c r="J225" i="149"/>
  <c r="L221" i="149"/>
  <c r="K221" i="149"/>
  <c r="J221" i="149"/>
  <c r="L217" i="149"/>
  <c r="K217" i="149"/>
  <c r="J217" i="149"/>
  <c r="L213" i="149"/>
  <c r="K213" i="149"/>
  <c r="J213" i="149"/>
  <c r="L209" i="149"/>
  <c r="K209" i="149"/>
  <c r="J209" i="149"/>
  <c r="L205" i="149"/>
  <c r="K205" i="149"/>
  <c r="J205" i="149"/>
  <c r="L201" i="149"/>
  <c r="K201" i="149"/>
  <c r="J201" i="149"/>
  <c r="L197" i="149"/>
  <c r="K197" i="149"/>
  <c r="J197" i="149"/>
  <c r="L193" i="149"/>
  <c r="K193" i="149"/>
  <c r="J193" i="149"/>
  <c r="L189" i="149"/>
  <c r="K189" i="149"/>
  <c r="J189" i="149"/>
  <c r="L185" i="149"/>
  <c r="K185" i="149"/>
  <c r="J185" i="149"/>
  <c r="K181" i="149"/>
  <c r="L181" i="149"/>
  <c r="J181" i="149"/>
  <c r="L177" i="149"/>
  <c r="K177" i="149"/>
  <c r="J177" i="149"/>
  <c r="L173" i="149"/>
  <c r="K173" i="149"/>
  <c r="J173" i="149"/>
  <c r="L169" i="149"/>
  <c r="K169" i="149"/>
  <c r="J169" i="149"/>
  <c r="L165" i="149"/>
  <c r="K165" i="149"/>
  <c r="J165" i="149"/>
  <c r="L161" i="149"/>
  <c r="K161" i="149"/>
  <c r="J161" i="149"/>
  <c r="L157" i="149"/>
  <c r="K157" i="149"/>
  <c r="J157" i="149"/>
  <c r="L153" i="149"/>
  <c r="K153" i="149"/>
  <c r="J153" i="149"/>
  <c r="L149" i="149"/>
  <c r="K149" i="149"/>
  <c r="J149" i="149"/>
  <c r="L145" i="149"/>
  <c r="K145" i="149"/>
  <c r="J145" i="149"/>
  <c r="L141" i="149"/>
  <c r="K141" i="149"/>
  <c r="J141" i="149"/>
  <c r="L137" i="149"/>
  <c r="K137" i="149"/>
  <c r="J137" i="149"/>
  <c r="L133" i="149"/>
  <c r="K133" i="149"/>
  <c r="J133" i="149"/>
  <c r="L129" i="149"/>
  <c r="K129" i="149"/>
  <c r="J129" i="149"/>
  <c r="L125" i="149"/>
  <c r="K125" i="149"/>
  <c r="J125" i="149"/>
  <c r="L121" i="149"/>
  <c r="K121" i="149"/>
  <c r="J121" i="149"/>
  <c r="K117" i="149"/>
  <c r="L117" i="149"/>
  <c r="J117" i="149"/>
  <c r="L113" i="149"/>
  <c r="K113" i="149"/>
  <c r="J113" i="149"/>
  <c r="L109" i="149"/>
  <c r="K109" i="149"/>
  <c r="J109" i="149"/>
  <c r="L105" i="149"/>
  <c r="K105" i="149"/>
  <c r="J105" i="149"/>
  <c r="L101" i="149"/>
  <c r="K101" i="149"/>
  <c r="J101" i="149"/>
  <c r="L97" i="149"/>
  <c r="K97" i="149"/>
  <c r="J97" i="149"/>
  <c r="L93" i="149"/>
  <c r="K93" i="149"/>
  <c r="J93" i="149"/>
  <c r="L89" i="149"/>
  <c r="K89" i="149"/>
  <c r="J89" i="149"/>
  <c r="L85" i="149"/>
  <c r="K85" i="149"/>
  <c r="J85" i="149"/>
  <c r="L81" i="149"/>
  <c r="K81" i="149"/>
  <c r="J81" i="149"/>
  <c r="L77" i="149"/>
  <c r="K77" i="149"/>
  <c r="J77" i="149"/>
  <c r="L73" i="149"/>
  <c r="K73" i="149"/>
  <c r="J73" i="149"/>
  <c r="L69" i="149"/>
  <c r="K69" i="149"/>
  <c r="J69" i="149"/>
  <c r="L65" i="149"/>
  <c r="K65" i="149"/>
  <c r="J65" i="149"/>
  <c r="L61" i="149"/>
  <c r="K61" i="149"/>
  <c r="J61" i="149"/>
  <c r="L57" i="149"/>
  <c r="K57" i="149"/>
  <c r="J57" i="149"/>
  <c r="K53" i="149"/>
  <c r="L53" i="149"/>
  <c r="J53" i="149"/>
  <c r="L49" i="149"/>
  <c r="K49" i="149"/>
  <c r="J49" i="149"/>
  <c r="L45" i="149"/>
  <c r="K45" i="149"/>
  <c r="J45" i="149"/>
  <c r="L41" i="149"/>
  <c r="K41" i="149"/>
  <c r="J41" i="149"/>
  <c r="L37" i="149"/>
  <c r="K37" i="149"/>
  <c r="J37" i="149"/>
  <c r="L33" i="149"/>
  <c r="K33" i="149"/>
  <c r="J33" i="149"/>
  <c r="L29" i="149"/>
  <c r="K29" i="149"/>
  <c r="J29" i="149"/>
  <c r="L25" i="149"/>
  <c r="K25" i="149"/>
  <c r="J25" i="149"/>
  <c r="L21" i="149"/>
  <c r="K21" i="149"/>
  <c r="J21" i="149"/>
  <c r="L17" i="149"/>
  <c r="K17" i="149"/>
  <c r="J17" i="149"/>
  <c r="L13" i="149"/>
  <c r="K13" i="149"/>
  <c r="J13" i="149"/>
  <c r="J74" i="149"/>
  <c r="K946" i="149"/>
  <c r="K765" i="149"/>
  <c r="K106" i="149"/>
  <c r="L10" i="149"/>
  <c r="L1003" i="149"/>
  <c r="K1003" i="149"/>
  <c r="J1003" i="149"/>
  <c r="L991" i="149"/>
  <c r="K991" i="149"/>
  <c r="J991" i="149"/>
  <c r="L979" i="149"/>
  <c r="K979" i="149"/>
  <c r="J979" i="149"/>
  <c r="L967" i="149"/>
  <c r="K967" i="149"/>
  <c r="J967" i="149"/>
  <c r="L947" i="149"/>
  <c r="K947" i="149"/>
  <c r="J947" i="149"/>
  <c r="L935" i="149"/>
  <c r="K935" i="149"/>
  <c r="J935" i="149"/>
  <c r="L923" i="149"/>
  <c r="K923" i="149"/>
  <c r="J923" i="149"/>
  <c r="L911" i="149"/>
  <c r="K911" i="149"/>
  <c r="J911" i="149"/>
  <c r="L887" i="149"/>
  <c r="K887" i="149"/>
  <c r="J887" i="149"/>
  <c r="L771" i="149"/>
  <c r="K771" i="149"/>
  <c r="J771" i="149"/>
  <c r="L763" i="149"/>
  <c r="K763" i="149"/>
  <c r="J763" i="149"/>
  <c r="L755" i="149"/>
  <c r="K755" i="149"/>
  <c r="J755" i="149"/>
  <c r="L747" i="149"/>
  <c r="K747" i="149"/>
  <c r="J747" i="149"/>
  <c r="L743" i="149"/>
  <c r="K743" i="149"/>
  <c r="J743" i="149"/>
  <c r="L739" i="149"/>
  <c r="K739" i="149"/>
  <c r="J739" i="149"/>
  <c r="L731" i="149"/>
  <c r="K731" i="149"/>
  <c r="J731" i="149"/>
  <c r="L723" i="149"/>
  <c r="K723" i="149"/>
  <c r="J723" i="149"/>
  <c r="L707" i="149"/>
  <c r="K707" i="149"/>
  <c r="J707" i="149"/>
  <c r="L699" i="149"/>
  <c r="K699" i="149"/>
  <c r="J699" i="149"/>
  <c r="L691" i="149"/>
  <c r="K691" i="149"/>
  <c r="J691" i="149"/>
  <c r="L667" i="149"/>
  <c r="K667" i="149"/>
  <c r="J667" i="149"/>
  <c r="L651" i="149"/>
  <c r="K651" i="149"/>
  <c r="J651" i="149"/>
  <c r="L635" i="149"/>
  <c r="K635" i="149"/>
  <c r="J635" i="149"/>
  <c r="L623" i="149"/>
  <c r="K623" i="149"/>
  <c r="J623" i="149"/>
  <c r="L611" i="149"/>
  <c r="K611" i="149"/>
  <c r="J611" i="149"/>
  <c r="L599" i="149"/>
  <c r="K599" i="149"/>
  <c r="J599" i="149"/>
  <c r="L587" i="149"/>
  <c r="K587" i="149"/>
  <c r="J587" i="149"/>
  <c r="L575" i="149"/>
  <c r="K575" i="149"/>
  <c r="J575" i="149"/>
  <c r="L563" i="149"/>
  <c r="K563" i="149"/>
  <c r="J563" i="149"/>
  <c r="L551" i="149"/>
  <c r="K551" i="149"/>
  <c r="J551" i="149"/>
  <c r="L539" i="149"/>
  <c r="K539" i="149"/>
  <c r="J539" i="149"/>
  <c r="L527" i="149"/>
  <c r="K527" i="149"/>
  <c r="J527" i="149"/>
  <c r="L515" i="149"/>
  <c r="K515" i="149"/>
  <c r="J515" i="149"/>
  <c r="L503" i="149"/>
  <c r="K503" i="149"/>
  <c r="J503" i="149"/>
  <c r="L499" i="149"/>
  <c r="K499" i="149"/>
  <c r="J499" i="149"/>
  <c r="L487" i="149"/>
  <c r="K487" i="149"/>
  <c r="J487" i="149"/>
  <c r="L475" i="149"/>
  <c r="K475" i="149"/>
  <c r="J475" i="149"/>
  <c r="L467" i="149"/>
  <c r="K467" i="149"/>
  <c r="J467" i="149"/>
  <c r="L455" i="149"/>
  <c r="K455" i="149"/>
  <c r="J455" i="149"/>
  <c r="L443" i="149"/>
  <c r="K443" i="149"/>
  <c r="J443" i="149"/>
  <c r="L431" i="149"/>
  <c r="K431" i="149"/>
  <c r="J431" i="149"/>
  <c r="L419" i="149"/>
  <c r="K419" i="149"/>
  <c r="J419" i="149"/>
  <c r="L407" i="149"/>
  <c r="K407" i="149"/>
  <c r="J407" i="149"/>
  <c r="L395" i="149"/>
  <c r="K395" i="149"/>
  <c r="J395" i="149"/>
  <c r="L387" i="149"/>
  <c r="K387" i="149"/>
  <c r="J387" i="149"/>
  <c r="L375" i="149"/>
  <c r="K375" i="149"/>
  <c r="J375" i="149"/>
  <c r="L363" i="149"/>
  <c r="K363" i="149"/>
  <c r="J363" i="149"/>
  <c r="L343" i="149"/>
  <c r="K343" i="149"/>
  <c r="J343" i="149"/>
  <c r="L327" i="149"/>
  <c r="K327" i="149"/>
  <c r="J327" i="149"/>
  <c r="L315" i="149"/>
  <c r="K315" i="149"/>
  <c r="J315" i="149"/>
  <c r="L299" i="149"/>
  <c r="K299" i="149"/>
  <c r="J299" i="149"/>
  <c r="L287" i="149"/>
  <c r="K287" i="149"/>
  <c r="J287" i="149"/>
  <c r="L267" i="149"/>
  <c r="K267" i="149"/>
  <c r="J267" i="149"/>
  <c r="L255" i="149"/>
  <c r="K255" i="149"/>
  <c r="J255" i="149"/>
  <c r="L243" i="149"/>
  <c r="K243" i="149"/>
  <c r="J243" i="149"/>
  <c r="L231" i="149"/>
  <c r="K231" i="149"/>
  <c r="J231" i="149"/>
  <c r="L219" i="149"/>
  <c r="K219" i="149"/>
  <c r="J219" i="149"/>
  <c r="L207" i="149"/>
  <c r="K207" i="149"/>
  <c r="J207" i="149"/>
  <c r="L195" i="149"/>
  <c r="K195" i="149"/>
  <c r="J195" i="149"/>
  <c r="L183" i="149"/>
  <c r="K183" i="149"/>
  <c r="J183" i="149"/>
  <c r="L171" i="149"/>
  <c r="K171" i="149"/>
  <c r="J171" i="149"/>
  <c r="L159" i="149"/>
  <c r="K159" i="149"/>
  <c r="J159" i="149"/>
  <c r="L143" i="149"/>
  <c r="K143" i="149"/>
  <c r="J143" i="149"/>
  <c r="L131" i="149"/>
  <c r="K131" i="149"/>
  <c r="J131" i="149"/>
  <c r="L115" i="149"/>
  <c r="K115" i="149"/>
  <c r="J115" i="149"/>
  <c r="L99" i="149"/>
  <c r="K99" i="149"/>
  <c r="J99" i="149"/>
  <c r="L87" i="149"/>
  <c r="K87" i="149"/>
  <c r="J87" i="149"/>
  <c r="L75" i="149"/>
  <c r="K75" i="149"/>
  <c r="J75" i="149"/>
  <c r="L51" i="149"/>
  <c r="K51" i="149"/>
  <c r="J51" i="149"/>
  <c r="L39" i="149"/>
  <c r="K39" i="149"/>
  <c r="J39" i="149"/>
  <c r="L27" i="149"/>
  <c r="K27" i="149"/>
  <c r="J27" i="149"/>
  <c r="J135" i="149"/>
  <c r="L1008" i="149"/>
  <c r="K1008" i="149"/>
  <c r="J1008" i="149"/>
  <c r="L1004" i="149"/>
  <c r="K1004" i="149"/>
  <c r="L1000" i="149"/>
  <c r="K1000" i="149"/>
  <c r="J1000" i="149"/>
  <c r="L996" i="149"/>
  <c r="K996" i="149"/>
  <c r="L992" i="149"/>
  <c r="K992" i="149"/>
  <c r="J992" i="149"/>
  <c r="L988" i="149"/>
  <c r="K988" i="149"/>
  <c r="L984" i="149"/>
  <c r="K984" i="149"/>
  <c r="J984" i="149"/>
  <c r="L980" i="149"/>
  <c r="K980" i="149"/>
  <c r="L976" i="149"/>
  <c r="K976" i="149"/>
  <c r="J976" i="149"/>
  <c r="L972" i="149"/>
  <c r="K972" i="149"/>
  <c r="L968" i="149"/>
  <c r="K968" i="149"/>
  <c r="J968" i="149"/>
  <c r="L964" i="149"/>
  <c r="K964" i="149"/>
  <c r="L960" i="149"/>
  <c r="K960" i="149"/>
  <c r="J960" i="149"/>
  <c r="L956" i="149"/>
  <c r="K956" i="149"/>
  <c r="L952" i="149"/>
  <c r="K952" i="149"/>
  <c r="J952" i="149"/>
  <c r="L948" i="149"/>
  <c r="K948" i="149"/>
  <c r="L944" i="149"/>
  <c r="K944" i="149"/>
  <c r="J944" i="149"/>
  <c r="L940" i="149"/>
  <c r="K940" i="149"/>
  <c r="L936" i="149"/>
  <c r="K936" i="149"/>
  <c r="J936" i="149"/>
  <c r="L932" i="149"/>
  <c r="K932" i="149"/>
  <c r="L928" i="149"/>
  <c r="K928" i="149"/>
  <c r="J928" i="149"/>
  <c r="L924" i="149"/>
  <c r="K924" i="149"/>
  <c r="L920" i="149"/>
  <c r="K920" i="149"/>
  <c r="J920" i="149"/>
  <c r="L916" i="149"/>
  <c r="K916" i="149"/>
  <c r="L912" i="149"/>
  <c r="K912" i="149"/>
  <c r="J912" i="149"/>
  <c r="L908" i="149"/>
  <c r="K908" i="149"/>
  <c r="L904" i="149"/>
  <c r="K904" i="149"/>
  <c r="J904" i="149"/>
  <c r="L900" i="149"/>
  <c r="K900" i="149"/>
  <c r="L896" i="149"/>
  <c r="K896" i="149"/>
  <c r="J896" i="149"/>
  <c r="L892" i="149"/>
  <c r="K892" i="149"/>
  <c r="L888" i="149"/>
  <c r="K888" i="149"/>
  <c r="J888" i="149"/>
  <c r="L884" i="149"/>
  <c r="K884" i="149"/>
  <c r="L880" i="149"/>
  <c r="K880" i="149"/>
  <c r="J880" i="149"/>
  <c r="L876" i="149"/>
  <c r="K876" i="149"/>
  <c r="L872" i="149"/>
  <c r="K872" i="149"/>
  <c r="J872" i="149"/>
  <c r="L868" i="149"/>
  <c r="K868" i="149"/>
  <c r="L864" i="149"/>
  <c r="K864" i="149"/>
  <c r="J864" i="149"/>
  <c r="L860" i="149"/>
  <c r="K860" i="149"/>
  <c r="L856" i="149"/>
  <c r="K856" i="149"/>
  <c r="J856" i="149"/>
  <c r="L852" i="149"/>
  <c r="K852" i="149"/>
  <c r="L848" i="149"/>
  <c r="K848" i="149"/>
  <c r="J848" i="149"/>
  <c r="L844" i="149"/>
  <c r="K844" i="149"/>
  <c r="L840" i="149"/>
  <c r="K840" i="149"/>
  <c r="J840" i="149"/>
  <c r="L836" i="149"/>
  <c r="K836" i="149"/>
  <c r="L832" i="149"/>
  <c r="K832" i="149"/>
  <c r="J832" i="149"/>
  <c r="L828" i="149"/>
  <c r="K828" i="149"/>
  <c r="L824" i="149"/>
  <c r="K824" i="149"/>
  <c r="J824" i="149"/>
  <c r="L820" i="149"/>
  <c r="K820" i="149"/>
  <c r="L816" i="149"/>
  <c r="K816" i="149"/>
  <c r="J816" i="149"/>
  <c r="L812" i="149"/>
  <c r="K812" i="149"/>
  <c r="L808" i="149"/>
  <c r="K808" i="149"/>
  <c r="J808" i="149"/>
  <c r="L804" i="149"/>
  <c r="K804" i="149"/>
  <c r="L800" i="149"/>
  <c r="K800" i="149"/>
  <c r="J800" i="149"/>
  <c r="L796" i="149"/>
  <c r="K796" i="149"/>
  <c r="L792" i="149"/>
  <c r="K792" i="149"/>
  <c r="J792" i="149"/>
  <c r="L788" i="149"/>
  <c r="K788" i="149"/>
  <c r="L784" i="149"/>
  <c r="K784" i="149"/>
  <c r="J784" i="149"/>
  <c r="L780" i="149"/>
  <c r="K780" i="149"/>
  <c r="L776" i="149"/>
  <c r="K776" i="149"/>
  <c r="J776" i="149"/>
  <c r="L772" i="149"/>
  <c r="K772" i="149"/>
  <c r="L768" i="149"/>
  <c r="K768" i="149"/>
  <c r="J768" i="149"/>
  <c r="L764" i="149"/>
  <c r="K764" i="149"/>
  <c r="L760" i="149"/>
  <c r="K760" i="149"/>
  <c r="J760" i="149"/>
  <c r="L756" i="149"/>
  <c r="K756" i="149"/>
  <c r="L752" i="149"/>
  <c r="K752" i="149"/>
  <c r="J752" i="149"/>
  <c r="L748" i="149"/>
  <c r="K748" i="149"/>
  <c r="L744" i="149"/>
  <c r="K744" i="149"/>
  <c r="J744" i="149"/>
  <c r="L740" i="149"/>
  <c r="K740" i="149"/>
  <c r="L736" i="149"/>
  <c r="K736" i="149"/>
  <c r="J736" i="149"/>
  <c r="L732" i="149"/>
  <c r="K732" i="149"/>
  <c r="L728" i="149"/>
  <c r="K728" i="149"/>
  <c r="J728" i="149"/>
  <c r="L724" i="149"/>
  <c r="K724" i="149"/>
  <c r="L720" i="149"/>
  <c r="K720" i="149"/>
  <c r="J720" i="149"/>
  <c r="L716" i="149"/>
  <c r="K716" i="149"/>
  <c r="L712" i="149"/>
  <c r="K712" i="149"/>
  <c r="J712" i="149"/>
  <c r="L708" i="149"/>
  <c r="K708" i="149"/>
  <c r="L704" i="149"/>
  <c r="K704" i="149"/>
  <c r="J704" i="149"/>
  <c r="L700" i="149"/>
  <c r="K700" i="149"/>
  <c r="L696" i="149"/>
  <c r="K696" i="149"/>
  <c r="J696" i="149"/>
  <c r="L692" i="149"/>
  <c r="K692" i="149"/>
  <c r="L688" i="149"/>
  <c r="K688" i="149"/>
  <c r="J688" i="149"/>
  <c r="L684" i="149"/>
  <c r="K684" i="149"/>
  <c r="L680" i="149"/>
  <c r="K680" i="149"/>
  <c r="J680" i="149"/>
  <c r="L676" i="149"/>
  <c r="K676" i="149"/>
  <c r="L672" i="149"/>
  <c r="K672" i="149"/>
  <c r="J672" i="149"/>
  <c r="L668" i="149"/>
  <c r="K668" i="149"/>
  <c r="L664" i="149"/>
  <c r="K664" i="149"/>
  <c r="J664" i="149"/>
  <c r="L660" i="149"/>
  <c r="K660" i="149"/>
  <c r="L656" i="149"/>
  <c r="K656" i="149"/>
  <c r="J656" i="149"/>
  <c r="L652" i="149"/>
  <c r="K652" i="149"/>
  <c r="L648" i="149"/>
  <c r="K648" i="149"/>
  <c r="J648" i="149"/>
  <c r="L644" i="149"/>
  <c r="K644" i="149"/>
  <c r="L640" i="149"/>
  <c r="K640" i="149"/>
  <c r="J640" i="149"/>
  <c r="L636" i="149"/>
  <c r="K636" i="149"/>
  <c r="L632" i="149"/>
  <c r="K632" i="149"/>
  <c r="J632" i="149"/>
  <c r="L628" i="149"/>
  <c r="L624" i="149"/>
  <c r="K624" i="149"/>
  <c r="J624" i="149"/>
  <c r="L620" i="149"/>
  <c r="K620" i="149"/>
  <c r="L616" i="149"/>
  <c r="K616" i="149"/>
  <c r="J616" i="149"/>
  <c r="L612" i="149"/>
  <c r="K612" i="149"/>
  <c r="L608" i="149"/>
  <c r="K608" i="149"/>
  <c r="J608" i="149"/>
  <c r="L604" i="149"/>
  <c r="K604" i="149"/>
  <c r="L600" i="149"/>
  <c r="K600" i="149"/>
  <c r="J600" i="149"/>
  <c r="L596" i="149"/>
  <c r="K596" i="149"/>
  <c r="L592" i="149"/>
  <c r="K592" i="149"/>
  <c r="J592" i="149"/>
  <c r="L588" i="149"/>
  <c r="K588" i="149"/>
  <c r="L584" i="149"/>
  <c r="K584" i="149"/>
  <c r="J584" i="149"/>
  <c r="L580" i="149"/>
  <c r="K580" i="149"/>
  <c r="L576" i="149"/>
  <c r="K576" i="149"/>
  <c r="J576" i="149"/>
  <c r="L572" i="149"/>
  <c r="K572" i="149"/>
  <c r="L568" i="149"/>
  <c r="K568" i="149"/>
  <c r="J568" i="149"/>
  <c r="K564" i="149"/>
  <c r="L564" i="149"/>
  <c r="L560" i="149"/>
  <c r="K560" i="149"/>
  <c r="J560" i="149"/>
  <c r="L556" i="149"/>
  <c r="K556" i="149"/>
  <c r="L552" i="149"/>
  <c r="K552" i="149"/>
  <c r="J552" i="149"/>
  <c r="K548" i="149"/>
  <c r="L548" i="149"/>
  <c r="L544" i="149"/>
  <c r="K544" i="149"/>
  <c r="J544" i="149"/>
  <c r="L540" i="149"/>
  <c r="K540" i="149"/>
  <c r="L536" i="149"/>
  <c r="K536" i="149"/>
  <c r="J536" i="149"/>
  <c r="L532" i="149"/>
  <c r="K532" i="149"/>
  <c r="L528" i="149"/>
  <c r="K528" i="149"/>
  <c r="J528" i="149"/>
  <c r="L524" i="149"/>
  <c r="K524" i="149"/>
  <c r="L520" i="149"/>
  <c r="K520" i="149"/>
  <c r="J520" i="149"/>
  <c r="L516" i="149"/>
  <c r="K516" i="149"/>
  <c r="L512" i="149"/>
  <c r="K512" i="149"/>
  <c r="J512" i="149"/>
  <c r="L508" i="149"/>
  <c r="K508" i="149"/>
  <c r="L504" i="149"/>
  <c r="K504" i="149"/>
  <c r="J504" i="149"/>
  <c r="K500" i="149"/>
  <c r="L500" i="149"/>
  <c r="L496" i="149"/>
  <c r="K496" i="149"/>
  <c r="J496" i="149"/>
  <c r="L492" i="149"/>
  <c r="K492" i="149"/>
  <c r="L488" i="149"/>
  <c r="K488" i="149"/>
  <c r="J488" i="149"/>
  <c r="K484" i="149"/>
  <c r="L484" i="149"/>
  <c r="L480" i="149"/>
  <c r="K480" i="149"/>
  <c r="J480" i="149"/>
  <c r="L476" i="149"/>
  <c r="K476" i="149"/>
  <c r="L472" i="149"/>
  <c r="K472" i="149"/>
  <c r="J472" i="149"/>
  <c r="L468" i="149"/>
  <c r="K468" i="149"/>
  <c r="L464" i="149"/>
  <c r="K464" i="149"/>
  <c r="J464" i="149"/>
  <c r="L460" i="149"/>
  <c r="K460" i="149"/>
  <c r="L456" i="149"/>
  <c r="K456" i="149"/>
  <c r="J456" i="149"/>
  <c r="L452" i="149"/>
  <c r="K452" i="149"/>
  <c r="L448" i="149"/>
  <c r="K448" i="149"/>
  <c r="J448" i="149"/>
  <c r="L444" i="149"/>
  <c r="K444" i="149"/>
  <c r="L440" i="149"/>
  <c r="K440" i="149"/>
  <c r="J440" i="149"/>
  <c r="K436" i="149"/>
  <c r="L436" i="149"/>
  <c r="L432" i="149"/>
  <c r="K432" i="149"/>
  <c r="J432" i="149"/>
  <c r="L428" i="149"/>
  <c r="K428" i="149"/>
  <c r="L424" i="149"/>
  <c r="K424" i="149"/>
  <c r="J424" i="149"/>
  <c r="K420" i="149"/>
  <c r="L420" i="149"/>
  <c r="L416" i="149"/>
  <c r="K416" i="149"/>
  <c r="J416" i="149"/>
  <c r="L412" i="149"/>
  <c r="K412" i="149"/>
  <c r="L408" i="149"/>
  <c r="K408" i="149"/>
  <c r="J408" i="149"/>
  <c r="L404" i="149"/>
  <c r="K404" i="149"/>
  <c r="L400" i="149"/>
  <c r="K400" i="149"/>
  <c r="J400" i="149"/>
  <c r="L396" i="149"/>
  <c r="K396" i="149"/>
  <c r="L392" i="149"/>
  <c r="K392" i="149"/>
  <c r="J392" i="149"/>
  <c r="L388" i="149"/>
  <c r="K388" i="149"/>
  <c r="L384" i="149"/>
  <c r="K384" i="149"/>
  <c r="J384" i="149"/>
  <c r="L380" i="149"/>
  <c r="K380" i="149"/>
  <c r="L376" i="149"/>
  <c r="K376" i="149"/>
  <c r="J376" i="149"/>
  <c r="K372" i="149"/>
  <c r="L372" i="149"/>
  <c r="L368" i="149"/>
  <c r="K368" i="149"/>
  <c r="J368" i="149"/>
  <c r="L364" i="149"/>
  <c r="K364" i="149"/>
  <c r="L360" i="149"/>
  <c r="K360" i="149"/>
  <c r="J360" i="149"/>
  <c r="K356" i="149"/>
  <c r="L356" i="149"/>
  <c r="L352" i="149"/>
  <c r="K352" i="149"/>
  <c r="J352" i="149"/>
  <c r="L348" i="149"/>
  <c r="K348" i="149"/>
  <c r="L344" i="149"/>
  <c r="K344" i="149"/>
  <c r="J344" i="149"/>
  <c r="L340" i="149"/>
  <c r="K340" i="149"/>
  <c r="L336" i="149"/>
  <c r="K336" i="149"/>
  <c r="J336" i="149"/>
  <c r="L332" i="149"/>
  <c r="K332" i="149"/>
  <c r="L328" i="149"/>
  <c r="K328" i="149"/>
  <c r="J328" i="149"/>
  <c r="L324" i="149"/>
  <c r="K324" i="149"/>
  <c r="L320" i="149"/>
  <c r="K320" i="149"/>
  <c r="J320" i="149"/>
  <c r="L316" i="149"/>
  <c r="K316" i="149"/>
  <c r="L312" i="149"/>
  <c r="K312" i="149"/>
  <c r="J312" i="149"/>
  <c r="L308" i="149"/>
  <c r="K308" i="149"/>
  <c r="L304" i="149"/>
  <c r="K304" i="149"/>
  <c r="J304" i="149"/>
  <c r="L300" i="149"/>
  <c r="K300" i="149"/>
  <c r="L296" i="149"/>
  <c r="K296" i="149"/>
  <c r="J296" i="149"/>
  <c r="L292" i="149"/>
  <c r="K292" i="149"/>
  <c r="L288" i="149"/>
  <c r="K288" i="149"/>
  <c r="J288" i="149"/>
  <c r="L284" i="149"/>
  <c r="K284" i="149"/>
  <c r="L280" i="149"/>
  <c r="K280" i="149"/>
  <c r="J280" i="149"/>
  <c r="L276" i="149"/>
  <c r="K276" i="149"/>
  <c r="L272" i="149"/>
  <c r="K272" i="149"/>
  <c r="J272" i="149"/>
  <c r="L268" i="149"/>
  <c r="K268" i="149"/>
  <c r="L264" i="149"/>
  <c r="K264" i="149"/>
  <c r="J264" i="149"/>
  <c r="L260" i="149"/>
  <c r="K260" i="149"/>
  <c r="L256" i="149"/>
  <c r="K256" i="149"/>
  <c r="J256" i="149"/>
  <c r="L252" i="149"/>
  <c r="K252" i="149"/>
  <c r="L248" i="149"/>
  <c r="K248" i="149"/>
  <c r="J248" i="149"/>
  <c r="L244" i="149"/>
  <c r="K244" i="149"/>
  <c r="L240" i="149"/>
  <c r="K240" i="149"/>
  <c r="J240" i="149"/>
  <c r="L236" i="149"/>
  <c r="K236" i="149"/>
  <c r="L232" i="149"/>
  <c r="K232" i="149"/>
  <c r="J232" i="149"/>
  <c r="L228" i="149"/>
  <c r="K228" i="149"/>
  <c r="L224" i="149"/>
  <c r="K224" i="149"/>
  <c r="J224" i="149"/>
  <c r="L220" i="149"/>
  <c r="K220" i="149"/>
  <c r="L216" i="149"/>
  <c r="K216" i="149"/>
  <c r="J216" i="149"/>
  <c r="L212" i="149"/>
  <c r="K212" i="149"/>
  <c r="L208" i="149"/>
  <c r="K208" i="149"/>
  <c r="J208" i="149"/>
  <c r="L204" i="149"/>
  <c r="K204" i="149"/>
  <c r="L200" i="149"/>
  <c r="K200" i="149"/>
  <c r="J200" i="149"/>
  <c r="L196" i="149"/>
  <c r="K196" i="149"/>
  <c r="L192" i="149"/>
  <c r="K192" i="149"/>
  <c r="J192" i="149"/>
  <c r="L188" i="149"/>
  <c r="K188" i="149"/>
  <c r="L184" i="149"/>
  <c r="K184" i="149"/>
  <c r="J184" i="149"/>
  <c r="L180" i="149"/>
  <c r="K180" i="149"/>
  <c r="L176" i="149"/>
  <c r="K176" i="149"/>
  <c r="J176" i="149"/>
  <c r="L172" i="149"/>
  <c r="K172" i="149"/>
  <c r="L168" i="149"/>
  <c r="K168" i="149"/>
  <c r="J168" i="149"/>
  <c r="L164" i="149"/>
  <c r="K164" i="149"/>
  <c r="L160" i="149"/>
  <c r="K160" i="149"/>
  <c r="J160" i="149"/>
  <c r="L156" i="149"/>
  <c r="K156" i="149"/>
  <c r="J156" i="149"/>
  <c r="L152" i="149"/>
  <c r="K152" i="149"/>
  <c r="J152" i="149"/>
  <c r="L148" i="149"/>
  <c r="K148" i="149"/>
  <c r="J148" i="149"/>
  <c r="L144" i="149"/>
  <c r="K144" i="149"/>
  <c r="J144" i="149"/>
  <c r="L140" i="149"/>
  <c r="K140" i="149"/>
  <c r="J140" i="149"/>
  <c r="L136" i="149"/>
  <c r="K136" i="149"/>
  <c r="J136" i="149"/>
  <c r="L132" i="149"/>
  <c r="K132" i="149"/>
  <c r="J132" i="149"/>
  <c r="L128" i="149"/>
  <c r="K128" i="149"/>
  <c r="J128" i="149"/>
  <c r="L124" i="149"/>
  <c r="K124" i="149"/>
  <c r="J124" i="149"/>
  <c r="L120" i="149"/>
  <c r="K120" i="149"/>
  <c r="J120" i="149"/>
  <c r="L116" i="149"/>
  <c r="K116" i="149"/>
  <c r="J116" i="149"/>
  <c r="L112" i="149"/>
  <c r="K112" i="149"/>
  <c r="J112" i="149"/>
  <c r="L108" i="149"/>
  <c r="K108" i="149"/>
  <c r="J108" i="149"/>
  <c r="L104" i="149"/>
  <c r="K104" i="149"/>
  <c r="J104" i="149"/>
  <c r="L100" i="149"/>
  <c r="K100" i="149"/>
  <c r="J100" i="149"/>
  <c r="L96" i="149"/>
  <c r="K96" i="149"/>
  <c r="J96" i="149"/>
  <c r="L92" i="149"/>
  <c r="K92" i="149"/>
  <c r="J92" i="149"/>
  <c r="L88" i="149"/>
  <c r="K88" i="149"/>
  <c r="J88" i="149"/>
  <c r="L84" i="149"/>
  <c r="K84" i="149"/>
  <c r="J84" i="149"/>
  <c r="L80" i="149"/>
  <c r="K80" i="149"/>
  <c r="J80" i="149"/>
  <c r="L76" i="149"/>
  <c r="K76" i="149"/>
  <c r="J76" i="149"/>
  <c r="L72" i="149"/>
  <c r="K72" i="149"/>
  <c r="J72" i="149"/>
  <c r="L68" i="149"/>
  <c r="K68" i="149"/>
  <c r="J68" i="149"/>
  <c r="L64" i="149"/>
  <c r="K64" i="149"/>
  <c r="J64" i="149"/>
  <c r="L60" i="149"/>
  <c r="K60" i="149"/>
  <c r="J60" i="149"/>
  <c r="L56" i="149"/>
  <c r="K56" i="149"/>
  <c r="J56" i="149"/>
  <c r="L52" i="149"/>
  <c r="K52" i="149"/>
  <c r="J52" i="149"/>
  <c r="L48" i="149"/>
  <c r="K48" i="149"/>
  <c r="J48" i="149"/>
  <c r="L44" i="149"/>
  <c r="K44" i="149"/>
  <c r="J44" i="149"/>
  <c r="L40" i="149"/>
  <c r="K40" i="149"/>
  <c r="J40" i="149"/>
  <c r="L36" i="149"/>
  <c r="K36" i="149"/>
  <c r="J36" i="149"/>
  <c r="L32" i="149"/>
  <c r="K32" i="149"/>
  <c r="J32" i="149"/>
  <c r="L28" i="149"/>
  <c r="K28" i="149"/>
  <c r="J28" i="149"/>
  <c r="L24" i="149"/>
  <c r="K24" i="149"/>
  <c r="J24" i="149"/>
  <c r="L20" i="149"/>
  <c r="K20" i="149"/>
  <c r="J20" i="149"/>
  <c r="L16" i="149"/>
  <c r="K16" i="149"/>
  <c r="J16" i="149"/>
  <c r="L12" i="149"/>
  <c r="K12" i="149"/>
  <c r="J12" i="149"/>
  <c r="J988" i="149"/>
  <c r="J956" i="149"/>
  <c r="J924" i="149"/>
  <c r="J892" i="149"/>
  <c r="J860" i="149"/>
  <c r="J828" i="149"/>
  <c r="J796" i="149"/>
  <c r="J764" i="149"/>
  <c r="J732" i="149"/>
  <c r="J700" i="149"/>
  <c r="J668" i="149"/>
  <c r="J636" i="149"/>
  <c r="J604" i="149"/>
  <c r="J572" i="149"/>
  <c r="J540" i="149"/>
  <c r="J508" i="149"/>
  <c r="J476" i="149"/>
  <c r="J444" i="149"/>
  <c r="J412" i="149"/>
  <c r="J380" i="149"/>
  <c r="J348" i="149"/>
  <c r="J316" i="149"/>
  <c r="J284" i="149"/>
  <c r="J252" i="149"/>
  <c r="J220" i="149"/>
  <c r="J188" i="149"/>
  <c r="J154" i="149"/>
  <c r="J42" i="149"/>
  <c r="K914" i="149"/>
  <c r="K701" i="149"/>
  <c r="L15" i="149"/>
  <c r="K15" i="149"/>
  <c r="J15" i="149"/>
  <c r="L11" i="149"/>
  <c r="M1000" i="149" l="1"/>
  <c r="M984" i="149"/>
  <c r="M972" i="149"/>
  <c r="M960" i="149"/>
  <c r="M948" i="149"/>
  <c r="M936" i="149"/>
  <c r="M924" i="149"/>
  <c r="M912" i="149"/>
  <c r="M896" i="149"/>
  <c r="M876" i="149"/>
  <c r="M864" i="149"/>
  <c r="M852" i="149"/>
  <c r="M840" i="149"/>
  <c r="M824" i="149"/>
  <c r="M812" i="149"/>
  <c r="M800" i="149"/>
  <c r="M788" i="149"/>
  <c r="M776" i="149"/>
  <c r="M764" i="149"/>
  <c r="M752" i="149"/>
  <c r="M740" i="149"/>
  <c r="M724" i="149"/>
  <c r="M712" i="149"/>
  <c r="M696" i="149"/>
  <c r="M676" i="149"/>
  <c r="M664" i="149"/>
  <c r="M648" i="149"/>
  <c r="M632" i="149"/>
  <c r="M620" i="149"/>
  <c r="M604" i="149"/>
  <c r="M592" i="149"/>
  <c r="M580" i="149"/>
  <c r="M568" i="149"/>
  <c r="M556" i="149"/>
  <c r="M544" i="149"/>
  <c r="M532" i="149"/>
  <c r="M524" i="149"/>
  <c r="M512" i="149"/>
  <c r="M500" i="149"/>
  <c r="M492" i="149"/>
  <c r="M484" i="149"/>
  <c r="M472" i="149"/>
  <c r="M460" i="149"/>
  <c r="M452" i="149"/>
  <c r="M444" i="149"/>
  <c r="M440" i="149"/>
  <c r="M428" i="149"/>
  <c r="M416" i="149"/>
  <c r="M404" i="149"/>
  <c r="M392" i="149"/>
  <c r="M372" i="149"/>
  <c r="M360" i="149"/>
  <c r="M348" i="149"/>
  <c r="M336" i="149"/>
  <c r="M324" i="149"/>
  <c r="M304" i="149"/>
  <c r="M296" i="149"/>
  <c r="M288" i="149"/>
  <c r="M276" i="149"/>
  <c r="M264" i="149"/>
  <c r="M256" i="149"/>
  <c r="M244" i="149"/>
  <c r="M232" i="149"/>
  <c r="M220" i="149"/>
  <c r="M208" i="149"/>
  <c r="M200" i="149"/>
  <c r="M188" i="149"/>
  <c r="M176" i="149"/>
  <c r="M164" i="149"/>
  <c r="M152" i="149"/>
  <c r="M140" i="149"/>
  <c r="M128" i="149"/>
  <c r="M116" i="149"/>
  <c r="M104" i="149"/>
  <c r="M92" i="149"/>
  <c r="M80" i="149"/>
  <c r="M1007" i="149"/>
  <c r="M1003" i="149"/>
  <c r="M999" i="149"/>
  <c r="M995" i="149"/>
  <c r="M991" i="149"/>
  <c r="M987" i="149"/>
  <c r="M983" i="149"/>
  <c r="M979" i="149"/>
  <c r="M975" i="149"/>
  <c r="M971" i="149"/>
  <c r="M967" i="149"/>
  <c r="M963" i="149"/>
  <c r="M959" i="149"/>
  <c r="M955" i="149"/>
  <c r="M951" i="149"/>
  <c r="M947" i="149"/>
  <c r="M943" i="149"/>
  <c r="M939" i="149"/>
  <c r="M935" i="149"/>
  <c r="M931" i="149"/>
  <c r="M927" i="149"/>
  <c r="M923" i="149"/>
  <c r="M919" i="149"/>
  <c r="M915" i="149"/>
  <c r="M911" i="149"/>
  <c r="M907" i="149"/>
  <c r="M903" i="149"/>
  <c r="M899" i="149"/>
  <c r="M895" i="149"/>
  <c r="M891" i="149"/>
  <c r="M887" i="149"/>
  <c r="M883" i="149"/>
  <c r="M879" i="149"/>
  <c r="M875" i="149"/>
  <c r="M871" i="149"/>
  <c r="M867" i="149"/>
  <c r="M863" i="149"/>
  <c r="M859" i="149"/>
  <c r="M855" i="149"/>
  <c r="M851" i="149"/>
  <c r="M847" i="149"/>
  <c r="M843" i="149"/>
  <c r="M839" i="149"/>
  <c r="M835" i="149"/>
  <c r="M831" i="149"/>
  <c r="M827" i="149"/>
  <c r="M823" i="149"/>
  <c r="M819" i="149"/>
  <c r="M815" i="149"/>
  <c r="M811" i="149"/>
  <c r="M807" i="149"/>
  <c r="M803" i="149"/>
  <c r="M799" i="149"/>
  <c r="M795" i="149"/>
  <c r="M791" i="149"/>
  <c r="M787" i="149"/>
  <c r="M783" i="149"/>
  <c r="M779" i="149"/>
  <c r="M775" i="149"/>
  <c r="M771" i="149"/>
  <c r="M767" i="149"/>
  <c r="M763" i="149"/>
  <c r="M759" i="149"/>
  <c r="M755" i="149"/>
  <c r="M751" i="149"/>
  <c r="M747" i="149"/>
  <c r="M743" i="149"/>
  <c r="M739" i="149"/>
  <c r="M735" i="149"/>
  <c r="M731" i="149"/>
  <c r="M727" i="149"/>
  <c r="M723" i="149"/>
  <c r="M719" i="149"/>
  <c r="M715" i="149"/>
  <c r="M711" i="149"/>
  <c r="M707" i="149"/>
  <c r="M703" i="149"/>
  <c r="M699" i="149"/>
  <c r="M695" i="149"/>
  <c r="M691" i="149"/>
  <c r="M687" i="149"/>
  <c r="M683" i="149"/>
  <c r="M679" i="149"/>
  <c r="M675" i="149"/>
  <c r="M671" i="149"/>
  <c r="M667" i="149"/>
  <c r="M663" i="149"/>
  <c r="M659" i="149"/>
  <c r="M655" i="149"/>
  <c r="M651" i="149"/>
  <c r="M647" i="149"/>
  <c r="M643" i="149"/>
  <c r="M639" i="149"/>
  <c r="M635" i="149"/>
  <c r="M631" i="149"/>
  <c r="M627" i="149"/>
  <c r="M623" i="149"/>
  <c r="M619" i="149"/>
  <c r="M615" i="149"/>
  <c r="M611" i="149"/>
  <c r="M607" i="149"/>
  <c r="M603" i="149"/>
  <c r="M599" i="149"/>
  <c r="M595" i="149"/>
  <c r="M591" i="149"/>
  <c r="M587" i="149"/>
  <c r="M583" i="149"/>
  <c r="M579" i="149"/>
  <c r="M575" i="149"/>
  <c r="M571" i="149"/>
  <c r="M567" i="149"/>
  <c r="M563" i="149"/>
  <c r="M559" i="149"/>
  <c r="M555" i="149"/>
  <c r="M551" i="149"/>
  <c r="M547" i="149"/>
  <c r="M543" i="149"/>
  <c r="M539" i="149"/>
  <c r="M535" i="149"/>
  <c r="M531" i="149"/>
  <c r="M527" i="149"/>
  <c r="M523" i="149"/>
  <c r="M519" i="149"/>
  <c r="M515" i="149"/>
  <c r="M511" i="149"/>
  <c r="M507" i="149"/>
  <c r="M503" i="149"/>
  <c r="M499" i="149"/>
  <c r="M495" i="149"/>
  <c r="M491" i="149"/>
  <c r="M487" i="149"/>
  <c r="M483" i="149"/>
  <c r="M479" i="149"/>
  <c r="M475" i="149"/>
  <c r="M471" i="149"/>
  <c r="M467" i="149"/>
  <c r="M463" i="149"/>
  <c r="M459" i="149"/>
  <c r="M455" i="149"/>
  <c r="M451" i="149"/>
  <c r="M447" i="149"/>
  <c r="M443" i="149"/>
  <c r="M439" i="149"/>
  <c r="M435" i="149"/>
  <c r="M431" i="149"/>
  <c r="M427" i="149"/>
  <c r="M423" i="149"/>
  <c r="M419" i="149"/>
  <c r="M415" i="149"/>
  <c r="M411" i="149"/>
  <c r="M407" i="149"/>
  <c r="M403" i="149"/>
  <c r="M399" i="149"/>
  <c r="M395" i="149"/>
  <c r="M391" i="149"/>
  <c r="M387" i="149"/>
  <c r="M383" i="149"/>
  <c r="M379" i="149"/>
  <c r="M375" i="149"/>
  <c r="M371" i="149"/>
  <c r="M367" i="149"/>
  <c r="M363" i="149"/>
  <c r="M359" i="149"/>
  <c r="M355" i="149"/>
  <c r="M351" i="149"/>
  <c r="M347" i="149"/>
  <c r="M343" i="149"/>
  <c r="M339" i="149"/>
  <c r="M335" i="149"/>
  <c r="M331" i="149"/>
  <c r="M327" i="149"/>
  <c r="M323" i="149"/>
  <c r="M319" i="149"/>
  <c r="M315" i="149"/>
  <c r="M311" i="149"/>
  <c r="M307" i="149"/>
  <c r="M303" i="149"/>
  <c r="M299" i="149"/>
  <c r="M295" i="149"/>
  <c r="M291" i="149"/>
  <c r="M287" i="149"/>
  <c r="M283" i="149"/>
  <c r="M279" i="149"/>
  <c r="M275" i="149"/>
  <c r="M271" i="149"/>
  <c r="M267" i="149"/>
  <c r="M263" i="149"/>
  <c r="M259" i="149"/>
  <c r="M255" i="149"/>
  <c r="M251" i="149"/>
  <c r="M247" i="149"/>
  <c r="M243" i="149"/>
  <c r="M239" i="149"/>
  <c r="M235" i="149"/>
  <c r="M231" i="149"/>
  <c r="M227" i="149"/>
  <c r="M223" i="149"/>
  <c r="M219" i="149"/>
  <c r="M215" i="149"/>
  <c r="M211" i="149"/>
  <c r="M207" i="149"/>
  <c r="M203" i="149"/>
  <c r="M199" i="149"/>
  <c r="M195" i="149"/>
  <c r="M191" i="149"/>
  <c r="M187" i="149"/>
  <c r="M183" i="149"/>
  <c r="M179" i="149"/>
  <c r="M175" i="149"/>
  <c r="M171" i="149"/>
  <c r="M167" i="149"/>
  <c r="M163" i="149"/>
  <c r="M159" i="149"/>
  <c r="M155" i="149"/>
  <c r="M151" i="149"/>
  <c r="M147" i="149"/>
  <c r="M143" i="149"/>
  <c r="M139" i="149"/>
  <c r="M135" i="149"/>
  <c r="M131" i="149"/>
  <c r="M127" i="149"/>
  <c r="M123" i="149"/>
  <c r="M119" i="149"/>
  <c r="M115" i="149"/>
  <c r="M111" i="149"/>
  <c r="M107" i="149"/>
  <c r="M103" i="149"/>
  <c r="M99" i="149"/>
  <c r="M95" i="149"/>
  <c r="M91" i="149"/>
  <c r="M87" i="149"/>
  <c r="M83" i="149"/>
  <c r="M79" i="149"/>
  <c r="M75" i="149"/>
  <c r="M71" i="149"/>
  <c r="M67" i="149"/>
  <c r="M63" i="149"/>
  <c r="M59" i="149"/>
  <c r="M55" i="149"/>
  <c r="M51" i="149"/>
  <c r="M47" i="149"/>
  <c r="M43" i="149"/>
  <c r="M39" i="149"/>
  <c r="M35" i="149"/>
  <c r="M31" i="149"/>
  <c r="M27" i="149"/>
  <c r="M23" i="149"/>
  <c r="M19" i="149"/>
  <c r="M15" i="149"/>
  <c r="M1004" i="149"/>
  <c r="M992" i="149"/>
  <c r="M980" i="149"/>
  <c r="M968" i="149"/>
  <c r="M956" i="149"/>
  <c r="M944" i="149"/>
  <c r="M932" i="149"/>
  <c r="M920" i="149"/>
  <c r="M908" i="149"/>
  <c r="M900" i="149"/>
  <c r="M888" i="149"/>
  <c r="M880" i="149"/>
  <c r="M868" i="149"/>
  <c r="M856" i="149"/>
  <c r="M848" i="149"/>
  <c r="M836" i="149"/>
  <c r="M828" i="149"/>
  <c r="M816" i="149"/>
  <c r="M808" i="149"/>
  <c r="M796" i="149"/>
  <c r="M784" i="149"/>
  <c r="M768" i="149"/>
  <c r="M756" i="149"/>
  <c r="M744" i="149"/>
  <c r="M732" i="149"/>
  <c r="M720" i="149"/>
  <c r="M708" i="149"/>
  <c r="M700" i="149"/>
  <c r="M688" i="149"/>
  <c r="M680" i="149"/>
  <c r="M672" i="149"/>
  <c r="M660" i="149"/>
  <c r="M652" i="149"/>
  <c r="M640" i="149"/>
  <c r="M628" i="149"/>
  <c r="M616" i="149"/>
  <c r="M608" i="149"/>
  <c r="M596" i="149"/>
  <c r="M584" i="149"/>
  <c r="M572" i="149"/>
  <c r="M564" i="149"/>
  <c r="M552" i="149"/>
  <c r="M540" i="149"/>
  <c r="M528" i="149"/>
  <c r="M520" i="149"/>
  <c r="M508" i="149"/>
  <c r="M496" i="149"/>
  <c r="M488" i="149"/>
  <c r="M480" i="149"/>
  <c r="M468" i="149"/>
  <c r="M432" i="149"/>
  <c r="M420" i="149"/>
  <c r="M412" i="149"/>
  <c r="M400" i="149"/>
  <c r="M388" i="149"/>
  <c r="M380" i="149"/>
  <c r="M368" i="149"/>
  <c r="M356" i="149"/>
  <c r="M344" i="149"/>
  <c r="M332" i="149"/>
  <c r="M320" i="149"/>
  <c r="M312" i="149"/>
  <c r="M300" i="149"/>
  <c r="M284" i="149"/>
  <c r="M272" i="149"/>
  <c r="M260" i="149"/>
  <c r="M248" i="149"/>
  <c r="M236" i="149"/>
  <c r="M224" i="149"/>
  <c r="M212" i="149"/>
  <c r="M196" i="149"/>
  <c r="M180" i="149"/>
  <c r="M168" i="149"/>
  <c r="M156" i="149"/>
  <c r="M144" i="149"/>
  <c r="M132" i="149"/>
  <c r="M124" i="149"/>
  <c r="M112" i="149"/>
  <c r="M100" i="149"/>
  <c r="M88" i="149"/>
  <c r="M1010" i="149"/>
  <c r="M1006" i="149"/>
  <c r="M1002" i="149"/>
  <c r="M998" i="149"/>
  <c r="M994" i="149"/>
  <c r="M990" i="149"/>
  <c r="M986" i="149"/>
  <c r="M982" i="149"/>
  <c r="M978" i="149"/>
  <c r="M974" i="149"/>
  <c r="M970" i="149"/>
  <c r="M966" i="149"/>
  <c r="M962" i="149"/>
  <c r="M958" i="149"/>
  <c r="M954" i="149"/>
  <c r="M950" i="149"/>
  <c r="M946" i="149"/>
  <c r="M942" i="149"/>
  <c r="M938" i="149"/>
  <c r="M934" i="149"/>
  <c r="M930" i="149"/>
  <c r="M926" i="149"/>
  <c r="M922" i="149"/>
  <c r="M918" i="149"/>
  <c r="M914" i="149"/>
  <c r="M910" i="149"/>
  <c r="M906" i="149"/>
  <c r="M902" i="149"/>
  <c r="M898" i="149"/>
  <c r="M894" i="149"/>
  <c r="M890" i="149"/>
  <c r="M886" i="149"/>
  <c r="M882" i="149"/>
  <c r="M878" i="149"/>
  <c r="M874" i="149"/>
  <c r="M870" i="149"/>
  <c r="M866" i="149"/>
  <c r="M862" i="149"/>
  <c r="M858" i="149"/>
  <c r="M854" i="149"/>
  <c r="M850" i="149"/>
  <c r="M846" i="149"/>
  <c r="M842" i="149"/>
  <c r="M838" i="149"/>
  <c r="M834" i="149"/>
  <c r="M830" i="149"/>
  <c r="M826" i="149"/>
  <c r="M822" i="149"/>
  <c r="M818" i="149"/>
  <c r="M814" i="149"/>
  <c r="M810" i="149"/>
  <c r="M806" i="149"/>
  <c r="M802" i="149"/>
  <c r="M798" i="149"/>
  <c r="M794" i="149"/>
  <c r="M790" i="149"/>
  <c r="M786" i="149"/>
  <c r="M782" i="149"/>
  <c r="M778" i="149"/>
  <c r="M774" i="149"/>
  <c r="M770" i="149"/>
  <c r="M766" i="149"/>
  <c r="M762" i="149"/>
  <c r="M758" i="149"/>
  <c r="M754" i="149"/>
  <c r="M750" i="149"/>
  <c r="M746" i="149"/>
  <c r="M742" i="149"/>
  <c r="M738" i="149"/>
  <c r="M734" i="149"/>
  <c r="M730" i="149"/>
  <c r="M726" i="149"/>
  <c r="M722" i="149"/>
  <c r="M718" i="149"/>
  <c r="M714" i="149"/>
  <c r="M710" i="149"/>
  <c r="M706" i="149"/>
  <c r="M702" i="149"/>
  <c r="M698" i="149"/>
  <c r="M694" i="149"/>
  <c r="M690" i="149"/>
  <c r="M686" i="149"/>
  <c r="M682" i="149"/>
  <c r="M678" i="149"/>
  <c r="M674" i="149"/>
  <c r="M670" i="149"/>
  <c r="M666" i="149"/>
  <c r="M662" i="149"/>
  <c r="M658" i="149"/>
  <c r="M654" i="149"/>
  <c r="M650" i="149"/>
  <c r="M646" i="149"/>
  <c r="M642" i="149"/>
  <c r="M638" i="149"/>
  <c r="M634" i="149"/>
  <c r="M630" i="149"/>
  <c r="M626" i="149"/>
  <c r="M622" i="149"/>
  <c r="M618" i="149"/>
  <c r="M614" i="149"/>
  <c r="M610" i="149"/>
  <c r="M606" i="149"/>
  <c r="M602" i="149"/>
  <c r="M598" i="149"/>
  <c r="M594" i="149"/>
  <c r="M590" i="149"/>
  <c r="M586" i="149"/>
  <c r="M582" i="149"/>
  <c r="M578" i="149"/>
  <c r="M574" i="149"/>
  <c r="M570" i="149"/>
  <c r="M566" i="149"/>
  <c r="M562" i="149"/>
  <c r="M558" i="149"/>
  <c r="M554" i="149"/>
  <c r="M550" i="149"/>
  <c r="M546" i="149"/>
  <c r="M542" i="149"/>
  <c r="M538" i="149"/>
  <c r="M534" i="149"/>
  <c r="M530" i="149"/>
  <c r="M526" i="149"/>
  <c r="M522" i="149"/>
  <c r="M518" i="149"/>
  <c r="M514" i="149"/>
  <c r="M510" i="149"/>
  <c r="M506" i="149"/>
  <c r="M502" i="149"/>
  <c r="M498" i="149"/>
  <c r="M494" i="149"/>
  <c r="M490" i="149"/>
  <c r="M486" i="149"/>
  <c r="M482" i="149"/>
  <c r="M478" i="149"/>
  <c r="M474" i="149"/>
  <c r="M470" i="149"/>
  <c r="M466" i="149"/>
  <c r="M462" i="149"/>
  <c r="M458" i="149"/>
  <c r="M454" i="149"/>
  <c r="M450" i="149"/>
  <c r="M446" i="149"/>
  <c r="M442" i="149"/>
  <c r="M438" i="149"/>
  <c r="M434" i="149"/>
  <c r="M430" i="149"/>
  <c r="M426" i="149"/>
  <c r="M422" i="149"/>
  <c r="M418" i="149"/>
  <c r="M414" i="149"/>
  <c r="M410" i="149"/>
  <c r="M406" i="149"/>
  <c r="M402" i="149"/>
  <c r="M398" i="149"/>
  <c r="M394" i="149"/>
  <c r="M390" i="149"/>
  <c r="M386" i="149"/>
  <c r="M382" i="149"/>
  <c r="M378" i="149"/>
  <c r="M374" i="149"/>
  <c r="M370" i="149"/>
  <c r="M366" i="149"/>
  <c r="M362" i="149"/>
  <c r="M358" i="149"/>
  <c r="M354" i="149"/>
  <c r="M350" i="149"/>
  <c r="M346" i="149"/>
  <c r="M342" i="149"/>
  <c r="M338" i="149"/>
  <c r="M334" i="149"/>
  <c r="M330" i="149"/>
  <c r="M326" i="149"/>
  <c r="M322" i="149"/>
  <c r="M318" i="149"/>
  <c r="M314" i="149"/>
  <c r="M310" i="149"/>
  <c r="M306" i="149"/>
  <c r="M302" i="149"/>
  <c r="M298" i="149"/>
  <c r="M294" i="149"/>
  <c r="M290" i="149"/>
  <c r="M286" i="149"/>
  <c r="M282" i="149"/>
  <c r="M278" i="149"/>
  <c r="M274" i="149"/>
  <c r="M270" i="149"/>
  <c r="M266" i="149"/>
  <c r="M262" i="149"/>
  <c r="M258" i="149"/>
  <c r="M254" i="149"/>
  <c r="M250" i="149"/>
  <c r="M246" i="149"/>
  <c r="M242" i="149"/>
  <c r="M238" i="149"/>
  <c r="M234" i="149"/>
  <c r="M230" i="149"/>
  <c r="M226" i="149"/>
  <c r="M222" i="149"/>
  <c r="M218" i="149"/>
  <c r="M214" i="149"/>
  <c r="M210" i="149"/>
  <c r="M206" i="149"/>
  <c r="M202" i="149"/>
  <c r="M198" i="149"/>
  <c r="M194" i="149"/>
  <c r="M190" i="149"/>
  <c r="M186" i="149"/>
  <c r="M182" i="149"/>
  <c r="M178" i="149"/>
  <c r="M174" i="149"/>
  <c r="M170" i="149"/>
  <c r="M166" i="149"/>
  <c r="M162" i="149"/>
  <c r="M158" i="149"/>
  <c r="M154" i="149"/>
  <c r="M150" i="149"/>
  <c r="M146" i="149"/>
  <c r="M142" i="149"/>
  <c r="M138" i="149"/>
  <c r="M134" i="149"/>
  <c r="M130" i="149"/>
  <c r="M126" i="149"/>
  <c r="M122" i="149"/>
  <c r="M118" i="149"/>
  <c r="M114" i="149"/>
  <c r="M110" i="149"/>
  <c r="M106" i="149"/>
  <c r="M102" i="149"/>
  <c r="M98" i="149"/>
  <c r="M94" i="149"/>
  <c r="M90" i="149"/>
  <c r="M86" i="149"/>
  <c r="M82" i="149"/>
  <c r="M1008" i="149"/>
  <c r="M996" i="149"/>
  <c r="M988" i="149"/>
  <c r="M976" i="149"/>
  <c r="M964" i="149"/>
  <c r="M952" i="149"/>
  <c r="M940" i="149"/>
  <c r="M928" i="149"/>
  <c r="M916" i="149"/>
  <c r="M892" i="149"/>
  <c r="M884" i="149"/>
  <c r="M872" i="149"/>
  <c r="M860" i="149"/>
  <c r="M844" i="149"/>
  <c r="M832" i="149"/>
  <c r="M820" i="149"/>
  <c r="M804" i="149"/>
  <c r="M792" i="149"/>
  <c r="M780" i="149"/>
  <c r="M772" i="149"/>
  <c r="M760" i="149"/>
  <c r="M748" i="149"/>
  <c r="M736" i="149"/>
  <c r="M728" i="149"/>
  <c r="M716" i="149"/>
  <c r="M704" i="149"/>
  <c r="M692" i="149"/>
  <c r="M684" i="149"/>
  <c r="M668" i="149"/>
  <c r="M656" i="149"/>
  <c r="M644" i="149"/>
  <c r="M636" i="149"/>
  <c r="M624" i="149"/>
  <c r="M612" i="149"/>
  <c r="M600" i="149"/>
  <c r="M588" i="149"/>
  <c r="M576" i="149"/>
  <c r="M560" i="149"/>
  <c r="M548" i="149"/>
  <c r="M536" i="149"/>
  <c r="M516" i="149"/>
  <c r="M504" i="149"/>
  <c r="M476" i="149"/>
  <c r="M464" i="149"/>
  <c r="M456" i="149"/>
  <c r="M448" i="149"/>
  <c r="M436" i="149"/>
  <c r="M424" i="149"/>
  <c r="M408" i="149"/>
  <c r="M396" i="149"/>
  <c r="M384" i="149"/>
  <c r="M376" i="149"/>
  <c r="M364" i="149"/>
  <c r="M352" i="149"/>
  <c r="M340" i="149"/>
  <c r="M328" i="149"/>
  <c r="M316" i="149"/>
  <c r="M308" i="149"/>
  <c r="M292" i="149"/>
  <c r="M280" i="149"/>
  <c r="M268" i="149"/>
  <c r="M252" i="149"/>
  <c r="M240" i="149"/>
  <c r="M228" i="149"/>
  <c r="M216" i="149"/>
  <c r="M204" i="149"/>
  <c r="M192" i="149"/>
  <c r="M184" i="149"/>
  <c r="M172" i="149"/>
  <c r="M160" i="149"/>
  <c r="M148" i="149"/>
  <c r="M136" i="149"/>
  <c r="M120" i="149"/>
  <c r="M108" i="149"/>
  <c r="M96" i="149"/>
  <c r="M84" i="149"/>
  <c r="M1009" i="149"/>
  <c r="M1005" i="149"/>
  <c r="M1001" i="149"/>
  <c r="M997" i="149"/>
  <c r="M993" i="149"/>
  <c r="M989" i="149"/>
  <c r="M985" i="149"/>
  <c r="M981" i="149"/>
  <c r="M977" i="149"/>
  <c r="M973" i="149"/>
  <c r="M969" i="149"/>
  <c r="M965" i="149"/>
  <c r="M961" i="149"/>
  <c r="M957" i="149"/>
  <c r="M953" i="149"/>
  <c r="M949" i="149"/>
  <c r="M945" i="149"/>
  <c r="M941" i="149"/>
  <c r="M937" i="149"/>
  <c r="M933" i="149"/>
  <c r="M929" i="149"/>
  <c r="M925" i="149"/>
  <c r="M921" i="149"/>
  <c r="M917" i="149"/>
  <c r="M913" i="149"/>
  <c r="M909" i="149"/>
  <c r="M901" i="149"/>
  <c r="M897" i="149"/>
  <c r="M893" i="149"/>
  <c r="M889" i="149"/>
  <c r="M885" i="149"/>
  <c r="M881" i="149"/>
  <c r="M877" i="149"/>
  <c r="M873" i="149"/>
  <c r="M869" i="149"/>
  <c r="M865" i="149"/>
  <c r="M861" i="149"/>
  <c r="M857" i="149"/>
  <c r="M853" i="149"/>
  <c r="M849" i="149"/>
  <c r="M845" i="149"/>
  <c r="M841" i="149"/>
  <c r="M837" i="149"/>
  <c r="M833" i="149"/>
  <c r="M829" i="149"/>
  <c r="M825" i="149"/>
  <c r="M821" i="149"/>
  <c r="M817" i="149"/>
  <c r="M813" i="149"/>
  <c r="M809" i="149"/>
  <c r="M805" i="149"/>
  <c r="M801" i="149"/>
  <c r="M797" i="149"/>
  <c r="M793" i="149"/>
  <c r="M789" i="149"/>
  <c r="M785" i="149"/>
  <c r="M781" i="149"/>
  <c r="M777" i="149"/>
  <c r="M773" i="149"/>
  <c r="M769" i="149"/>
  <c r="M765" i="149"/>
  <c r="M761" i="149"/>
  <c r="M757" i="149"/>
  <c r="M753" i="149"/>
  <c r="M749" i="149"/>
  <c r="M745" i="149"/>
  <c r="M741" i="149"/>
  <c r="M737" i="149"/>
  <c r="M733" i="149"/>
  <c r="M729" i="149"/>
  <c r="M725" i="149"/>
  <c r="M721" i="149"/>
  <c r="M717" i="149"/>
  <c r="M713" i="149"/>
  <c r="M709" i="149"/>
  <c r="M705" i="149"/>
  <c r="M701" i="149"/>
  <c r="M697" i="149"/>
  <c r="M693" i="149"/>
  <c r="M689" i="149"/>
  <c r="M685" i="149"/>
  <c r="M681" i="149"/>
  <c r="M677" i="149"/>
  <c r="M673" i="149"/>
  <c r="M669" i="149"/>
  <c r="M665" i="149"/>
  <c r="M661" i="149"/>
  <c r="M657" i="149"/>
  <c r="M653" i="149"/>
  <c r="M649" i="149"/>
  <c r="M645" i="149"/>
  <c r="M641" i="149"/>
  <c r="M637" i="149"/>
  <c r="M633" i="149"/>
  <c r="M629" i="149"/>
  <c r="M625" i="149"/>
  <c r="M621" i="149"/>
  <c r="M617" i="149"/>
  <c r="M613" i="149"/>
  <c r="M609" i="149"/>
  <c r="M605" i="149"/>
  <c r="M601" i="149"/>
  <c r="M597" i="149"/>
  <c r="M593" i="149"/>
  <c r="M589" i="149"/>
  <c r="M585" i="149"/>
  <c r="M581" i="149"/>
  <c r="M577" i="149"/>
  <c r="M573" i="149"/>
  <c r="M569" i="149"/>
  <c r="M565" i="149"/>
  <c r="M561" i="149"/>
  <c r="M557" i="149"/>
  <c r="M553" i="149"/>
  <c r="M549" i="149"/>
  <c r="M545" i="149"/>
  <c r="M541" i="149"/>
  <c r="M537" i="149"/>
  <c r="M533" i="149"/>
  <c r="M529" i="149"/>
  <c r="M525" i="149"/>
  <c r="M521" i="149"/>
  <c r="M517" i="149"/>
  <c r="M513" i="149"/>
  <c r="M509" i="149"/>
  <c r="M505" i="149"/>
  <c r="M501" i="149"/>
  <c r="M497" i="149"/>
  <c r="M493" i="149"/>
  <c r="M489" i="149"/>
  <c r="M485" i="149"/>
  <c r="M481" i="149"/>
  <c r="M477" i="149"/>
  <c r="M473" i="149"/>
  <c r="M469" i="149"/>
  <c r="M465" i="149"/>
  <c r="M461" i="149"/>
  <c r="M457" i="149"/>
  <c r="M453" i="149"/>
  <c r="M449" i="149"/>
  <c r="M445" i="149"/>
  <c r="M441" i="149"/>
  <c r="M437" i="149"/>
  <c r="M433" i="149"/>
  <c r="M429" i="149"/>
  <c r="M425" i="149"/>
  <c r="M421" i="149"/>
  <c r="M417" i="149"/>
  <c r="M413" i="149"/>
  <c r="M409" i="149"/>
  <c r="M405" i="149"/>
  <c r="M401" i="149"/>
  <c r="M397" i="149"/>
  <c r="M393" i="149"/>
  <c r="M389" i="149"/>
  <c r="M385" i="149"/>
  <c r="M381" i="149"/>
  <c r="M377" i="149"/>
  <c r="M373" i="149"/>
  <c r="M369" i="149"/>
  <c r="M365" i="149"/>
  <c r="M361" i="149"/>
  <c r="M357" i="149"/>
  <c r="M353" i="149"/>
  <c r="M349" i="149"/>
  <c r="M345" i="149"/>
  <c r="M341" i="149"/>
  <c r="M337" i="149"/>
  <c r="M333" i="149"/>
  <c r="M329" i="149"/>
  <c r="M325" i="149"/>
  <c r="M321" i="149"/>
  <c r="M317" i="149"/>
  <c r="M313" i="149"/>
  <c r="M309" i="149"/>
  <c r="M305" i="149"/>
  <c r="M301" i="149"/>
  <c r="M297" i="149"/>
  <c r="M293" i="149"/>
  <c r="M289" i="149"/>
  <c r="M285" i="149"/>
  <c r="M281" i="149"/>
  <c r="M277" i="149"/>
  <c r="M273" i="149"/>
  <c r="M269" i="149"/>
  <c r="M265" i="149"/>
  <c r="M261" i="149"/>
  <c r="M257" i="149"/>
  <c r="M253" i="149"/>
  <c r="M249" i="149"/>
  <c r="M245" i="149"/>
  <c r="M241" i="149"/>
  <c r="M237" i="149"/>
  <c r="M233" i="149"/>
  <c r="M229" i="149"/>
  <c r="M225" i="149"/>
  <c r="M221" i="149"/>
  <c r="M217" i="149"/>
  <c r="M213" i="149"/>
  <c r="M209" i="149"/>
  <c r="M205" i="149"/>
  <c r="M201" i="149"/>
  <c r="M197" i="149"/>
  <c r="M193" i="149"/>
  <c r="M189" i="149"/>
  <c r="M185" i="149"/>
  <c r="M181" i="149"/>
  <c r="M177" i="149"/>
  <c r="M173" i="149"/>
  <c r="M169" i="149"/>
  <c r="M165" i="149"/>
  <c r="M161" i="149"/>
  <c r="M157" i="149"/>
  <c r="M153" i="149"/>
  <c r="M149" i="149"/>
  <c r="M145" i="149"/>
  <c r="M141" i="149"/>
  <c r="M137" i="149"/>
  <c r="M133" i="149"/>
  <c r="M129" i="149"/>
  <c r="M125" i="149"/>
  <c r="M121" i="149"/>
  <c r="M117" i="149"/>
  <c r="M113" i="149"/>
  <c r="M109" i="149"/>
  <c r="M105" i="149"/>
  <c r="M101" i="149"/>
  <c r="M97" i="149"/>
  <c r="M93" i="149"/>
  <c r="M89" i="149"/>
  <c r="M85" i="149"/>
  <c r="M81" i="149"/>
  <c r="M78" i="149"/>
  <c r="M74" i="149"/>
  <c r="M70" i="149"/>
  <c r="M66" i="149"/>
  <c r="M62" i="149"/>
  <c r="M58" i="149"/>
  <c r="M54" i="149"/>
  <c r="M50" i="149"/>
  <c r="M46" i="149"/>
  <c r="M42" i="149"/>
  <c r="M38" i="149"/>
  <c r="M34" i="149"/>
  <c r="M30" i="149"/>
  <c r="M26" i="149"/>
  <c r="M22" i="149"/>
  <c r="M18" i="149"/>
  <c r="M14" i="149"/>
  <c r="M77" i="149"/>
  <c r="M73" i="149"/>
  <c r="M69" i="149"/>
  <c r="M65" i="149"/>
  <c r="M61" i="149"/>
  <c r="M57" i="149"/>
  <c r="M53" i="149"/>
  <c r="M49" i="149"/>
  <c r="M45" i="149"/>
  <c r="M41" i="149"/>
  <c r="M37" i="149"/>
  <c r="M33" i="149"/>
  <c r="M29" i="149"/>
  <c r="M25" i="149"/>
  <c r="M21" i="149"/>
  <c r="M17" i="149"/>
  <c r="M13" i="149"/>
  <c r="M76" i="149"/>
  <c r="M72" i="149"/>
  <c r="M68" i="149"/>
  <c r="M64" i="149"/>
  <c r="M60" i="149"/>
  <c r="M56" i="149"/>
  <c r="M52" i="149"/>
  <c r="M48" i="149"/>
  <c r="M44" i="149"/>
  <c r="M40" i="149"/>
  <c r="M36" i="149"/>
  <c r="M32" i="149"/>
  <c r="M28" i="149"/>
  <c r="M24" i="149"/>
  <c r="M20" i="149"/>
  <c r="M16" i="149"/>
  <c r="C16" i="149" s="1"/>
  <c r="M12" i="149"/>
  <c r="Q1" i="149" l="1"/>
  <c r="M11" i="149" s="1"/>
  <c r="C11" i="149" l="1"/>
  <c r="C12" i="149" s="1"/>
  <c r="C13" i="149" s="1"/>
  <c r="F11" i="149"/>
  <c r="J11" i="149" s="1"/>
  <c r="K11" i="149"/>
  <c r="M10" i="149"/>
  <c r="C10" i="149" s="1"/>
  <c r="M904" i="149"/>
  <c r="M905" i="149"/>
  <c r="L8" i="149"/>
  <c r="L3" i="149"/>
  <c r="F10" i="149" l="1"/>
  <c r="J10" i="149" l="1"/>
  <c r="J8" i="149" s="1"/>
  <c r="K10" i="149"/>
  <c r="K8" i="149" l="1"/>
  <c r="K3" i="149"/>
  <c r="J3" i="149"/>
</calcChain>
</file>

<file path=xl/sharedStrings.xml><?xml version="1.0" encoding="utf-8"?>
<sst xmlns="http://schemas.openxmlformats.org/spreadsheetml/2006/main" count="8766" uniqueCount="1420">
  <si>
    <t>Contrato:</t>
  </si>
  <si>
    <t>Provincia:</t>
  </si>
  <si>
    <t>Contratos Vigentes:</t>
  </si>
  <si>
    <t>Total LyC</t>
  </si>
  <si>
    <t>Total Desm.</t>
  </si>
  <si>
    <t>Total O.C.:</t>
  </si>
  <si>
    <t>2023B</t>
  </si>
  <si>
    <t>Proyecto:</t>
  </si>
  <si>
    <t>Período:</t>
  </si>
  <si>
    <t>2023A</t>
  </si>
  <si>
    <t>Titulo:</t>
  </si>
  <si>
    <t>F. Ejec.:</t>
  </si>
  <si>
    <t>Ocra / Act. :</t>
  </si>
  <si>
    <t>Plantilla:</t>
  </si>
  <si>
    <t>Parte:</t>
  </si>
  <si>
    <t>Versión:</t>
  </si>
  <si>
    <t>Título:</t>
  </si>
  <si>
    <t>COLISEO</t>
  </si>
  <si>
    <t>Tipo II</t>
  </si>
  <si>
    <t>Actualizado:</t>
  </si>
  <si>
    <t>Asignada a:</t>
  </si>
  <si>
    <t>TARE</t>
  </si>
  <si>
    <t>Puntos</t>
  </si>
  <si>
    <t>Plano/Hoja</t>
  </si>
  <si>
    <t>NUM.</t>
  </si>
  <si>
    <r>
      <t xml:space="preserve">Brigada
</t>
    </r>
    <r>
      <rPr>
        <b/>
        <i/>
        <sz val="10"/>
        <rFont val="Calibri"/>
        <family val="2"/>
        <scheme val="minor"/>
      </rPr>
      <t>(Código)</t>
    </r>
  </si>
  <si>
    <t>CODIGO</t>
  </si>
  <si>
    <t>DESCRIPCION</t>
  </si>
  <si>
    <t>MATE</t>
  </si>
  <si>
    <t>Unidades Tarea</t>
  </si>
  <si>
    <t>BAREMO</t>
  </si>
  <si>
    <t>PL</t>
  </si>
  <si>
    <t>HO</t>
  </si>
  <si>
    <t>EMP</t>
  </si>
  <si>
    <t>Instalación</t>
  </si>
  <si>
    <t>Desmontaje</t>
  </si>
  <si>
    <t>Obra Civil</t>
  </si>
  <si>
    <t>Contrato
según fecha</t>
  </si>
  <si>
    <t>Código</t>
  </si>
  <si>
    <t>MATE/TARE</t>
  </si>
  <si>
    <t>Descripción</t>
  </si>
  <si>
    <t>VERIF</t>
  </si>
  <si>
    <t>CONF "B" EQ PARTNER DEMOS.</t>
  </si>
  <si>
    <t>*poste a-11m (solo desmon)</t>
  </si>
  <si>
    <t>*poste b-11m (solo desmon)</t>
  </si>
  <si>
    <t>*poste b-12m (solo desmon)</t>
  </si>
  <si>
    <t>*poste c-11m (solo desmon)</t>
  </si>
  <si>
    <t>*poste c-12m (solo desmon)</t>
  </si>
  <si>
    <t>*poste d-11m (solo desmon)</t>
  </si>
  <si>
    <t>Cab.plomo     3600p/32</t>
  </si>
  <si>
    <t>Cab.plomo       25p/40</t>
  </si>
  <si>
    <t>Cab.plomo      100p/40</t>
  </si>
  <si>
    <t>Cab.plomo      200p/40</t>
  </si>
  <si>
    <t>Cab.plomo      300p/40</t>
  </si>
  <si>
    <t>Cab.plomo      400p/40</t>
  </si>
  <si>
    <t>Cab.plomo     600p/40</t>
  </si>
  <si>
    <t>Cab.plomo     900p/40</t>
  </si>
  <si>
    <t>Cab.plomo     1200p/40</t>
  </si>
  <si>
    <t>Cab.plomo     1800p/40</t>
  </si>
  <si>
    <t>Cab.plomo    2400p/40</t>
  </si>
  <si>
    <t>Cab.plomo     1200p/51</t>
  </si>
  <si>
    <t>Cab.plomo     1800p/51</t>
  </si>
  <si>
    <t>Cab.plomo       50p/64</t>
  </si>
  <si>
    <t>Cab.plomo      400p/64</t>
  </si>
  <si>
    <t>Cab.plomo     600p/64</t>
  </si>
  <si>
    <t>Cab.plomo     900p/64</t>
  </si>
  <si>
    <t>Cab.plomo     1212p/64</t>
  </si>
  <si>
    <t>Cab.plomo     25p/91</t>
  </si>
  <si>
    <t>Cab.plomo       50p/91</t>
  </si>
  <si>
    <t>Cab.plomo      200p/91</t>
  </si>
  <si>
    <t>Cab.plomo      300p/91</t>
  </si>
  <si>
    <t>Cab.plomo      400p/91</t>
  </si>
  <si>
    <t>Cab.plomo      600p/91</t>
  </si>
  <si>
    <t>Cab.ap          25p/40</t>
  </si>
  <si>
    <t>Cab.ap          50p/40</t>
  </si>
  <si>
    <t>Cab. Alpeth 25p/91 CEB</t>
  </si>
  <si>
    <t>Cab.ap         150p/40</t>
  </si>
  <si>
    <t>Cab.ap         200p/40</t>
  </si>
  <si>
    <t>Cab.eap         25p/51</t>
  </si>
  <si>
    <t>Cab.eap 600p/51</t>
  </si>
  <si>
    <t>EAP-8  0,91 533246</t>
  </si>
  <si>
    <t>Cab.stalp.     600p/64</t>
  </si>
  <si>
    <t>Cab.eapap"8"    11p/51 1.6</t>
  </si>
  <si>
    <t>EAP-8  0,9  533934</t>
  </si>
  <si>
    <t>Cab.peap 50p/91</t>
  </si>
  <si>
    <t>Cab.stalp.     400p/91</t>
  </si>
  <si>
    <t>Cab.stalp.     600p/91</t>
  </si>
  <si>
    <t>Cab.eap         10p/40</t>
  </si>
  <si>
    <t>Carril o vigueta refuerzo</t>
  </si>
  <si>
    <t>Mat. fict. 1m canalizacion</t>
  </si>
  <si>
    <t>Mat. fict. und. fis. 01</t>
  </si>
  <si>
    <t>Mat. fict. und. fis. 04</t>
  </si>
  <si>
    <t>Mat. fict. km prisma arena</t>
  </si>
  <si>
    <t>Cab.   2 fo mono.acome.ext</t>
  </si>
  <si>
    <t>Cab.eapap"8"    16p/91 1.6</t>
  </si>
  <si>
    <t>Puente cord.monof.sc-sc 3m</t>
  </si>
  <si>
    <t>Puente cord.monof.sc-sc 5m</t>
  </si>
  <si>
    <t>Puente cord.monof.sc-sc10m</t>
  </si>
  <si>
    <t>Puente cord.monof.sc-sc15m</t>
  </si>
  <si>
    <t>Puente cord.monof.sc-sc20m</t>
  </si>
  <si>
    <t>. 2c.pvc  63/1,2 b/2</t>
  </si>
  <si>
    <t>. 4c.pvc  63/1,2 b/2</t>
  </si>
  <si>
    <t>. 2c.pvc 110/1,8 b/2</t>
  </si>
  <si>
    <t>. 4c.pvc 110/1,8 b/2</t>
  </si>
  <si>
    <t>. 2c.corrug 125 b/2</t>
  </si>
  <si>
    <t>.1tritubo y 2c pvc 110</t>
  </si>
  <si>
    <t>.1tritubo y 2c pvc  63</t>
  </si>
  <si>
    <t>. 6c.pvc  63/1,2 b/3</t>
  </si>
  <si>
    <t>.arq "d" calzad tap.fund</t>
  </si>
  <si>
    <t>.arq "d" acera  tap.horm</t>
  </si>
  <si>
    <t>.arq "h" acera  tap.horm</t>
  </si>
  <si>
    <t>.arq "m" acera  tap.horm</t>
  </si>
  <si>
    <t>.arq pref."df-i"   tap.fun</t>
  </si>
  <si>
    <t>.arq pref."hf-ii"  tap.hor</t>
  </si>
  <si>
    <t>.arq pref."hf-iii" tap.hor</t>
  </si>
  <si>
    <t>.arq pref."mf"     tap.hor</t>
  </si>
  <si>
    <t>.arq "dm"acera  tap.horm</t>
  </si>
  <si>
    <t>.minic 1c. d40 h29 an 5</t>
  </si>
  <si>
    <t>.minic 1tr v d40 h37 an 5</t>
  </si>
  <si>
    <t>.minic 1tr d40h49an20c/pr</t>
  </si>
  <si>
    <t>.minic 1tr d40h24an20horm</t>
  </si>
  <si>
    <t>.minic 2tr d40h28an20horm</t>
  </si>
  <si>
    <t>.minic 3tr d40h32an20horm</t>
  </si>
  <si>
    <t>.mc2c63+1tr40h55,3an20c/p</t>
  </si>
  <si>
    <t>.mc2c63+1tr40h30,3an20hor</t>
  </si>
  <si>
    <t>Cable acero galv.ca-ii 4.0</t>
  </si>
  <si>
    <t>Ssfo-mang.prot.emp.fo mod1</t>
  </si>
  <si>
    <t>Ssfo-puente optico</t>
  </si>
  <si>
    <t>Chat cable acometida</t>
  </si>
  <si>
    <t>CHATARRA HIERRO</t>
  </si>
  <si>
    <t>Chat policarbonatos, ABS, otros plástic</t>
  </si>
  <si>
    <t>Chat asimilable res. solido urbano</t>
  </si>
  <si>
    <t>Chat tubería PVC</t>
  </si>
  <si>
    <t>Chat tubería polietileno</t>
  </si>
  <si>
    <t>chat cable autosoportado</t>
  </si>
  <si>
    <t>Chat cable coaxial y armado</t>
  </si>
  <si>
    <t>Chat cable cubierta plástico</t>
  </si>
  <si>
    <t>Chat Cable Cubiert.Plást.Seco y NO EAPA</t>
  </si>
  <si>
    <t>Chat Cable Autosoportado Seco</t>
  </si>
  <si>
    <t>Chat Cable Cub.Plást.Re.y Cab.EAPAP sec</t>
  </si>
  <si>
    <t>Chat Cable Autosoport.Rell.y EAPAP Rell</t>
  </si>
  <si>
    <t>Chat Cable Hilo Repartidor</t>
  </si>
  <si>
    <t>Chat Cable Coaxial Zanja DN</t>
  </si>
  <si>
    <t>Chat Cable Coaxial Zanja PD</t>
  </si>
  <si>
    <t>Chat cable cubierta plomo</t>
  </si>
  <si>
    <t>Chat cable fibra óptica</t>
  </si>
  <si>
    <t>Chat cable coaxial CATV</t>
  </si>
  <si>
    <t>Chat cable conmutación centrales</t>
  </si>
  <si>
    <t>Chat cable fuerza centrales</t>
  </si>
  <si>
    <t>Chat cable submarino</t>
  </si>
  <si>
    <t>Tubo Corrugado ZAPA - LUZI TUBO ECOPLAST Nº 13mm, 50 m</t>
  </si>
  <si>
    <t>Obtur. 1 con.ocu.konek 63</t>
  </si>
  <si>
    <t>Obtur. 1 con.ocu.konek 110</t>
  </si>
  <si>
    <t>Obtur. 1 con.ocu.konek 40</t>
  </si>
  <si>
    <t>Tubo Corrugado ZAPA - LUZI TUBO ECOPLAST Nº 21mm, 25 m</t>
  </si>
  <si>
    <t>Regleta uso interior 13 p.</t>
  </si>
  <si>
    <t>Canaleta 50*20</t>
  </si>
  <si>
    <t>PCR-MULT.TM 13 MURAL</t>
  </si>
  <si>
    <t>PTR MULTIPLE (15 a 30 PARES)</t>
  </si>
  <si>
    <t>CILINDRO RIOSTRA</t>
  </si>
  <si>
    <t>POSTE PINO CREOSOTADO A- 8 M.</t>
  </si>
  <si>
    <t>POSTE PINO CREOSOTADO A- 9 M.</t>
  </si>
  <si>
    <t>POSTE PINO CREOSOTADO A-10 M.</t>
  </si>
  <si>
    <t>POSTE PINO CREOSOTADO A-12 M.</t>
  </si>
  <si>
    <t>POSTE PINO CREOSOTADO A-14 M.</t>
  </si>
  <si>
    <t>POSTE PINO CREOSOTADO B- 8 M.</t>
  </si>
  <si>
    <t>POSTE PINO CREOSOTADO B- 9 M.</t>
  </si>
  <si>
    <t>POSTE PINO CREOSOTADO B-10 M.</t>
  </si>
  <si>
    <t>POSTE PINO CREOSOTADO C- 8 M.</t>
  </si>
  <si>
    <t>POSTE PINO CREOSOTADO C- 9 M.</t>
  </si>
  <si>
    <t>POSTE PINO CREOSOTADO C-10 M.</t>
  </si>
  <si>
    <t>Poste 11 metros.tipo `c`</t>
  </si>
  <si>
    <t>POSTE PINO CREOSOTADO C-12 M.</t>
  </si>
  <si>
    <t>POSTE PINO CREOSOTADO C-14 M.</t>
  </si>
  <si>
    <t>POSTE PINO CREOSOTADO D- 8 M.</t>
  </si>
  <si>
    <t>POSTE PINO CREOSOTADO D- 9 M.</t>
  </si>
  <si>
    <t>POSTE PINO CREOSOTADO D-10 M.</t>
  </si>
  <si>
    <t>POSTE PINO CREOSOTADO D-12 M.</t>
  </si>
  <si>
    <t>POSTE PINO CREOSOTADO E- 7 M.</t>
  </si>
  <si>
    <t>POSTE PINO CREOSOTADO E- 8 M.</t>
  </si>
  <si>
    <t>POSTE PINO CREOSOTADO E- 9 M.</t>
  </si>
  <si>
    <t>POSTE PINO CREOSOTADO E-10 M.</t>
  </si>
  <si>
    <t>*poste h-07m (solo desmon)</t>
  </si>
  <si>
    <t>*poste h-08m (solo desmon)</t>
  </si>
  <si>
    <t>*poste h-09m (solo desmon)</t>
  </si>
  <si>
    <t>Soportaposte 2    m.</t>
  </si>
  <si>
    <t>Cable acero galv.ca-i  4</t>
  </si>
  <si>
    <t>POSTE HORMIGON  8 TA  160</t>
  </si>
  <si>
    <t>POSTE HORMIGON  8 TA 250</t>
  </si>
  <si>
    <t>POSTE HORMIGON  8 TB  400</t>
  </si>
  <si>
    <t>POSTE HORMIGON  8 TB  630</t>
  </si>
  <si>
    <t>POSTE HORMIGON  8 TB  800</t>
  </si>
  <si>
    <t>POSTE HORMIGON  8 TB1000</t>
  </si>
  <si>
    <t>POSTE HORMIGON  8 TC 1250</t>
  </si>
  <si>
    <t>POSTE HORMIGON  8 TC 1600</t>
  </si>
  <si>
    <t>Poste 09 m - tb- 630</t>
  </si>
  <si>
    <t>POSTE HORMIGON  9 TB  800</t>
  </si>
  <si>
    <t>POSTE HORMIGON  9 TB1000</t>
  </si>
  <si>
    <t>POSTE HORMIGON  9 TC 1250</t>
  </si>
  <si>
    <t>POSTE HORMIGON  9 TC 1600</t>
  </si>
  <si>
    <t>POSTE HORMIGON 10 TB  250</t>
  </si>
  <si>
    <t>POSTE HORMIGON 10 TB  800</t>
  </si>
  <si>
    <t>POSTE HORMIGON 10 TC 1000</t>
  </si>
  <si>
    <t>POSTE HORMIGON 10 TC 1250</t>
  </si>
  <si>
    <t>POSTE HORMIGON 10 TC 1600</t>
  </si>
  <si>
    <t>Poste 12 m - tb- 630</t>
  </si>
  <si>
    <t>Poste 12 m - tc-1250</t>
  </si>
  <si>
    <t>POSTE HORMIGON 12 TC 1600</t>
  </si>
  <si>
    <t>POSTE 8 - FVA - 250</t>
  </si>
  <si>
    <t>POSTE 10 - FVA - 250</t>
  </si>
  <si>
    <t>POSTE 8 - FVB - 400</t>
  </si>
  <si>
    <t>POSTE 10 - FVB - 400</t>
  </si>
  <si>
    <t>TUBO POLIETILENO CORRUGADO 125 MM.</t>
  </si>
  <si>
    <t>PE-MANGUITO UNION TUBO CORRUGADO 125 MM</t>
  </si>
  <si>
    <t>MEDIA CAÑA TUBO 125  MC 125x3,7</t>
  </si>
  <si>
    <t>MANGUITO UNION PARA M.C. DN125</t>
  </si>
  <si>
    <t>TUBO PVC de 110 x 3,2 mm. p/CANALIZACIÓ</t>
  </si>
  <si>
    <t>TUBO PVC 110 x 1,8 mm. P/CANALIZACIONES</t>
  </si>
  <si>
    <t>SOP DIST PVC 110 DIAM 8 AL</t>
  </si>
  <si>
    <t>CODO PVC 110X90X490 para canalizaciones</t>
  </si>
  <si>
    <t>MEDIA CAÑA MC 110 x 3,2</t>
  </si>
  <si>
    <t>MANGUITO UNION PARA M.C. DN110</t>
  </si>
  <si>
    <t>TUBO PVC DE 63 X 1,2 mm. P/CANALIZACION</t>
  </si>
  <si>
    <t>Tubo de pvc  40 mm/1.2 mm</t>
  </si>
  <si>
    <t>CODO PVC 110/45/5000 PARA CANALIZACION</t>
  </si>
  <si>
    <t>CODO PVC  63/45/2500 PARA CANALIZACION</t>
  </si>
  <si>
    <t>CODO PVC  63/90/561 PARA CANALIZACION</t>
  </si>
  <si>
    <t>TAPA DE HORMIGON PARA ARQUETA TIPO H</t>
  </si>
  <si>
    <t>TAPA DE HORMIGON PARA ARQUETA TIPO D</t>
  </si>
  <si>
    <t>TAPA DE HORMIGON PARA ARQUETA TIPO DM</t>
  </si>
  <si>
    <t>TAPA DE HORMIGON PARA ARQUETA TIPO M</t>
  </si>
  <si>
    <t>TUBO DE POLITILENO ALTA DENSIDAD 25*2,0 mm</t>
  </si>
  <si>
    <t>Tubo PEAD 32 x 2 mm</t>
  </si>
  <si>
    <t>TUBO POLIETILENO ALTA DENSIDAD 40 x 2,4</t>
  </si>
  <si>
    <t>TRITUBO POLIETILENO INTERURBANO 40 x 3</t>
  </si>
  <si>
    <t>TRITUBO POLIETILENO URBANO 40 x 2,4</t>
  </si>
  <si>
    <t>CAMARA RGTRO. TIPO G-BRF</t>
  </si>
  <si>
    <t>CAMARA RGTRO. TIPO G-ABPF</t>
  </si>
  <si>
    <t>Soporte Distanciador PVC 63 DIAM 8 ALJ</t>
  </si>
  <si>
    <t>ARQUETA PREFABRICADA TIPO DF- II</t>
  </si>
  <si>
    <t>ARQUETA PREFABRICADA TIPO DF- II S/CERC</t>
  </si>
  <si>
    <t>ARQUETA PREFABRICADA TIPO DFO</t>
  </si>
  <si>
    <t>Tapa arqueta   tipo h</t>
  </si>
  <si>
    <t>ARQUETA PREFABRICADA TIPO MF</t>
  </si>
  <si>
    <t>ARQUETA PREFABRICADA TIPO MF SIN CERCO</t>
  </si>
  <si>
    <t>ARQUETA PREFABRICADA TIPO DF- III</t>
  </si>
  <si>
    <t>ARQUETA PREFABRICADA TIPO HF- II</t>
  </si>
  <si>
    <t>ARQUETA PREFABRICADA TIPO HF- II S/CERC</t>
  </si>
  <si>
    <t>ARQUETA PREFABRICADA TIPO HF  III</t>
  </si>
  <si>
    <t>CAMARA DE REGISTRO G-BRF-C</t>
  </si>
  <si>
    <t>CAMARA DE REGISTRO G-ABPFC</t>
  </si>
  <si>
    <t>MODULO 15 CM BUZON CR PREF</t>
  </si>
  <si>
    <t>MODULO 20 CM BUZON CR PREF</t>
  </si>
  <si>
    <t>MODULO 25 CM BUZON CR PREF</t>
  </si>
  <si>
    <t>MODULO 40 CM BUZON CR PREF</t>
  </si>
  <si>
    <t>MODULO 80 CM BUZON CR PREF</t>
  </si>
  <si>
    <t>TUBO DE POLIETILENO A.D. DE 63 x 3,8 mm</t>
  </si>
  <si>
    <t>ARQUETA PREFABRICADA TIPO DFO-C</t>
  </si>
  <si>
    <t>TAPA CUBIERTA CIRCULAR D400 C/ CIERRE S</t>
  </si>
  <si>
    <t>CUBIERTA D400 P/CAMARA REGISTRO S/EN-12</t>
  </si>
  <si>
    <t>TAPA D-400 P/ARQUETA D IN SITU</t>
  </si>
  <si>
    <t>TAPA DE FUNDICIÓN DM (B-125)  P/ARQ. DM</t>
  </si>
  <si>
    <t>CJTO.CUBIERTA-TAPA FUND. C-250 P/C.R.</t>
  </si>
  <si>
    <t>CJTO.CUBIERTA-TAPA FUND. D-400 P/C.R.</t>
  </si>
  <si>
    <t>ARQ.PREF. HF-II C/TAPA FUNDICION</t>
  </si>
  <si>
    <t>ARQUETA PREFABRICADA TIPO DMF  SIN CERC</t>
  </si>
  <si>
    <t>ARQ. PLÁSTICO REFORZ.TIPO M C/TAPA FUND</t>
  </si>
  <si>
    <t>Alambre cobre 2</t>
  </si>
  <si>
    <t>Alambre cobre 3</t>
  </si>
  <si>
    <t>Cab.acomet. urbana 0.5</t>
  </si>
  <si>
    <t>CABLE COAX-N 4+ 5+54 ARM</t>
  </si>
  <si>
    <t>CABLE COAX. D.N. 4T + 5+54C 0,91 MM.</t>
  </si>
  <si>
    <t>CABLE COAX-N  8+14+ 8 ARM</t>
  </si>
  <si>
    <t>CABLE COAX-N 8+14+ 8+70 A</t>
  </si>
  <si>
    <t>CABLE COAX-N 8+14+ 8+70</t>
  </si>
  <si>
    <t>CABLE COAX-P  4+ 5+12 ARM</t>
  </si>
  <si>
    <t>CABLE COAX-P  4+ 5+30 ARM</t>
  </si>
  <si>
    <t>CABLE COAX-P 8+10+42 ARM</t>
  </si>
  <si>
    <t>CABLE COAX-P 16+20+ 5 ARM</t>
  </si>
  <si>
    <t>CABLE COAX-P 16+20+ 5</t>
  </si>
  <si>
    <t>CABLE COAX-P 16+20+ 5+66 A</t>
  </si>
  <si>
    <t>CABLE COAX-P 16+20+ 5+66</t>
  </si>
  <si>
    <t>CABLE 12 CUAD. 0,91 MM.</t>
  </si>
  <si>
    <t>CABLE  12 CUAD 1,3</t>
  </si>
  <si>
    <t>CABLE  19 CUAD 0,91</t>
  </si>
  <si>
    <t>CABLE 27 CUAD. 0,91 MM.</t>
  </si>
  <si>
    <t>CABLE  37 CUAD 0,91</t>
  </si>
  <si>
    <t>CABLE  37 CUAD 1,3</t>
  </si>
  <si>
    <t>CABLE 52 CUAD. 0,91 MM.</t>
  </si>
  <si>
    <t>CABLE  54 CUAD 0,91</t>
  </si>
  <si>
    <t>CABLE  75 CUAD 0,91</t>
  </si>
  <si>
    <t>CABLE  91 CUAD 0,91</t>
  </si>
  <si>
    <t>CABLE 127 CUAD 0,91</t>
  </si>
  <si>
    <t>CABLE   1 CUAD ESTRELLA AR</t>
  </si>
  <si>
    <t>Cable terminal EMFA 0,6-1</t>
  </si>
  <si>
    <t>Cable terminal EMFA 0,6-2</t>
  </si>
  <si>
    <t>Cable terminal EMFA 0,6-3</t>
  </si>
  <si>
    <t>Cable terminal EMFA 0,6-4</t>
  </si>
  <si>
    <t>Cable terminal EMFA 0,6-5</t>
  </si>
  <si>
    <t>Cable terminal EMFA 0,6-6</t>
  </si>
  <si>
    <t>Cable terminal EMFA 0,6-7</t>
  </si>
  <si>
    <t>CABLE COAX-N 8+14+ 8+32 A</t>
  </si>
  <si>
    <t>CABLE COAX-N 8+14+ 8+32</t>
  </si>
  <si>
    <t>CABLE TERMINAL 26 P PANT.</t>
  </si>
  <si>
    <t>CABLE TERMINAL 51 P PANT</t>
  </si>
  <si>
    <t>CABLE TERMINAL 76 P PANT</t>
  </si>
  <si>
    <t>CABLE TERMINAL 101 P PANT</t>
  </si>
  <si>
    <t>CABLE TERMIN. 200 P AL-PVC</t>
  </si>
  <si>
    <t>CABLE TERMIN. 300 P AL-PVC</t>
  </si>
  <si>
    <t>CABLE TERMIN. 400 P AL-PVC</t>
  </si>
  <si>
    <t>Cab.term.al-pv 606p/50</t>
  </si>
  <si>
    <t>CABLE INT.EDIF.26P 0,51IGNIF.HFFR (80m.</t>
  </si>
  <si>
    <t>Cab.term.al-pv1200p/50</t>
  </si>
  <si>
    <t>CABLE INT.EDIF.   202P 0,51MM IGNIF.HFF</t>
  </si>
  <si>
    <t>CABLE INT.EDIF.   303P 0,51MM IGNIF.HFF</t>
  </si>
  <si>
    <t>CABLE INT.EDIF.   404P 0,51MM IGNIF.HFF</t>
  </si>
  <si>
    <t>CABLE INT.EDIF.   606P 0,51MM IGNIF.HFF</t>
  </si>
  <si>
    <t>Cab.stalp.     200p/64</t>
  </si>
  <si>
    <t>Cab.stalp.     300p/64</t>
  </si>
  <si>
    <t>Cab.stalp.    1200p/40</t>
  </si>
  <si>
    <t>CABLE STALPETH 1800 P. 0,405 MM.</t>
  </si>
  <si>
    <t>Cab.stalp.    2400p/40</t>
  </si>
  <si>
    <t>Cab.stalp.    1200p/51</t>
  </si>
  <si>
    <t>CABLE STALPETH 1800 P. 0,51 MM.</t>
  </si>
  <si>
    <t>Cab.stalp.    1200p/64</t>
  </si>
  <si>
    <t>CABLE EAP 11 P 0,9 RELL</t>
  </si>
  <si>
    <t>CABLE EAP 16 P 0,9 RELL</t>
  </si>
  <si>
    <t>CABLE EAP   25 P 0,5 RELL</t>
  </si>
  <si>
    <t>CABLE EAP   25 P 0,9 RELL</t>
  </si>
  <si>
    <t>CABLE EAP   50 P 0,5 RELL</t>
  </si>
  <si>
    <t>CABLE EAP   50 P 0,9 RELL</t>
  </si>
  <si>
    <t>CABLE EAP   25 P. 0,404 MM.</t>
  </si>
  <si>
    <t>CABLE EAP 100 P 0,5 RELL</t>
  </si>
  <si>
    <t>CABLE EAP  100 P 0,6 RELL</t>
  </si>
  <si>
    <t>CABLE EAP   50 P. 0,404 MM.</t>
  </si>
  <si>
    <t>CABLE EAP  150 P 0,5 RELL</t>
  </si>
  <si>
    <t>CABLE EAP 150 P 0,9 RELL</t>
  </si>
  <si>
    <t>CABLE EAP  400 P 0,4 RELL</t>
  </si>
  <si>
    <t>CABLE EAP 400 P 0,5 RELL</t>
  </si>
  <si>
    <t>CABLE EAP 600 P 0,5 RELL</t>
  </si>
  <si>
    <t>CABLE EAP   11P 0,5 RELL/D</t>
  </si>
  <si>
    <t>CABLE EAP   11P 0,9 RELL/D</t>
  </si>
  <si>
    <t>CABLE EAP  100 P. 0,404 MM.</t>
  </si>
  <si>
    <t>CABLE EAP   16P 0,6 RELL/D</t>
  </si>
  <si>
    <t>CABLE EAP 16P 0,9 RELL/D</t>
  </si>
  <si>
    <t>CABLE EAP 25P 0,9 RELL/D</t>
  </si>
  <si>
    <t>CABLE EAP  150 P. 0,405 MM.</t>
  </si>
  <si>
    <t>CABLE EAP 50P 0,4 RELL/D</t>
  </si>
  <si>
    <t>CABLE EAP 50P 0,9 RELL/D</t>
  </si>
  <si>
    <t>CABLE EAP  200 P. 0,404 MM.</t>
  </si>
  <si>
    <t>CABLE EAP  100P 0,5 RELL/D</t>
  </si>
  <si>
    <t>CABLE EAP 100P 0,9 RELL/D</t>
  </si>
  <si>
    <t>CABLE EAP  300 P. 0,404 MM.</t>
  </si>
  <si>
    <t>CABLE EAP 200P 0,6 RELL/D</t>
  </si>
  <si>
    <t>CABLE EAP 300P 0,4 RELL/D</t>
  </si>
  <si>
    <t>CABLE EAP  400 P. 0,404 MM.</t>
  </si>
  <si>
    <t>CABLE EAP  300P 0,5 RELL/D</t>
  </si>
  <si>
    <t>Cab.stalp.     400p/40</t>
  </si>
  <si>
    <t>CABLE EAP 1200P 0,5 RELL/D</t>
  </si>
  <si>
    <t>CABLE EAP   50P 0,9 PANT/D</t>
  </si>
  <si>
    <t>Cab.stalp.     600p/40</t>
  </si>
  <si>
    <t>CABLE EAP  100P 0,9 PANT/D</t>
  </si>
  <si>
    <t>CABLE EAP 200P 0,9 PANT/D</t>
  </si>
  <si>
    <t>CABLE 8 EAP  11 P 0,9 P/D</t>
  </si>
  <si>
    <t>EAP-8 0.9ª 11P</t>
  </si>
  <si>
    <t>Cab.stalp.     900p/40</t>
  </si>
  <si>
    <t>CABLE EAPAP  100 P. 0,64  MM.</t>
  </si>
  <si>
    <t>CABLE 8 EAPAP 11 P 0,91</t>
  </si>
  <si>
    <t>CABLE 8 EAPAP  16P 0,9 AA2</t>
  </si>
  <si>
    <t>CABLE PAP  11 P 0,91</t>
  </si>
  <si>
    <t>CABLE PAP  16 P 0,91</t>
  </si>
  <si>
    <t>CABLE PAAP   11 P 0,91</t>
  </si>
  <si>
    <t>CABLE PAAP   16 P 0,91</t>
  </si>
  <si>
    <t>CABLE AUTOSOPORTADO EAP 11 P.0,51 MM.</t>
  </si>
  <si>
    <t>CABLE PAAP   25 P 0,51</t>
  </si>
  <si>
    <t>CABLE PAAP   25 P 0,91</t>
  </si>
  <si>
    <t>CABLE PAAP   50 P 0,405</t>
  </si>
  <si>
    <t>Cab.eap"8"      16p/51 1.6</t>
  </si>
  <si>
    <t>CABLE PAAP 50 P. 0,51 MM.</t>
  </si>
  <si>
    <t>CABLE EAP   25 P 0,51</t>
  </si>
  <si>
    <t>CABLE AUTOSOPORTADO EAP 26 P.0,51 MM.</t>
  </si>
  <si>
    <t>CABLE PAAP 50 P. 0,91 MM.</t>
  </si>
  <si>
    <t>CABLE EAP   50 P 0,51</t>
  </si>
  <si>
    <t>CABLE PAAP  100 P 0,405</t>
  </si>
  <si>
    <t>CABLE PAAP  100 P 0,51</t>
  </si>
  <si>
    <t>CABLE PAAP  100 P 0,91</t>
  </si>
  <si>
    <t>CABLE PAAP  150 P 0,405</t>
  </si>
  <si>
    <t>CABLE PAAP  150 P 0,51</t>
  </si>
  <si>
    <t>CABLE PAAP  150 P 0,91</t>
  </si>
  <si>
    <t>CABLE PAAP  200 P 0,405</t>
  </si>
  <si>
    <t>CABLE PAAP  200 P 0,51</t>
  </si>
  <si>
    <t>Cab.eap        100p/51</t>
  </si>
  <si>
    <t>CABLE PAAP  200 P 0,64</t>
  </si>
  <si>
    <t>CABLE PAAP  200 P 0,91</t>
  </si>
  <si>
    <t>CABLE PAAP  300 P 0,51</t>
  </si>
  <si>
    <t>EAP SOL       0,51</t>
  </si>
  <si>
    <t>Cab.eap        300p/51</t>
  </si>
  <si>
    <t>Cab.paap pet 50p/91</t>
  </si>
  <si>
    <t>CABLE EAP  400 P. 0,51  MM.</t>
  </si>
  <si>
    <t>CABLE STALPETH  600 P. 0,51   MM.</t>
  </si>
  <si>
    <t>CABLE EAP   50 P 0,6 RELL</t>
  </si>
  <si>
    <t>CABLE EAP  600 P. 0,405 MM.</t>
  </si>
  <si>
    <t>CABLE EAP  600 P. 0,64  MM.</t>
  </si>
  <si>
    <t>CABLE EAP   25 P. 0,64  MM.</t>
  </si>
  <si>
    <t>CABLE EAPAP   25 P. 0,64  MM</t>
  </si>
  <si>
    <t>CABLE EAP   50 P. 0,64  MM.</t>
  </si>
  <si>
    <t>CABLE PAAP   50 P 0,5 RELL</t>
  </si>
  <si>
    <t>CABLE EAPAP   25 P. 0,64  MM.</t>
  </si>
  <si>
    <t>CABLE EAPAP   50 P. 0,64  MM.</t>
  </si>
  <si>
    <t>CABLE 8 EAPAP  26P 0,9 AA2</t>
  </si>
  <si>
    <t>CABLE EAP  100 P. 0,64  MM.</t>
  </si>
  <si>
    <t>CABLE COAX-N  4+ 5+24 PE</t>
  </si>
  <si>
    <t>Cab.eap        150p/64</t>
  </si>
  <si>
    <t>CABLE EAP  400 P 0,6 RELL.</t>
  </si>
  <si>
    <t>CABLE EAP  200 P. 0,64  MM.</t>
  </si>
  <si>
    <t>CABLE EAP  300 P. 0,64  MM.</t>
  </si>
  <si>
    <t>CABLE EAP  400 P. 0,64  MM.</t>
  </si>
  <si>
    <t>Cab.eap"8"      26p/51 2.1</t>
  </si>
  <si>
    <t>EAP-8  0,91 533246</t>
  </si>
  <si>
    <t>CABLE AUTOSOPORTADO EAPSP-10  0,51</t>
  </si>
  <si>
    <t>CABLE AUTOSOPORTADO EAP 16 P.0,91 MM.</t>
  </si>
  <si>
    <t>CABLE EAP   25 P. 0,91  MM.</t>
  </si>
  <si>
    <t>Cab.eap"8"      26p/91 2.1</t>
  </si>
  <si>
    <t>CABLE EAP   50 P. 0,91  MM.</t>
  </si>
  <si>
    <t>cable</t>
  </si>
  <si>
    <t>CABLE PAAP  900 P 0,4 PULP</t>
  </si>
  <si>
    <t>CABLE EAP  100 P. 0,91  MM.</t>
  </si>
  <si>
    <t>Cab.eap        150p/91</t>
  </si>
  <si>
    <t>CABLE EAP  200 P. 0,91  MM.</t>
  </si>
  <si>
    <t>CABLE EAP  300 P. 0,91  MM.</t>
  </si>
  <si>
    <t>Cable</t>
  </si>
  <si>
    <t>CABLE EAP  100 P 0,4 RELL</t>
  </si>
  <si>
    <t>EAP RELL. P (D) 0.91 202P</t>
  </si>
  <si>
    <t>EAP-8  0,64</t>
  </si>
  <si>
    <t>CABLE EAPAP  100 P 0,64 RE</t>
  </si>
  <si>
    <t>CABLE EAPAP   25P 0,9 P/D</t>
  </si>
  <si>
    <t>CABLE COAX-P  4+18    PS</t>
  </si>
  <si>
    <t>Cab.eapap pet  100p/40</t>
  </si>
  <si>
    <t>CABLE 8 EAPAP  26P 0,9  P/D BC</t>
  </si>
  <si>
    <t>CABLE EAP   16 P. 0,405  MM.</t>
  </si>
  <si>
    <t>CABLE EAPAP   25 P 0,64 RE</t>
  </si>
  <si>
    <t>25CBF RELL</t>
  </si>
  <si>
    <t>CABLE EAP   75 P. 0,405  MM.</t>
  </si>
  <si>
    <t>CABLE EAPAP   50P 0,91 DBC</t>
  </si>
  <si>
    <t>Cab.eapap pet  200p/40</t>
  </si>
  <si>
    <t>CABLE EAP  900 P. 0,405 MM.</t>
  </si>
  <si>
    <t>CABLE EAP  900 P. 0,64  MM.</t>
  </si>
  <si>
    <t>CABLE 8 EAPAP 11P 0,91 RELLENO</t>
  </si>
  <si>
    <t>CABLE 8 EAPAP 16P 091 RE</t>
  </si>
  <si>
    <t>EAPAP-8 RELL 0.64 16P.</t>
  </si>
  <si>
    <t>CABLE EAP 1200 P. 0,405 MM.</t>
  </si>
  <si>
    <t>CABLE EAP 2400 P. 0,405 MM.</t>
  </si>
  <si>
    <t>Cab.eap       1500p/40</t>
  </si>
  <si>
    <t>EAP RELL. P (D) 0.91 152 P</t>
  </si>
  <si>
    <t>CABLE 8 EAPAP 16P 0,9 R-D-</t>
  </si>
  <si>
    <t>CABLE  16FO MUL V-III PEAP</t>
  </si>
  <si>
    <t>CABLE  16FO MUL IV-II PEAP</t>
  </si>
  <si>
    <t>CABLE  16FO MUL V-IV PEAP</t>
  </si>
  <si>
    <t>CABLE  16FO MULIII-II PEAP</t>
  </si>
  <si>
    <t>CABLE 512FO MONOMODO KP</t>
  </si>
  <si>
    <t>CABLE 16FO MONOMODO PKP</t>
  </si>
  <si>
    <t>CABLE   8FO MUL V-IV PEAP</t>
  </si>
  <si>
    <t>CABLE 64FO MONOMODO PKP MULTIUSO</t>
  </si>
  <si>
    <t>CABLE 64FO MONO. PKP MULT.- JAZZTEL</t>
  </si>
  <si>
    <t>CABLE 64FO MONOMODO KP</t>
  </si>
  <si>
    <t>CABLE  64FO MONOMODO PKCP (diámetro19mm</t>
  </si>
  <si>
    <t>CABLE 64FO MONOMODO PKCP PARA RTLD</t>
  </si>
  <si>
    <t>CABLE 64FO MONO PKCP RTLD-DGAragón</t>
  </si>
  <si>
    <t>CABLE   6FO MULIII-IIIPEAP</t>
  </si>
  <si>
    <t>CABLE  16FO MULIII-IIIPEAP</t>
  </si>
  <si>
    <t>CABLE  12FO MONOMODO PKCP (diámetro17mm)</t>
  </si>
  <si>
    <t>CABLE  64FO MONOMODO PKP</t>
  </si>
  <si>
    <t>CABLE  32FO MONOMODO PKP</t>
  </si>
  <si>
    <t>CABLE   6FO MUL V-IV PEAP</t>
  </si>
  <si>
    <t>CABLE   6FO MONOMODO PEAP</t>
  </si>
  <si>
    <t>CABLE  12FO MONOMODO PKP</t>
  </si>
  <si>
    <t>CABLE   8FO MONOMODO PKP</t>
  </si>
  <si>
    <t>CABLE  24FO MONOMODO PKP</t>
  </si>
  <si>
    <t>CABLE  16FO MONOMODO PKCP (diámetro17mm</t>
  </si>
  <si>
    <t>CABLE 64FO MONOMODO PRVP</t>
  </si>
  <si>
    <t>CABLE  24FO MONOMODO PKCP (diámetro17mm</t>
  </si>
  <si>
    <t>CABLE  12FO MONOMODO PKCP</t>
  </si>
  <si>
    <t>CABLE 128FO MONOMODO PKP</t>
  </si>
  <si>
    <t>CABLE 128FO MONOMODO KP</t>
  </si>
  <si>
    <t>Cab. 128 fo mono.kp can-ae</t>
  </si>
  <si>
    <t>CABLE   8FO PUKPU P/CONSER</t>
  </si>
  <si>
    <t>CABLE  16FO PUKPU P/CONSER</t>
  </si>
  <si>
    <t>CABLE  32FO PUKPU P/CONSER</t>
  </si>
  <si>
    <t>CABLE  16FO MONOMODO PKCP</t>
  </si>
  <si>
    <t>CABLE  24FO MONOMODO PKCP</t>
  </si>
  <si>
    <t>CABLE  32FO MONOMODO PKCP</t>
  </si>
  <si>
    <t>CABLE 4FO ACOMETIDA KT</t>
  </si>
  <si>
    <t>CABLE 6FO ACOMETIDA KT</t>
  </si>
  <si>
    <t>CABLE 8FO ACOMETIDA KT</t>
  </si>
  <si>
    <t>CABLE   8FO ACOMETIDA KT- JAZZTEL</t>
  </si>
  <si>
    <t>CABLE 8FO MONOMODO kp</t>
  </si>
  <si>
    <t>CABLE  48FO MONOMODO PKP MULTIUSO</t>
  </si>
  <si>
    <t>CABLE 48FO MONO. PKP MULT.- JAZZTEL</t>
  </si>
  <si>
    <t>CABLE  48FO MONOMODO KP</t>
  </si>
  <si>
    <t>CABLE  48FO MONOMODO KP - TELEFÓNICA</t>
  </si>
  <si>
    <t>CABLE  96FO MONOMODO PKP</t>
  </si>
  <si>
    <t>CABLE  32FO MONOMODO PKP para RTLD</t>
  </si>
  <si>
    <t>CABLE 32FO KP RTLD</t>
  </si>
  <si>
    <t>CABLE  16FO MONOMODO PKP para RTLD</t>
  </si>
  <si>
    <t>CABLE 16FO MONOMODO KP PARA RTLD</t>
  </si>
  <si>
    <t>CABLE   8FO MONOMODO PKP para RTLD</t>
  </si>
  <si>
    <t>CABLE 128FO MONO.INTER.TKT</t>
  </si>
  <si>
    <t>CABLE  64FO MONO.INTER.TKT</t>
  </si>
  <si>
    <t>CABLE 8FO MONOMODO PKCP</t>
  </si>
  <si>
    <t>CABLE  48FO MONO.INTER.TKT</t>
  </si>
  <si>
    <t>CABLE  32FO MONO.INTER.TKT</t>
  </si>
  <si>
    <t>CABLE  24FO MONO.INTER.TKT</t>
  </si>
  <si>
    <t>CABLE  16FO MONO.INTER.TKT</t>
  </si>
  <si>
    <t>CABLE   8FO MONOMODO PKP MULTIUSO</t>
  </si>
  <si>
    <t>CABLE   8FO MONO. PKP MULT.- JAZZTEL</t>
  </si>
  <si>
    <t>CABLE  12FO MONOMODO PKP MULTIUSO</t>
  </si>
  <si>
    <t>CABLE  16FO MONOMODO PKP MULTIUSO</t>
  </si>
  <si>
    <t>CABLE 16FO MONO. PKP MULT.- JAZZTEL</t>
  </si>
  <si>
    <t>CABLE  16FO MONOMODO KP</t>
  </si>
  <si>
    <t>CABLE  24FO MONOMODO PKP MULTIUSO</t>
  </si>
  <si>
    <t>CABLE 24FO MONO. PKP MULT.- JAZZTEL</t>
  </si>
  <si>
    <t>CABLE  24FO MONOMODO KP</t>
  </si>
  <si>
    <t>CABLE  32FO MONOMODO PKP MULTIUSO</t>
  </si>
  <si>
    <t>CABLE 32FO MONO. PKP MULT.- JAZZTEL</t>
  </si>
  <si>
    <t>CABLE  32FO MONOMODO KP</t>
  </si>
  <si>
    <t>CABLE 48FO MONOMODO KP- TELEFONICA</t>
  </si>
  <si>
    <t>CABLE 16FO MONO.KVT INTER.  ANTIROEDORE</t>
  </si>
  <si>
    <t>CABLE 24FO MONO.KVT INTER. ANTIROEDORES</t>
  </si>
  <si>
    <t>CABLE 32FO MONO.KVT INTER. ANTIROEDORES</t>
  </si>
  <si>
    <t>CABLE 256FO MONOMODO PKP</t>
  </si>
  <si>
    <t>CABLE 256FO MONOMODO KP</t>
  </si>
  <si>
    <t>Cable 256 F.O KP Canalizado Aéreo</t>
  </si>
  <si>
    <t>CABLE 256FO MONO.INTER.-EXT. TKT</t>
  </si>
  <si>
    <t>CABLE  64FO MONOMODO PKP para RTLD</t>
  </si>
  <si>
    <t>CABLE 64FO MONOMODO KP para RTLD</t>
  </si>
  <si>
    <t>CABLE 24FO DISTRIB.VERTICAL INTERI.EDIF</t>
  </si>
  <si>
    <t>CABLE 48FO DISTRIB.VERTICAL INTERI.EDIF</t>
  </si>
  <si>
    <t>CABLE 128FO MONOMODO PKP para RTLD</t>
  </si>
  <si>
    <t>Cable 128KP RTLD</t>
  </si>
  <si>
    <t>CABLE 16FO DISTRIB.VERTICAL INTERI.EDIF</t>
  </si>
  <si>
    <t>CABLE 32FO DISTRIB.VERTICAL INTERI.EDIF</t>
  </si>
  <si>
    <t>CABLE 128FO MONO.INTER.-EXT.TKT</t>
  </si>
  <si>
    <t>CABLE  96FO MONO.INTER.-EXT.TKT</t>
  </si>
  <si>
    <t>CABLE  64FO MONO.INTER.-EXT TKT</t>
  </si>
  <si>
    <t>CABLE 64FO MONO.INTER.-EXT TKT- JAZZTEL</t>
  </si>
  <si>
    <t>CABLE  48FO MONO.INTER.-EXT.TKT</t>
  </si>
  <si>
    <t>CABLE 48FO MONO.INTER.-EXT TKT- JAZZTEL</t>
  </si>
  <si>
    <t>CABLE 24 FO MON TKT DESMON</t>
  </si>
  <si>
    <t>CABLE 24 FO MON PKCP DESMON</t>
  </si>
  <si>
    <t>CABLE  32FO MONO.INTER.-EXT.TKT</t>
  </si>
  <si>
    <t>CABLE 32FO MONO.INTER.-EXT TKT- JAZZTEL</t>
  </si>
  <si>
    <t>CABLE  24FO MONO.INTER.-EXT.TKT</t>
  </si>
  <si>
    <t>CABLE 24FO MONO.INTER.-EXT TKT- JAZZTEL</t>
  </si>
  <si>
    <t>CABLE  16FO MONO.INTER.-EXT.TKT</t>
  </si>
  <si>
    <t>CABLE 16FO MONO.INTER.-EXT TKT- JAZZTEL</t>
  </si>
  <si>
    <t>CABLE  32FO MONOMODO PKCP PARA RTLD</t>
  </si>
  <si>
    <t>Cable 16fo monomodo kt inter-ext</t>
  </si>
  <si>
    <t>Cable 24fo monomodo kt inter-ext</t>
  </si>
  <si>
    <t>Cable 32fo monomodo kt inter-ext</t>
  </si>
  <si>
    <t>Cable 48fo monomodo kt inter-ext</t>
  </si>
  <si>
    <t>Cable 64fo monomodo kt inter-ext</t>
  </si>
  <si>
    <t>CABLE 128 FO MONOMODO KT</t>
  </si>
  <si>
    <t>CABLE 256 KT</t>
  </si>
  <si>
    <t>CABLE 512FO MONOMODO KT</t>
  </si>
  <si>
    <t>CABLE EAPAP   50 P 0,91 RE</t>
  </si>
  <si>
    <t>CABLE EAP   25P 0,9 PANT/D</t>
  </si>
  <si>
    <t>Cab.eapap      200p/51</t>
  </si>
  <si>
    <t>CABLE EAP   25 P 0,4 RELL</t>
  </si>
  <si>
    <t>Chat Cable Coaxial Zanja DN (Diámetro Normal)</t>
  </si>
  <si>
    <t>Chat Cable Coaxial Zanja PD (Pequeño Diámetro)</t>
  </si>
  <si>
    <t>CABLE EAPAP 200P 0,9 PD/R</t>
  </si>
  <si>
    <t>Cab.acomet. bimet. 2 con</t>
  </si>
  <si>
    <t>TUBITO PAPEL 65 X 3 P. EMPALME</t>
  </si>
  <si>
    <t>TUBITO PAPEL 75 X 4,5 P. EMPALME</t>
  </si>
  <si>
    <t>BOLSA POLIETILENO EMPALME</t>
  </si>
  <si>
    <t>Soporte fijacion term. ena</t>
  </si>
  <si>
    <t>543474</t>
  </si>
  <si>
    <t>MANGUITO TERMO. CON VALVULA TIPO 95/30</t>
  </si>
  <si>
    <t>MANGUITO TERMO. REPAR.TIPO R2 NUEVA ESP</t>
  </si>
  <si>
    <t>MANGUITO TERMO CON VALVULA TIPO 45/15</t>
  </si>
  <si>
    <t>CONECTOR UNIVERSAL DERIV.</t>
  </si>
  <si>
    <t>MANGUITO TERMO T.T. 60/43</t>
  </si>
  <si>
    <t>CONECTOR UNIVERSAL 2 CONDUCTORES</t>
  </si>
  <si>
    <t>CONECTOR UNIVERSAL DE 3 CONDUCTORES</t>
  </si>
  <si>
    <t>Cjto 12 obturad. p/conductos ocup. 63 m</t>
  </si>
  <si>
    <t>CONJUNTO OBTURADOR OBT-1</t>
  </si>
  <si>
    <t>CONJUNTO OBTURADOR OBT-3</t>
  </si>
  <si>
    <t>Cjto 12 obtura. p/conductos ocup. 110 m</t>
  </si>
  <si>
    <t>Pinza manguito termorret.</t>
  </si>
  <si>
    <t>TERM-CAJA FACHADA 26P/3,0M</t>
  </si>
  <si>
    <t>TERM-CAJA FACHADA 26P/6M</t>
  </si>
  <si>
    <t>TERM-CAJA FACHADA 16P/3,0M</t>
  </si>
  <si>
    <t>TERM-CAJA FACHADA 16P/6M</t>
  </si>
  <si>
    <t>TERM-CAJA POSTE 26P/7M</t>
  </si>
  <si>
    <t>TERM-CAJA POSTE 16P/6M</t>
  </si>
  <si>
    <t>REGLETA INTERIOR 5P ANTIGUAS</t>
  </si>
  <si>
    <t>TERM-BASE INTERIOR 26P</t>
  </si>
  <si>
    <t>MODULO 25 P.4005-D MULTI</t>
  </si>
  <si>
    <t>MODULO 25 P. 4000-D RECTO</t>
  </si>
  <si>
    <t>PLANTILLA ARMAR INTERCON</t>
  </si>
  <si>
    <t>Cord.monofib. sc/pc sc/apc (3m)</t>
  </si>
  <si>
    <t>Tapon obt.subcond.32 mm</t>
  </si>
  <si>
    <t>Ancl.y obt.110/1.2(32-40)</t>
  </si>
  <si>
    <t>CORDON MONOFIBRA FC-PC CON ACOPLADOR</t>
  </si>
  <si>
    <t>Armario term. fo p/abonado</t>
  </si>
  <si>
    <t>ARMARIO REPARTICION 32 FO</t>
  </si>
  <si>
    <t>CONJ.OBT.SUBCOND. PE40 OCP</t>
  </si>
  <si>
    <t>MANG TERM EMPAL SUBCON FO</t>
  </si>
  <si>
    <t>PROTECCION EMPALME FIBRA OPTICA MODELO 100ud</t>
  </si>
  <si>
    <t>PROTECCION EMPALME FIBRA OPTICA MODELO 32ud</t>
  </si>
  <si>
    <t>CONJUNTO EMPALME RELLENO ER3</t>
  </si>
  <si>
    <t>ARMARIO DIST.P.URBANIZA</t>
  </si>
  <si>
    <t>PLANTILLA ARMARIO</t>
  </si>
  <si>
    <t>PLANTILLA P.ARM DIST P.URB</t>
  </si>
  <si>
    <t>Regleta p/Armario Distribución en Urb.</t>
  </si>
  <si>
    <t>CJTO. EMPALME VERTICAL NO PRESURIZ. V1</t>
  </si>
  <si>
    <t>CJTO. EMPALME VERTICAL NO PRESURIZ. V2</t>
  </si>
  <si>
    <t>CJTO. EMPALME VERTICAL NO PRESURZ. V3</t>
  </si>
  <si>
    <t>Cjto Derivación 4 Cables Emp. Vertical</t>
  </si>
  <si>
    <t>Cjto. Derivación p/Emp. Vertical Tipo 2</t>
  </si>
  <si>
    <t>Cjto Derivación p/Emp. Vertical Tipo 3</t>
  </si>
  <si>
    <t>CONJUNTO DE EMPALME PRESURIZABLE EPH-1</t>
  </si>
  <si>
    <t>CONJUNTO DE EMPALME PRESURIZABLE EPH-2</t>
  </si>
  <si>
    <t>CONJUNTO DE EMPALME PRESURIZABLE EPH-3</t>
  </si>
  <si>
    <t>CONJUNTO DE EMPALME PRESURIZABLE EPH-4</t>
  </si>
  <si>
    <t>CONJUNTO DE EMPALME PRESURIZABLE EPH-5</t>
  </si>
  <si>
    <t>CONJUNTO DE EMPALME PRESURIZABLE EPH-6</t>
  </si>
  <si>
    <t>CONJUNTO EMPALME RELLENO ER1</t>
  </si>
  <si>
    <t>CONJUNTO EMPALME RELLENO ER2</t>
  </si>
  <si>
    <t>Arm.intercon. 900 p.</t>
  </si>
  <si>
    <t>REGL.INSERCION 5R50P SALID</t>
  </si>
  <si>
    <t>REGL.INSERCION 5R50P.ENTRA</t>
  </si>
  <si>
    <t>Caja interc. 600p. poste</t>
  </si>
  <si>
    <t>CAJA INTERCON.800P.FACHADA</t>
  </si>
  <si>
    <t>CAJA EMP. ACC. UNIV.128 FO</t>
  </si>
  <si>
    <t>CAJA EMP. ACC. UNIV.256 FO</t>
  </si>
  <si>
    <t>CAU 4 BOCAS MAX 256 EMP</t>
  </si>
  <si>
    <t>CAU 8 BOCAS MAX 512 EMP</t>
  </si>
  <si>
    <t>CONJUNTO DE EMPALME FACHADA TIPO-1</t>
  </si>
  <si>
    <t>CONJUNTO DE EMPALME FACHADA TIPO-2</t>
  </si>
  <si>
    <t>CONJUNTO DE EMPALME FACHADA TIPO-3</t>
  </si>
  <si>
    <t>CONJUNTO DE EMPALME FACHADA TIPO-4</t>
  </si>
  <si>
    <t>Soporte caj.emp. 128 fo</t>
  </si>
  <si>
    <t>CONJ OBT. OBT1-N P/CABLE</t>
  </si>
  <si>
    <t>CONJ OBT. OBT3-N P/CABLE</t>
  </si>
  <si>
    <t>CONJ OBT. OBT4-N P/CABLE</t>
  </si>
  <si>
    <t>CAJA EMPALME ACCESO UNIVERSAL 64 FO</t>
  </si>
  <si>
    <t>Cord.monof.mono.c/c sc-pc</t>
  </si>
  <si>
    <t>ROSETA PARA FIBRA OPTICA</t>
  </si>
  <si>
    <t>CAJA EMP. ACC. UNIV. 16 FO</t>
  </si>
  <si>
    <t>CONJ SEGRAG. 3 CABLES FO</t>
  </si>
  <si>
    <t>CORDON MONOFIBRA SC-APC CON ACOPLADOR</t>
  </si>
  <si>
    <t>ROSETA FIBRA OPTICA PLANTA EXTERNA</t>
  </si>
  <si>
    <t>MANGUITO UNION COND SUBC DE 40 mm.</t>
  </si>
  <si>
    <t>CORDON MONOFIBRA FC-APC CON ACOPLADOR</t>
  </si>
  <si>
    <t>ENVOLVENTE PARA ROM 9 PLACAS SOPORTE</t>
  </si>
  <si>
    <t>R.O.M. 2200 x 600 x 300 capac. 256 F.O.</t>
  </si>
  <si>
    <t>PLACAS SOPORTE DE BANDEJAS PARA ROM</t>
  </si>
  <si>
    <t>BANDEJA PARA EMPALMES ROM</t>
  </si>
  <si>
    <t>BANDEJAS PARA CONECTORES  SC ROM</t>
  </si>
  <si>
    <t>BANDEJAS P/CONEC. FC  ROM</t>
  </si>
  <si>
    <t>ARMARIO DISPERSION PARA FO</t>
  </si>
  <si>
    <t>ENVOLVENTE SUP-INT-INF ROM APIL 1 MODUL</t>
  </si>
  <si>
    <t>ENVOLVENTE SUP-INT-INF ROM APIL 3 MODUL</t>
  </si>
  <si>
    <t>CONJUNTO EMPALME FACHADA TIPO 3A</t>
  </si>
  <si>
    <t>Cjto 12 obturad. p/conductos ocup. 25 mm</t>
  </si>
  <si>
    <t>Cjto 12 obturad. p/conductos ocup. 32 mm</t>
  </si>
  <si>
    <t>Cjto 12 obturad. p/conductos ocup. 40 m</t>
  </si>
  <si>
    <t>Cjto 12 obt. p/cond.ocup. 63 mm (KONEKT</t>
  </si>
  <si>
    <t>Cjto 12 obt. p/cond.ocup.110 mm (KONEKT</t>
  </si>
  <si>
    <t>Cjto 12 obt. p/cond.ocup. 40 mm (KONEKT</t>
  </si>
  <si>
    <t>CORDON MONOF.SC-APC S/ACOP</t>
  </si>
  <si>
    <t>EMPALME PRESURIZABLE MECANICO TIPO-1</t>
  </si>
  <si>
    <t>EMPALME PRESURIZABLE MECANICO TIPO-2</t>
  </si>
  <si>
    <t>EMPALME PRESURIZABLE MECANICO TIPO-3</t>
  </si>
  <si>
    <t>EMPALME PRESURIZABLE MECANICO TIPO-4</t>
  </si>
  <si>
    <t>EMP. PRES. MEC.T-1 ARQUETA</t>
  </si>
  <si>
    <t>EMP. PRES. MEC.T-2 ARQUETA</t>
  </si>
  <si>
    <t>CONJUNTO OBTURACION CON VALVULA CAB1/PE</t>
  </si>
  <si>
    <t>CONJUNTO OBTURACION CON VALVULA CAB2/PE</t>
  </si>
  <si>
    <t>DISCO LATERAL PARA EPM-1</t>
  </si>
  <si>
    <t>DISCO LATERAL PARA EPM-2</t>
  </si>
  <si>
    <t>DISCO LATERAL PARA EPM-3</t>
  </si>
  <si>
    <t>DISCO LATERAL PARA EPM-4</t>
  </si>
  <si>
    <t>U.ABDO.EXT.TETRAP.IMLA306B</t>
  </si>
  <si>
    <t>CAJA INTERCONEXION 200 PARES</t>
  </si>
  <si>
    <t>ARMARIO INTERCONEXION 600 PARES</t>
  </si>
  <si>
    <t>UNIDAD DE CENTRAL DUPLICADOR IMLA 221</t>
  </si>
  <si>
    <t>SOPORTE PARA CAJA INTERCONEXION A POSTE</t>
  </si>
  <si>
    <t>UDAD DE ABDO DUPLICADOR IMLA 314 C/CAJA</t>
  </si>
  <si>
    <t>ARMARIO DE INTERCONEXION DE 900 P-QDF</t>
  </si>
  <si>
    <t>ARMARIO DE INTERCONEXION DE 1200 P-QDF</t>
  </si>
  <si>
    <t>CAJA INTERCONEXION 200 PARES P-QDF</t>
  </si>
  <si>
    <t>CAJA INTERCONEXION 500 PARES P-QDF</t>
  </si>
  <si>
    <t>TERM-REGLETA INTERIOR 5P UNIVERSAL</t>
  </si>
  <si>
    <t>CONJUNTO OBTURACION CON VALVULA CAB3/PE</t>
  </si>
  <si>
    <t>CONJUNTO OBTURACION CON VALVULA CAB4/PE</t>
  </si>
  <si>
    <t>CONJUNTO OBTURACION CON VALVULA CAB5/PE</t>
  </si>
  <si>
    <t>Cable XDSL 100 p. interior edificios OB</t>
  </si>
  <si>
    <t>R-ARMARIO RIT PREEQUIPADO TIPO R-1</t>
  </si>
  <si>
    <t>R-ARMARIO PARA RIT</t>
  </si>
  <si>
    <t>CJTO EMP. Y REPARTICION F.O. P/BAST ETS</t>
  </si>
  <si>
    <t>FILTRO OPTICO DE 4ª VENTANA (CR)</t>
  </si>
  <si>
    <t>ARMARIO PTRO TIPO J CON ZOCALO</t>
  </si>
  <si>
    <t>ARMARIO R SIN CUADRO ELECTRICO</t>
  </si>
  <si>
    <t>PLANTILLA P/ARMARIO PTRO TIPO U EXTERIO</t>
  </si>
  <si>
    <t>ARMARIO FTTH</t>
  </si>
  <si>
    <t>CONJUNTO AMPLI P/ARMARIO CON EQUIPOS ACTIVOS(MOCHILA) CON ZOCALO COLGANTE</t>
  </si>
  <si>
    <t>Corn-ucncp:caj.emp.torpedo</t>
  </si>
  <si>
    <t>FTTH-COR-DIVISOR 1x64 PARA CAJA EMPALME</t>
  </si>
  <si>
    <t>FTTH-COR-BANDEJA SE CON 1 SPLITTER 1x4</t>
  </si>
  <si>
    <t>FTTH-COR- BANDEJ.EMP.SE P/EMP.FUSIO</t>
  </si>
  <si>
    <t>FTTH-TYC-CAJA EMPALME PARA DIVISORES</t>
  </si>
  <si>
    <t>FTTH-TYC-DIVISOR 1x64 PARA CAJA EMPALME</t>
  </si>
  <si>
    <t>FTTH-TYC-BANDEJA SE CON 1 SPLITTER 1x4</t>
  </si>
  <si>
    <t>FTTH-TYC-BANDEJA SE CON 1 SPLITTER 1x16</t>
  </si>
  <si>
    <t>FTTH-TYC-CJT.4 BANDEJA.EMP.SE P/EMP.FUS</t>
  </si>
  <si>
    <t>FTTH-TYC-CAJA EMPALME INTER.P/DIVISORES</t>
  </si>
  <si>
    <t>FTTH-TYC-C.T.O.INT.HASTA 16 ACOMET.</t>
  </si>
  <si>
    <t>FTTH-TYC-CAJA DERIVACION EN PLANTA</t>
  </si>
  <si>
    <t>FTTH-COR-C.T.O. EXT. 8 ACOM.DIV.1x4</t>
  </si>
  <si>
    <t>Cto ext:cor 8acom dv1x16</t>
  </si>
  <si>
    <t>FTTH-COR-C.T.O. EXT. 16 ACOMET.DIV.1x4</t>
  </si>
  <si>
    <t>Cto ext:cor16acom dv1x16</t>
  </si>
  <si>
    <t>FTTH-COR-CONJUNTO SUJECION C.T.O.</t>
  </si>
  <si>
    <t>FTTH-C.T.O.MPTO.8 SAL.PRECON.RAB.50M</t>
  </si>
  <si>
    <t>FTTH-CTO.MPTO.8 SAL.PRECON.RAB.100M</t>
  </si>
  <si>
    <t>FTTH-CTO.MPTO.8 SAL.PRECON.RAB.150M</t>
  </si>
  <si>
    <t>Cto ext:cor 8ac.suj.pared</t>
  </si>
  <si>
    <t>FTTH-COR-CJTO.SUJ.POSTE CTO MPTO.8 SAL</t>
  </si>
  <si>
    <t>FTTH-C.T.O.MPTO.4 SAL.PRECON.RAB.50M</t>
  </si>
  <si>
    <t>FTTH-CTO.MPTO.4 SAL.PRECON.RAB.100M</t>
  </si>
  <si>
    <t>FTTH-CTO.MPTO.4 SAL.PRECON.RAB.150M</t>
  </si>
  <si>
    <t>Cto ext:cor 4ac.suj.pared</t>
  </si>
  <si>
    <t>Cto ext:cor 4ac.suj.poste</t>
  </si>
  <si>
    <t>FTTH-CAJA DE EMPALME PARA ARQUETAS</t>
  </si>
  <si>
    <t>FTTH-TYC-EMPALME MEC.RECORDSPLICE</t>
  </si>
  <si>
    <t>FTTH-PROTEC.EMPALME FUSION TERMOR.2,6X4</t>
  </si>
  <si>
    <t>FTTH-COR-RETEN.CAB.PLANO (RAB.CTO PREC.</t>
  </si>
  <si>
    <t>Kit.limpieza conect/adapt</t>
  </si>
  <si>
    <t>FTTH-COR-BANDEJA MFT CON 1 DIVISOR 1X16</t>
  </si>
  <si>
    <t>FTTH-COR-BANDEJA MFT C/ 2 DIVISORES 1X4</t>
  </si>
  <si>
    <t>FTTH-TYC-BLOQUE GEL P/CABLE CAJAFIST GB</t>
  </si>
  <si>
    <t>Cto ext:uca  8acom sin div</t>
  </si>
  <si>
    <t>Cto ext:uca 16acom sin div</t>
  </si>
  <si>
    <t>FTTH-EMBELLECEDOR P/CAJAS DERIVACION</t>
  </si>
  <si>
    <t>FTTH-TYC-PRENSAESTOPA MULTIPLE CAJA GB2</t>
  </si>
  <si>
    <t>FTTH-TYC-PRENSAESTOPA MULTIP. PG21 4 x</t>
  </si>
  <si>
    <t>FTTH-COR-ELEM.FIJ.-SELL.CAB.PASO CJ.UCA</t>
  </si>
  <si>
    <t>FTTH-DIVISOR 1X16 INSTALAR EN BANDEJA</t>
  </si>
  <si>
    <t>FTTH-CTO MODULAR INT.- MOD.EDIFICIO</t>
  </si>
  <si>
    <t>FTTH-CTO MODULAR INT.- MOD.OPERADOR</t>
  </si>
  <si>
    <t>FTTH-CTO MODULAR INT. MOD.CASETE DIV1:1</t>
  </si>
  <si>
    <t>FTTH-CTO MODULAR INT. BOLSA 4 ADAP.4 PI</t>
  </si>
  <si>
    <t>FTTH-CAJA DERIV.EN PLANTA CONEC.8 CLIEN</t>
  </si>
  <si>
    <t>Cto ext:tyc16acom dv1x16</t>
  </si>
  <si>
    <t>FTTH-TYC-BANDEJA MFT CON 1 DIVISOR 1X16</t>
  </si>
  <si>
    <t>FTTH-CAJA DIVISORES 1ªETAPA (DiviCAU)</t>
  </si>
  <si>
    <t>FTTH-DIVISOR 1X4 INSTALAR EN BANDEJA</t>
  </si>
  <si>
    <t>FTTH-SOPORTE UNIV.CTO EXT.POSTES HORMIG</t>
  </si>
  <si>
    <t>FTTH-RETEN.ACOM.F.O.A DEMANDA CTO INT.</t>
  </si>
  <si>
    <t>FTTH-TYC-CAJA GB2 CONEC.80CLIEN.1DIV1x1</t>
  </si>
  <si>
    <t>FTTH-TYC-CAJA MB2 CONEC.32CLIEN.1DIV1x1</t>
  </si>
  <si>
    <t>CAJA MB2 CON 32 CL. 1 DV. 1x16 JAZZTEL</t>
  </si>
  <si>
    <t>FTTH-DIVISOR 1x16 CAJA GB2 CONECTORIZAD</t>
  </si>
  <si>
    <t>FTTH-DIVISOR 1x16 CAJA MB2 CONECTORIZAD</t>
  </si>
  <si>
    <t>FTTH-DIVISOR 1X2 INSTALAR EN BANDEJA</t>
  </si>
  <si>
    <t>FTTH - C.T.O. EXT. 8 ACOM. DIV. 1x16 JAZZTEL - JAZZTEL</t>
  </si>
  <si>
    <t>FTTH - C.T.O. MPTO. 8 SAL. PRECON.RAB.50M JAZZTEL</t>
  </si>
  <si>
    <t>FTTH - C.T.O. MPTO. 8 SAL. PRECON.RAB.100M JAZZTEL</t>
  </si>
  <si>
    <t>FTTH - C.T.O. MPTO. 4 SAL. PRECON.RAB.50M JAZZTEL</t>
  </si>
  <si>
    <t>FTTH - C.T.O. MPTO. 4 SAL. PRECON.RAB.150M JAZZTEL</t>
  </si>
  <si>
    <t>FTTH – CAJA DE EMPALME PARA ARQUETAS</t>
  </si>
  <si>
    <t>FTTH - C.T.O. EXT. 8 ACOM. SIN SPLIT. JAZZTEL</t>
  </si>
  <si>
    <t>FTTH - C.T.O. EXT. 16 ACOM. SIN SPLIT. JAZZTEL</t>
  </si>
  <si>
    <t>FTTH-CTO MODULAR INT.MOD.CASETE 2 DIV1:</t>
  </si>
  <si>
    <t>FTTH-KIT OBT.-ANTITRAC.2 CAB.KT CAJ.UCA</t>
  </si>
  <si>
    <t>FTTH-CTO EXT.16 CONEC.REFORZ. 1 DIV.1X1</t>
  </si>
  <si>
    <t>FTTH-MOD.OPERADOR RACK-ICT ETSI 19"</t>
  </si>
  <si>
    <t>FTTH-BANDEJA ALM.EN RACK-ICT ETSI 19"</t>
  </si>
  <si>
    <t>FTTH-Mini CTO. EXT. 16 acom.sin divisor</t>
  </si>
  <si>
    <t>Cto int.minimi mod cliente</t>
  </si>
  <si>
    <t>Cto int.minimi mod operado</t>
  </si>
  <si>
    <t>FTTH-MOD.REPART.Y BAND.64+8 FO ARM.ETSI</t>
  </si>
  <si>
    <t>FTTH-CTO INT. 8 CONEC. 1 DIV. 1:8</t>
  </si>
  <si>
    <t>FTTH-MINICAU PARA EMPALMES y DIV</t>
  </si>
  <si>
    <t>FTTH-MicroCTO EXT. 8 acom REF. 1 DIV 1x8</t>
  </si>
  <si>
    <t>FTTH-CTO EXT. 8 CONEC. REFORZ. 1 DIV 1x8-etiq</t>
  </si>
  <si>
    <t>DIV 1:8 BAND. DIVICAU</t>
  </si>
  <si>
    <t>FTTH-CTO MODULAR INT. MOD. CASETTE - DIV 1:8</t>
  </si>
  <si>
    <t>CTO EXT MINI16 Acom con DV1:16</t>
  </si>
  <si>
    <t>FTTH-CAJA EXT MONOPUERTO para SMALL CEL</t>
  </si>
  <si>
    <t>FTTH-DIVISOR 1X4 INSTALAR EN BANDEJA    </t>
  </si>
  <si>
    <t>FTTH-DIVISOR 1X16 INSTALAR EN BANDEJA   </t>
  </si>
  <si>
    <t>FTTH-CTO.MOD.INT-MOD.OPERAD.CON DIV 1x16-etiq</t>
  </si>
  <si>
    <t>FTTH-MOD.OPERAD.RACK-ICT ETSI 19" C/DIV</t>
  </si>
  <si>
    <t>FTTH-DIVISOR 1x16 FAN-OUT CAJA GB2 CONEC</t>
  </si>
  <si>
    <t>FTTH-PROT.EMPALME FUS.TERMOR.2,6X45</t>
  </si>
  <si>
    <t>CAJA DESCARG.3 ELECT.VACIA</t>
  </si>
  <si>
    <t>Tubo hierro t.tierra</t>
  </si>
  <si>
    <t>Manostato exterior empalme</t>
  </si>
  <si>
    <t>TRANSDUCTOR PRESION SSCC</t>
  </si>
  <si>
    <t>CAJA TRANSDUCTOR SSCC</t>
  </si>
  <si>
    <t>HILO p/REPARTIDOR 2C DE 0,6 mm. BL-NE</t>
  </si>
  <si>
    <t>HILO REPARTIDOR DE 2C DE 0,6 mm. AM-AZ</t>
  </si>
  <si>
    <t>Hilo rep.mini.2c.0.6 bl/ne</t>
  </si>
  <si>
    <t>ADHESIVO NUM.REGL. V-600</t>
  </si>
  <si>
    <t>CLAVIJA PRUEBAS C/COR.SESA</t>
  </si>
  <si>
    <t>Repartidor en jaula 2 verticales RdO OB</t>
  </si>
  <si>
    <t>Repartidor arm.ETSI 2 verticales RdO OB</t>
  </si>
  <si>
    <t>REGLETA 26X8 REPARTIDOR ND</t>
  </si>
  <si>
    <t>CJTO PROTC REGLT V1200 ENA</t>
  </si>
  <si>
    <t>QDF-REGL.INSERC.10P GRIS SIN GUIAHILOS</t>
  </si>
  <si>
    <t>QDF-PROTECTOR CON DESCARGADOR TRIPOLAR</t>
  </si>
  <si>
    <t>QDF-TAPA DESIGNACION BLANCA</t>
  </si>
  <si>
    <t>QDF-TAPA DESIGNACION GRIS</t>
  </si>
  <si>
    <t>QDF-CLAVIJA CORTE Y PRUEBA 4 H-4MTS</t>
  </si>
  <si>
    <t>QDF-REGL.INSERC.10P BLANCA SIN GUIAHILO</t>
  </si>
  <si>
    <t>QDF-GUIA HILOS SALIDA LADO DERECHO</t>
  </si>
  <si>
    <t>QDF-GUIA HILOS SALIDA 5 IZDA+5 DCHA</t>
  </si>
  <si>
    <t>QDF-PROLONGADOR PARA CONEXION</t>
  </si>
  <si>
    <t>QDF-PROLONGADOR P/MARCACION Y TIMBRADO</t>
  </si>
  <si>
    <t>QDF- BLOQUE REGLETA 100p OBA G.H. DCHA.</t>
  </si>
  <si>
    <t>QDF- BLOQUE REGLETA 100p OBA G.H.IZDA.</t>
  </si>
  <si>
    <t>QDF-BLOQUE REGLETA 200p OBA CT.AB.G.H.D</t>
  </si>
  <si>
    <t>QDF-ARMAZON PROTEC.BL.REG.200 p.OBA</t>
  </si>
  <si>
    <t>MONITOR DE AUDIO</t>
  </si>
  <si>
    <t>UNIDAD DE DISTRIBUCION C.C. CON</t>
  </si>
  <si>
    <t>TELEFONO PREMIUM ALCATEL 8038</t>
  </si>
  <si>
    <t>IC-CU</t>
  </si>
  <si>
    <t>IC-LU</t>
  </si>
  <si>
    <t>BACKPLANE BP250 CON FREESET INTE</t>
  </si>
  <si>
    <t>CPU-D2</t>
  </si>
  <si>
    <t>CPU-D3</t>
  </si>
  <si>
    <t>rotomatDYSPLAY ACD(1F/1C)</t>
  </si>
  <si>
    <t>PROM SET R8</t>
  </si>
  <si>
    <t>MSU</t>
  </si>
  <si>
    <t>MRU-1</t>
  </si>
  <si>
    <t>MRU-2</t>
  </si>
  <si>
    <t>CDU-2</t>
  </si>
  <si>
    <t>CDU-3</t>
  </si>
  <si>
    <t>MSC</t>
  </si>
  <si>
    <t>Residdeexcaventarea</t>
  </si>
  <si>
    <t>Residdeinstprefignoencampo</t>
  </si>
  <si>
    <t>Creado para migraci¢n</t>
  </si>
  <si>
    <t>VD-EMBALAJE AUX.E KITS 3,6</t>
  </si>
  <si>
    <t>VD-KIT TRANSMODULADOR IKUSI (N)</t>
  </si>
  <si>
    <t>ODU HUGHES 1W</t>
  </si>
  <si>
    <t>2500586 Accesorio de Ventilación SDI</t>
  </si>
  <si>
    <t>2500078 KIT KDU 100 RECEPTOR F.A. BASE</t>
  </si>
  <si>
    <t>IO2B</t>
  </si>
  <si>
    <t>VD-KIT TRANSMODULADOR IKUSI (R)</t>
  </si>
  <si>
    <t>VD-KIT TRANSMODULAR IKUSI (U)</t>
  </si>
  <si>
    <t>PCR MULT.TM 13 (USADO)</t>
  </si>
  <si>
    <t>CABLE EAP  100 P. 0,404 MM.</t>
  </si>
  <si>
    <t>CABLE EAP  200 P. 0,404 MM.</t>
  </si>
  <si>
    <t>CABLE 8 EAPAP  26P 0,5 AA2</t>
  </si>
  <si>
    <t>DYSPLAY ACD(1F/1C)</t>
  </si>
  <si>
    <t>PROM JET-V2</t>
  </si>
  <si>
    <t>POSTE DESMONTADO</t>
  </si>
  <si>
    <t>Baremo</t>
  </si>
  <si>
    <t>Naturaleza</t>
  </si>
  <si>
    <t>Contrato</t>
  </si>
  <si>
    <t>Permisos</t>
  </si>
  <si>
    <t>Ud.sing.de permisos</t>
  </si>
  <si>
    <t>2021B</t>
  </si>
  <si>
    <t/>
  </si>
  <si>
    <t>Concesion de permiso particular cobre</t>
  </si>
  <si>
    <t>Supl.permiso.part.proy/act indep.compl.</t>
  </si>
  <si>
    <t>Peticion de permiso oficial</t>
  </si>
  <si>
    <t>Concesion de permiso oficial</t>
  </si>
  <si>
    <t>Supl.conseg porcent p.partic(d proyecto)</t>
  </si>
  <si>
    <t>Concesion de permiso particular ftth</t>
  </si>
  <si>
    <t>Supl. consec. todos perm. partic (ftth)</t>
  </si>
  <si>
    <t>Petición permiso oficial (Telematico)</t>
  </si>
  <si>
    <t>Concesión permiso oficial (Telematico)</t>
  </si>
  <si>
    <t>Informe especial solicitud permiso oficial</t>
  </si>
  <si>
    <t>Buzoneo en zona de desp. ftth o similar</t>
  </si>
  <si>
    <t xml:space="preserve">Rep. Manual </t>
  </si>
  <si>
    <t>EETT y Diseño</t>
  </si>
  <si>
    <t>Ud.sing.de diseño</t>
  </si>
  <si>
    <t>Formulacion tlc,trd</t>
  </si>
  <si>
    <t>Elaboracion estudio seguridad y salud</t>
  </si>
  <si>
    <t>Grabar proyecto en regis grafico(punto)</t>
  </si>
  <si>
    <t>Definicion area inf caja terminal</t>
  </si>
  <si>
    <t>Realiz croquis y/o informa p proyecto</t>
  </si>
  <si>
    <t>Diseño generica (general)</t>
  </si>
  <si>
    <t>Diseño generica (adicional)</t>
  </si>
  <si>
    <t>Dis aten dem transf re n edificio (adici</t>
  </si>
  <si>
    <t>Proyecto firmado y visado</t>
  </si>
  <si>
    <t>Regularización de Registro en Planex</t>
  </si>
  <si>
    <t>Diseño genérica oficina (General)</t>
  </si>
  <si>
    <t>Diseño genérica oficina (Adicional)</t>
  </si>
  <si>
    <t>Diseño genérica,datos complementarios(General)</t>
  </si>
  <si>
    <t>Diseño genérica,datos complementarios(Adicional)</t>
  </si>
  <si>
    <t>Diseño transformación red de distribución o similar</t>
  </si>
  <si>
    <t>Diseño lista de espera en modelo Instala y Registra</t>
  </si>
  <si>
    <t>Desmonte</t>
  </si>
  <si>
    <t>Ud.sing.desm.de postes y riostras</t>
  </si>
  <si>
    <t>Ud.sing.desm.de cables de pares</t>
  </si>
  <si>
    <t>Ud.sing.desm.de cables de fibra optica</t>
  </si>
  <si>
    <t>Ud.sing.desm.varios</t>
  </si>
  <si>
    <t>Bonus de lineas y cables desmontaje</t>
  </si>
  <si>
    <t>Desm.post.mad./fib.integ./horm.sin e.bas</t>
  </si>
  <si>
    <t>Desm.post.horm.eliminando basamento</t>
  </si>
  <si>
    <t>Desm.conjunto poste-carril</t>
  </si>
  <si>
    <t>Desm.riostra economica</t>
  </si>
  <si>
    <t>Desm.cable de riostra</t>
  </si>
  <si>
    <t>Desm.cilindro y tirante</t>
  </si>
  <si>
    <t>Desm. conj.pelda¤os y estrib. en pose</t>
  </si>
  <si>
    <t>Desm.circuito hilo desnudo/guarda</t>
  </si>
  <si>
    <t>Desm.cable de pares en canalizacion</t>
  </si>
  <si>
    <t>Desm.cable de pares en zanja</t>
  </si>
  <si>
    <t>Desm.cable de pares soportado  en aereo</t>
  </si>
  <si>
    <t>Desm.cable de pares autosoport.en aereo</t>
  </si>
  <si>
    <t>Desm.cable de pares en edificio</t>
  </si>
  <si>
    <t>Desm.cable de pares en c.t.</t>
  </si>
  <si>
    <t>Desm. cable de suspension y accesorios</t>
  </si>
  <si>
    <t>Desmont. varilla hierro galvaniz c.aereo</t>
  </si>
  <si>
    <t>Desmont. ancla pared para cruce aereo</t>
  </si>
  <si>
    <t>Desm.tubo de salida a poste o edificio</t>
  </si>
  <si>
    <t>Desm. elemento de emp. cr/arq/zanja/ct</t>
  </si>
  <si>
    <t>Desm. elemento de emp. en aereo</t>
  </si>
  <si>
    <t>Desm. elemento de emp. en edificio</t>
  </si>
  <si>
    <t>Desm.caja terminal en aereo o edificio</t>
  </si>
  <si>
    <t>Desm.caja intemp c/tetrap.o caj.interior</t>
  </si>
  <si>
    <t>Desm.caja o armario (nelmic) regenerac.</t>
  </si>
  <si>
    <t>Desm. caja de carga</t>
  </si>
  <si>
    <t>Desm.regleta atornillada en armario</t>
  </si>
  <si>
    <t>Desm.bast.regl. en arm./caja interc./ct</t>
  </si>
  <si>
    <t>Desm.regleta insertada en armario</t>
  </si>
  <si>
    <t>Desm. acometida/s</t>
  </si>
  <si>
    <t>Desm.  puente en punto de interconex</t>
  </si>
  <si>
    <t>Desm. regleta atornillada en central</t>
  </si>
  <si>
    <t>Desm. regleta insertada en central</t>
  </si>
  <si>
    <t>Desm. puente en repartidor (c.t.)</t>
  </si>
  <si>
    <t>Des. cab coax. enterr chat. (inc ripead)</t>
  </si>
  <si>
    <t>Des. cab coax. en canalizacion  chatarra</t>
  </si>
  <si>
    <t>Des. cab coax. en ct  chatarra</t>
  </si>
  <si>
    <t>Desm.cable de pares en zanja inc ripeado</t>
  </si>
  <si>
    <t>Desm.masivo de cab.pares sin serv. soportado en</t>
  </si>
  <si>
    <t>Desm.masivo de cab.pares sin serv. autosoportado</t>
  </si>
  <si>
    <t>Desm.masivo de cab.pares sin serv.edificio</t>
  </si>
  <si>
    <t>Suplemento desmonte de cable tipo B en canalizado</t>
  </si>
  <si>
    <t>Desmontar caja interconexion o armario</t>
  </si>
  <si>
    <t>Desm. caja terminal y acometidas sin servicio</t>
  </si>
  <si>
    <t>Desm.cable monofibra monomodo c/c o s/c</t>
  </si>
  <si>
    <t>Desm.cable fo en canalizacion</t>
  </si>
  <si>
    <t>Desm.cable fo en conducto enterrado</t>
  </si>
  <si>
    <t>Desm.cable fo en aereo</t>
  </si>
  <si>
    <t>Desm.cable fo en edificio</t>
  </si>
  <si>
    <t>Desm.cable fo en central telefonica</t>
  </si>
  <si>
    <t>Desm.subconducto y acometida</t>
  </si>
  <si>
    <t>Desm.elemento de empalme fo</t>
  </si>
  <si>
    <t>Desm.armario de empalm.y repart 16,32f.o</t>
  </si>
  <si>
    <t>Desm.armario terminal de abonado</t>
  </si>
  <si>
    <t>Desm.armario ptro</t>
  </si>
  <si>
    <t>Desm.roseta f.o.</t>
  </si>
  <si>
    <t>Desm.conj.de empalme y repart.64/128 f.o</t>
  </si>
  <si>
    <t>Desm.bandeja de conect.empalme y/o divis</t>
  </si>
  <si>
    <t>Desmontar caja de derivación en planta</t>
  </si>
  <si>
    <t>Desmontar caja terminal óptica</t>
  </si>
  <si>
    <t>Desm.cable fo en vertical (riser)</t>
  </si>
  <si>
    <t>Desmontar acometida/s f.o.</t>
  </si>
  <si>
    <t>Desm.caja de descargadores</t>
  </si>
  <si>
    <t>Desm.man.ext.o transd.presion con caja</t>
  </si>
  <si>
    <t>Deriv tierra cont y/o pant cable yo susp</t>
  </si>
  <si>
    <t>Desm.armazon rep.mural 1 vert.tipo&lt;5ver.</t>
  </si>
  <si>
    <t>Desmontaje de subbastidor de 24 filtros OBA.</t>
  </si>
  <si>
    <t>Recup.cub.limp.cab.sop.manip.por.robo</t>
  </si>
  <si>
    <t>Ud.sing.inst.de postes y riostras</t>
  </si>
  <si>
    <t>Ud.sing.inst.de cables de pares</t>
  </si>
  <si>
    <t>Ud.sing.inst.de cables de fibra optica</t>
  </si>
  <si>
    <t>Ud.sing.oba</t>
  </si>
  <si>
    <t>Unidad singular OBA vía RADIO</t>
  </si>
  <si>
    <t>Ud.sing.inst.varios</t>
  </si>
  <si>
    <t>Ud.sing.aver¡as</t>
  </si>
  <si>
    <t>Ud.sing.reparacion provis.pex (cta.ajena</t>
  </si>
  <si>
    <t>Croquis para tlc o trd</t>
  </si>
  <si>
    <t>Ocra aten.dem.n.edif(general)</t>
  </si>
  <si>
    <t>Ocra aten.dem.n.edif(adicional)(pto.ter)</t>
  </si>
  <si>
    <t>Ocra generica (general)</t>
  </si>
  <si>
    <t>Ocra generica (adicional)(punto)</t>
  </si>
  <si>
    <t>Ocra analisis de red sin actuacion</t>
  </si>
  <si>
    <t>Ud.sing.información para ocra</t>
  </si>
  <si>
    <t>Proyecto especifico (red)</t>
  </si>
  <si>
    <t>Zonificación para despliegue FO</t>
  </si>
  <si>
    <t>Supl.cala reparac. 4a20cond.ocupados</t>
  </si>
  <si>
    <t>Plus nocturno</t>
  </si>
  <si>
    <t>Plus festivo</t>
  </si>
  <si>
    <t>Bonus de lineas y cables</t>
  </si>
  <si>
    <t>Supl.urgencia lineas y cables</t>
  </si>
  <si>
    <t>Supl.urgencia lineas y cables con o.c.</t>
  </si>
  <si>
    <t>Suplemento SMA, cumplimiento jalones R9 + B2</t>
  </si>
  <si>
    <t>Instalación dispositivo avifauna</t>
  </si>
  <si>
    <t>Revision y comprobacion de poste</t>
  </si>
  <si>
    <t>Colocar poste madera/fibra/horm.sin bas.</t>
  </si>
  <si>
    <t>Inst.post.mad./fib./horm.sin bas.</t>
  </si>
  <si>
    <t>Inst.post.horm.con basamento</t>
  </si>
  <si>
    <t>Corregir emplazam.de poste sin basamento</t>
  </si>
  <si>
    <t>Identificar poste</t>
  </si>
  <si>
    <t>Inst.riostra economica</t>
  </si>
  <si>
    <t>Inst.riostra standard tirante 500</t>
  </si>
  <si>
    <t>Inst.riostra standard tirante 1500/2000</t>
  </si>
  <si>
    <t>Tens/coloc/sust.cualq.cab.rios/post.mozo</t>
  </si>
  <si>
    <t>Inst.   tubo proteccion riostr.existente</t>
  </si>
  <si>
    <t>Senaliz.tubo proteccion riostr.existente</t>
  </si>
  <si>
    <t>Coloc.conj.pelda¤os y estrib. en poste</t>
  </si>
  <si>
    <t>Cambio poste de madera</t>
  </si>
  <si>
    <t>Rellenar 8 alveolos en poste de hormigon</t>
  </si>
  <si>
    <t>Tensar y nivelar circuito instalado</t>
  </si>
  <si>
    <t>Recuperar cable de pares en canalizacion</t>
  </si>
  <si>
    <t>Inst.cable en canalizacion grupo "a"</t>
  </si>
  <si>
    <t>Inst.cable en canalizacion grupo "b"</t>
  </si>
  <si>
    <t>Inst.cable en zanja &lt;=  100 pares</t>
  </si>
  <si>
    <t>Inst.cable en zanja &gt;   100 pares</t>
  </si>
  <si>
    <t>Inst.cable soportado en aereo</t>
  </si>
  <si>
    <t>Inst.cable autosoportado en aereo</t>
  </si>
  <si>
    <t>Inst.cable de pares en edificio</t>
  </si>
  <si>
    <t>Inst.cable de pares en c.t.</t>
  </si>
  <si>
    <t>Supl.por tender cable en conducto ocup.</t>
  </si>
  <si>
    <t>Tend.prov.cable de pares aereo o edific.</t>
  </si>
  <si>
    <t>Inst. cable de suspension y accesorios</t>
  </si>
  <si>
    <t>Reinst.o trasl.cable en edificio</t>
  </si>
  <si>
    <t>Trasl.cable de pares y/o susp.en aereo</t>
  </si>
  <si>
    <t>Trasl.extremo cable fach.a poste o vice.</t>
  </si>
  <si>
    <t>Confecc.reten.final/firme en cab.existen</t>
  </si>
  <si>
    <t>Cosido cable/s actual/es al de suspens.</t>
  </si>
  <si>
    <t>Descoser cable/s actual/es</t>
  </si>
  <si>
    <t>Instalar varilla hierro galvaniz c.aereo</t>
  </si>
  <si>
    <t>Instalar ancla pared para cruce aereo</t>
  </si>
  <si>
    <t>Inst.tubo de salida a poste o edificio</t>
  </si>
  <si>
    <t>Trasladar tubo de salida con cable</t>
  </si>
  <si>
    <t>Prep.extr.cab.tend.tubo corrug.   &lt;=300p</t>
  </si>
  <si>
    <t>Prep.extr.cab.tend.tubo corrug.400a2400p</t>
  </si>
  <si>
    <t>Prep.extr.cab/sangr.cub.    &lt;=300p (emp.</t>
  </si>
  <si>
    <t>Prep.extr.cab/sangr.cub. 400a2400p (emp.</t>
  </si>
  <si>
    <t>Prep.extr.cab arm/caj.i/ct   &lt;=100p(ter.</t>
  </si>
  <si>
    <t>Prep.extr.cab arm/caj.i/ct150a 400p(ter.</t>
  </si>
  <si>
    <t>Prep.extr.cab arm/caj.i/ct600a2400p(ter.</t>
  </si>
  <si>
    <t>Instalar elemento de empalme en cr</t>
  </si>
  <si>
    <t>Instalar elemento de empalme en arqueta</t>
  </si>
  <si>
    <t>Instalar elemento de empalme en zanja</t>
  </si>
  <si>
    <t>Instalar elemento de empalme en central</t>
  </si>
  <si>
    <t>Instalar elemento de empalme en aereo</t>
  </si>
  <si>
    <t>Instalar elemento de empalme en edifici</t>
  </si>
  <si>
    <t>Reapertura y cierre elemento emp arqueta</t>
  </si>
  <si>
    <t>Reapertura y cierre elemento emp aereo</t>
  </si>
  <si>
    <t>Reapertura y cierre elemento emp edifici</t>
  </si>
  <si>
    <t>Sustituir disco cierre elemento empalme.</t>
  </si>
  <si>
    <t>Inst.pcr-multiple</t>
  </si>
  <si>
    <t>Inst.caja terminal en aereo</t>
  </si>
  <si>
    <t>Inst.caja terminal en edificio</t>
  </si>
  <si>
    <t>Inst.cajetin interior</t>
  </si>
  <si>
    <t>Inst.caja/armario de regen.(nelmic)</t>
  </si>
  <si>
    <t>Inst.regleta atornillada en armario</t>
  </si>
  <si>
    <t>Inst.bast.p/regl.en arm/caj.interc./ct</t>
  </si>
  <si>
    <t>Inst.regleta insertada en armario</t>
  </si>
  <si>
    <t>Conectar par a regleta en armario</t>
  </si>
  <si>
    <t>Desconectar par de regleta en armario</t>
  </si>
  <si>
    <t>Emp.par torsion c/conect.indiv.o deriv</t>
  </si>
  <si>
    <t>Emp.par conector modular ms-2</t>
  </si>
  <si>
    <t>Limpiar par (solo en caso de desmonte)</t>
  </si>
  <si>
    <t>Supl.empalmar par en serv./corte de par</t>
  </si>
  <si>
    <t>Rotular elem.empalme/terminacion/asoc</t>
  </si>
  <si>
    <t>Sust.etiqu.identificativa en cable(prim)</t>
  </si>
  <si>
    <t>Sust.etiqu.identificativa en cable(&gt;1)</t>
  </si>
  <si>
    <t>Localizar empalme de cable enterrado</t>
  </si>
  <si>
    <t>Inst. acometida</t>
  </si>
  <si>
    <t>Instalar acometida provisionalmente</t>
  </si>
  <si>
    <t>Trasladar acometida/s en aereo</t>
  </si>
  <si>
    <t>Trasladar acometida/s en edificio</t>
  </si>
  <si>
    <t>Reasignar acometida</t>
  </si>
  <si>
    <t>Tender puente en punto de interconex</t>
  </si>
  <si>
    <t>Manip.extremo de puente y/o acometida</t>
  </si>
  <si>
    <t>Supl.por tender pte.corte/transf/cbo.num</t>
  </si>
  <si>
    <t>Timbrar puente</t>
  </si>
  <si>
    <t>Prueba de abonado desde c.t.</t>
  </si>
  <si>
    <t>Modificar red int.cliente por reasignac.</t>
  </si>
  <si>
    <t>Instalar acometida interior red dispers.</t>
  </si>
  <si>
    <t>Retensar cable de suspension</t>
  </si>
  <si>
    <t>Inst. regleta atornillada en central</t>
  </si>
  <si>
    <t>Inst. regleta insertada central</t>
  </si>
  <si>
    <t>Conectar par a regleta en central</t>
  </si>
  <si>
    <t>Desconectar par de regleta central</t>
  </si>
  <si>
    <t>Tender puente en repartidor (c.t.)</t>
  </si>
  <si>
    <t>Despliegue de la red base final cobre</t>
  </si>
  <si>
    <t>Tapones de obturación en proyectos de desmonte de cobre</t>
  </si>
  <si>
    <t>Sust.tapa/mod c.r./arqut exist sum telf</t>
  </si>
  <si>
    <t>Obturacion cond.ocup/vacante c.r. o arq.</t>
  </si>
  <si>
    <t>Reparar pedest armario/punto de interc.</t>
  </si>
  <si>
    <t>Instalar caja de interconexión o armari</t>
  </si>
  <si>
    <t>Obturacion cond.vacante c.r. o arq.</t>
  </si>
  <si>
    <t>Obturacion cond.ocupa c.r. o arq.</t>
  </si>
  <si>
    <t>Inst.cable de pares en galeria</t>
  </si>
  <si>
    <t>Registrar ruta y comprobar conducto</t>
  </si>
  <si>
    <t>Inst.cable monofib.con conec.c/s adaptad</t>
  </si>
  <si>
    <t>Inst.cable &lt;= 8 fo en canal</t>
  </si>
  <si>
    <t>Inst.cable &gt;  8 fo en canal</t>
  </si>
  <si>
    <t>Inst.cable fo en conducto enterrado</t>
  </si>
  <si>
    <t>Inst.cable fo autosoportado</t>
  </si>
  <si>
    <t>Inst.cable fo en edificio</t>
  </si>
  <si>
    <t>Inst.cable fo en c.t.</t>
  </si>
  <si>
    <t>Inst.subconducto polit. a.d.</t>
  </si>
  <si>
    <t>Recuperar cable de f.o.</t>
  </si>
  <si>
    <t>Tras.cable fo y/o suspension en aereo</t>
  </si>
  <si>
    <t>Tras.extr.cab.fo fachada-poste o vicev.</t>
  </si>
  <si>
    <t>Reins.o trasladar cable fo en edificio</t>
  </si>
  <si>
    <t>Sust.etiqueta identif.cable f.o. (una)</t>
  </si>
  <si>
    <t>Sust.etiqueta identif.cable f.o. ( &gt;1)</t>
  </si>
  <si>
    <t>Preparar extremo cable fo</t>
  </si>
  <si>
    <t>Preparar extremo/s cab.fo c/sangrado</t>
  </si>
  <si>
    <t>Preparar tubo cable de f.o.</t>
  </si>
  <si>
    <t>Preparar tubo/s cab.de f.o. con sangrado</t>
  </si>
  <si>
    <t>Inst.elem.empalme (caja y armario) fo</t>
  </si>
  <si>
    <t>Inst.bandeja de empalme y reparticion</t>
  </si>
  <si>
    <t>Inst.filtro optico</t>
  </si>
  <si>
    <t>Inst.armario de empalme y repart.32 fo</t>
  </si>
  <si>
    <t>Inst.envolvente de rom o de ampl. 1 mod.</t>
  </si>
  <si>
    <t>Inst.envolvente de rom 3 modulos</t>
  </si>
  <si>
    <t>Inst.envolvente rom 9 modulos o integral</t>
  </si>
  <si>
    <t>Inst.armario terminal de abonado</t>
  </si>
  <si>
    <t>Inst.armario ptro mural</t>
  </si>
  <si>
    <t>Inst.armario ptro pedestal</t>
  </si>
  <si>
    <t>Inst.roseta f.o.</t>
  </si>
  <si>
    <t>Inst.soporte termin.f.o. bastidor etsi</t>
  </si>
  <si>
    <t>Inst.placa soporte</t>
  </si>
  <si>
    <t>Inst.bandeja de conect/empalme/divisores</t>
  </si>
  <si>
    <t>Empalmar f.o. monomodo</t>
  </si>
  <si>
    <t>Suplemento empalme de fo. en servicio</t>
  </si>
  <si>
    <t>Suplem.trabajos fo.red dispers/distrib</t>
  </si>
  <si>
    <t>Inst.cab.fo edificio sobr.cab.exist</t>
  </si>
  <si>
    <t>Inst.acom.f.o edif.sobre anilla grapa</t>
  </si>
  <si>
    <t>Empalmar f.o. monomodo menos de 16</t>
  </si>
  <si>
    <t>Empalmar f.o. monomodo de 16 a 64</t>
  </si>
  <si>
    <t>Empalmar f.o. monomodo mas 64</t>
  </si>
  <si>
    <t>Prep.ext.cab.fo.estruct.microm.c/s sang</t>
  </si>
  <si>
    <t>Prep.micromod.cab.fo c/s sangrado</t>
  </si>
  <si>
    <t>Instalar caja de derivación en planta</t>
  </si>
  <si>
    <t>Instalar caja terminal óptica</t>
  </si>
  <si>
    <t>Inst.cable fo en conducto enterr &gt;2500m</t>
  </si>
  <si>
    <t>Tend.provis.cab.fo.en.aereo o edificio</t>
  </si>
  <si>
    <t>Inst.cable fo en galeria de servicio</t>
  </si>
  <si>
    <t>Inst.cable fo en vertical (riser)</t>
  </si>
  <si>
    <t>Instalar o sustituir divisor f.o.</t>
  </si>
  <si>
    <t>Instalar acometida f.o.</t>
  </si>
  <si>
    <t>Instalar acometida f.o. provisionalmente</t>
  </si>
  <si>
    <t>Trasladar acometida/s f.o. en aereo</t>
  </si>
  <si>
    <t>Trasladar acometida/s f.o. en edificio</t>
  </si>
  <si>
    <t>Reasignar acometida f.o.</t>
  </si>
  <si>
    <t>Manipular extremo puente o acometid f.o.</t>
  </si>
  <si>
    <t>Supl.tender puent corte transf renum f.o</t>
  </si>
  <si>
    <t>Timbrar puente f.o.</t>
  </si>
  <si>
    <t>Modific red int cliente por reasig f.o.</t>
  </si>
  <si>
    <t>Inst acom f.o. interior en red dispers</t>
  </si>
  <si>
    <t>Empalmar f.o. monomodo en riser</t>
  </si>
  <si>
    <t>Inst cab.fo. soportado.en aereo</t>
  </si>
  <si>
    <t>Empalmar f.o. monomodo menos de  8</t>
  </si>
  <si>
    <t>Empalmar f.o. monomodo de 9 a 64</t>
  </si>
  <si>
    <t>Pago por UI</t>
  </si>
  <si>
    <t>Inst.band emp conect bast etsi</t>
  </si>
  <si>
    <t>Inst.caja de descargadores</t>
  </si>
  <si>
    <t>Inst. o sust. man.ext.o transd.presion</t>
  </si>
  <si>
    <t>Inst.valv.(event/fija/roscad)/conj inyec</t>
  </si>
  <si>
    <t>Conf.obt.con o sin valvula + sellado</t>
  </si>
  <si>
    <t>Conf.puente de paso.</t>
  </si>
  <si>
    <t>Instalar valvula o conjunto inyecc gas</t>
  </si>
  <si>
    <t>Conf.obt valv y sellar con mang term</t>
  </si>
  <si>
    <t>Inst.electr.varilla/cab.pirep t/t.</t>
  </si>
  <si>
    <t>Inst.repart.mural, 1 vert.tipo 2/3 vert.</t>
  </si>
  <si>
    <t>Inst.perfil de hierro pintado o galvan.</t>
  </si>
  <si>
    <t>Inst.soporte cables   pintado o galvan.</t>
  </si>
  <si>
    <t>Inst.escalerilla soporte</t>
  </si>
  <si>
    <t xml:space="preserve">Puenteo Voz+Datos a Línea XDSL en subbastidor de filtros </t>
  </si>
  <si>
    <t>Cambio Subbastidor de filtros ADSL2+ tipo Montseny</t>
  </si>
  <si>
    <t xml:space="preserve"> Cambio Subbastidor de 24 filtros VDSL2 tipo Montseny </t>
  </si>
  <si>
    <t xml:space="preserve">Puenteo Voz+Datos a Línea XDSL en los 4 Subbast. de 24 filtros de un TCI </t>
  </si>
  <si>
    <t>Cambio del conj. de cuatro subbastidores de 24 filtros  ADSL2+  (TCI).</t>
  </si>
  <si>
    <t>Cambio del conj. de cuatro subbastidores de 24 filtros  VDSL2  (TCI).</t>
  </si>
  <si>
    <t xml:space="preserve">Instalación Bloque de Regletas de 200 p. para monosplitter VDSL2 (TCI). </t>
  </si>
  <si>
    <t xml:space="preserve">Inst. soporte Bloque de Regletas de 200 p. para monosplitter VDSL2 (TCI). </t>
  </si>
  <si>
    <t>Instalar soporte de cables de 100 a 300 mm.</t>
  </si>
  <si>
    <t>Instalar soporte de cables de 400 a 600 mm</t>
  </si>
  <si>
    <t>Instalar soporte cables (“rejiband”) de 100 a 400 mm</t>
  </si>
  <si>
    <t>Instalar soporte cables (“rejiband”) de 500 a 600 mm</t>
  </si>
  <si>
    <t>Instalar perfil de hierro (2 verticales) en jaula RdO.</t>
  </si>
  <si>
    <t>Instalar bastidor RdO incluyendo perfiles de hierro (2 verticales)</t>
  </si>
  <si>
    <t>Inst. soporte regleta qdf</t>
  </si>
  <si>
    <t>Inst. regleta qdf (100 p)</t>
  </si>
  <si>
    <t>Tendido de cable XDSL (100 p)</t>
  </si>
  <si>
    <t>Prep.extr.cab.100 p (para conex regletas</t>
  </si>
  <si>
    <t>Conectar par a regleta</t>
  </si>
  <si>
    <t>Desconectar par de regleta</t>
  </si>
  <si>
    <t xml:space="preserve">Preparar y conectar extremo cable de 100p a “conectores” </t>
  </si>
  <si>
    <t>Instalar bastidor de filtros</t>
  </si>
  <si>
    <t>Instalar unidad de filtros</t>
  </si>
  <si>
    <t>Medidas de comprobación en tendido compartido</t>
  </si>
  <si>
    <t>Identificacion/rotulac.etiqu.en cables</t>
  </si>
  <si>
    <t>Medida resistencia toma de tierra</t>
  </si>
  <si>
    <t>Medidas comprob bf 1par cab.pares simet.</t>
  </si>
  <si>
    <t>Medidas finales    1par cab.pares simet.</t>
  </si>
  <si>
    <t>Medidas comprob.af 1par cab.pares simet.</t>
  </si>
  <si>
    <t>Medida retroesp.1fo monomodo enlace</t>
  </si>
  <si>
    <t>Medida retroesp.1fo monomodo abonado</t>
  </si>
  <si>
    <t>Medida perdida inserccion 1fo monomodo</t>
  </si>
  <si>
    <t>Medida alta de abonado 1fo monomodo</t>
  </si>
  <si>
    <t>Medida de comprob.de perd.1fo en bobina</t>
  </si>
  <si>
    <t>Prueba confiabilidad equipo tx-term f.o.</t>
  </si>
  <si>
    <t>Medida retroesp. 1fo de enlace</t>
  </si>
  <si>
    <t>Medida retroesp. 1fo de abonado</t>
  </si>
  <si>
    <t>Localizar averia/s en cable metalico/fo</t>
  </si>
  <si>
    <t>Aten alar.pres./loc.fugas via neum ppal.</t>
  </si>
  <si>
    <t>Reparar fugas o grietas en subterraneo</t>
  </si>
  <si>
    <t>Reparar fugas o grietas en aereo/edific.</t>
  </si>
  <si>
    <t>Atencion de incidencias</t>
  </si>
  <si>
    <t>Pintura cualq.tipo.paramento vert/horiz</t>
  </si>
  <si>
    <t>Demolicion y tapado de escayola</t>
  </si>
  <si>
    <t>Sum.y.coloc reg.estanco 30x30cm</t>
  </si>
  <si>
    <t>Apert/cierre roza pared ladrill.sencillo</t>
  </si>
  <si>
    <t>Ejec.pasamuros.cualquier.superficie</t>
  </si>
  <si>
    <t>Rotura y reposic.corta.fuegos.paso.tubos</t>
  </si>
  <si>
    <t>Taladro armario chapa</t>
  </si>
  <si>
    <t>Taladro muro macizo</t>
  </si>
  <si>
    <t>Sellado taladro cualquier diametro</t>
  </si>
  <si>
    <t>Sum.y.coloc.canaleta.cualquier.diamensi.</t>
  </si>
  <si>
    <t>Sum.y.coloc.tub.forroplast.cualq.diame</t>
  </si>
  <si>
    <t>Instalar baliza electronica</t>
  </si>
  <si>
    <t>Revisión de infraestructura de cr planex</t>
  </si>
  <si>
    <t>Revisión de infraestructura  arq planex</t>
  </si>
  <si>
    <t>Actualiz reg. de infraestr de cr planex</t>
  </si>
  <si>
    <t>Actualiz reg. de infraest de arq planex</t>
  </si>
  <si>
    <t>Transp.camión-grua alamacen emergencia</t>
  </si>
  <si>
    <t>Instalar alarma</t>
  </si>
  <si>
    <t>Reparacion poca entidad en arquetas</t>
  </si>
  <si>
    <t>Ejec. paso sobre forjado o muro de carga</t>
  </si>
  <si>
    <t>Sustitución de cerradura</t>
  </si>
  <si>
    <t>Sustitución de herrajes y/o elemento/s de armario</t>
  </si>
  <si>
    <t>Instalacion dispositivo avifauna</t>
  </si>
  <si>
    <t>Descuento franquicia TLC del PXP</t>
  </si>
  <si>
    <t>Pago por Planta PEX mano de obra</t>
  </si>
  <si>
    <t>Revisión infraestructura canalizada para servicio Marco</t>
  </si>
  <si>
    <t>Uso de medios auxiliares para trabajos en altura en PEX</t>
  </si>
  <si>
    <t>Unidad singular de canalizacion</t>
  </si>
  <si>
    <t>Ud.sing.de canalizacion</t>
  </si>
  <si>
    <t>Ud.sing.de zanja</t>
  </si>
  <si>
    <t>Ud.sing.de c maras y arquetas</t>
  </si>
  <si>
    <t>Prisma canal. 1 cond.pvc  h &lt;= 0,90 m.</t>
  </si>
  <si>
    <t>Prisma canal. 2 cond.pvc  h &lt;= 0,90 m.</t>
  </si>
  <si>
    <t>Prisma canal. 4 cond.pvc  h &lt;= 1,05 m.</t>
  </si>
  <si>
    <t>Prisma canal. 6 cond.pvc  h &lt;= 1,30 m.</t>
  </si>
  <si>
    <t>Prisma canal. 8 cond.pvc  h &lt;= 1,30 m.</t>
  </si>
  <si>
    <t>Prisma canal.16 cond.pvc  h &lt;= 1,30 m.</t>
  </si>
  <si>
    <t>Prisma canal.24 cond.pvc  h &lt;= 1,60 m.</t>
  </si>
  <si>
    <t>Incremento    1 cond.pvc  entre  2 y 16</t>
  </si>
  <si>
    <t>Incremento    1 cond.pvc  entre 16 y 24</t>
  </si>
  <si>
    <t>Incremento    1 cond.pvc  entre 24 y 36</t>
  </si>
  <si>
    <t>Prisma canal. 1 cond.corr.h &lt;= 0,90 m.</t>
  </si>
  <si>
    <t>Prisma canal. 2 cond.corr.h &lt;= 0,90 m.</t>
  </si>
  <si>
    <t>Prisma canal. 4 cond.corr.h &lt;= 1,05 m.</t>
  </si>
  <si>
    <t>Prisma canal. 6 cond.corr.h &lt;= 1,30 m.</t>
  </si>
  <si>
    <t>Prisma canal. 8 cond.corr.h &lt;= 1,30 m.</t>
  </si>
  <si>
    <t>Prisma canal.16 cond.corr.h &lt;= 1,30 m.</t>
  </si>
  <si>
    <t>Prisma canal.24 cond.corr.h &lt;= 1,60 m.</t>
  </si>
  <si>
    <t>Incremento    1 cond.corr.entre  2 y 16</t>
  </si>
  <si>
    <t>Incremento    1 cond.corr.entre 16 y 24</t>
  </si>
  <si>
    <t>Incremento    1 cond.corr.entre 24 y 36</t>
  </si>
  <si>
    <t>Cond.reparac.formado con medias ca¤as</t>
  </si>
  <si>
    <t>Cond.pvc para reparaciones</t>
  </si>
  <si>
    <t>Cond.corrugado para reparaciones</t>
  </si>
  <si>
    <t>Supl.prisma canal en mina perforacion</t>
  </si>
  <si>
    <t>Supl.por dificultades de trepanacion</t>
  </si>
  <si>
    <t>Supl.prof.por cada 0,25 mts. de exceso</t>
  </si>
  <si>
    <t>Supl.proteccion prisma tubo corrugado</t>
  </si>
  <si>
    <t>Supl.por conducto/trit prisma especial</t>
  </si>
  <si>
    <t>Supl.m.l.relleno de hormigon</t>
  </si>
  <si>
    <t>Supl.m.l.relleno de material gran.aport.</t>
  </si>
  <si>
    <t>Demol.pavimentos superficiales y bases</t>
  </si>
  <si>
    <t>Repos.pavimentos superficiales y bases</t>
  </si>
  <si>
    <t>Inst.conducto en pared de c.r./arq exist</t>
  </si>
  <si>
    <t>Inst.conducto en muro de cerram.exist.</t>
  </si>
  <si>
    <t>Inst.tritubo en canalizacion</t>
  </si>
  <si>
    <t>Terminacion canal con pedestal arm.peque</t>
  </si>
  <si>
    <t>Mandrilado conducto canalizacion exist.</t>
  </si>
  <si>
    <t>Supl.cruce can con infraestru ocup exist</t>
  </si>
  <si>
    <t>Supl.prol/intercep. &lt;=3cond.ocupados</t>
  </si>
  <si>
    <t>Supl.prol/intercep.4a20cond.ocupados</t>
  </si>
  <si>
    <t>Supl.rebaje/var.    &lt;=3cond.ocupados</t>
  </si>
  <si>
    <t>Supl.rebaje/var.   4a20cond.ocupados</t>
  </si>
  <si>
    <t>Calicata reconocimiento en canalizacion</t>
  </si>
  <si>
    <t>Calicata de comprobacion en canalizacion</t>
  </si>
  <si>
    <t>Calicata de reparacion en canalizacion</t>
  </si>
  <si>
    <t>Terminacion canal con pedestal arm.grand</t>
  </si>
  <si>
    <t>Minican 1 cond.  40 h29 a 5 l&lt;300</t>
  </si>
  <si>
    <t>Minican 1 cond.  40 h29 a 5 l&gt;300</t>
  </si>
  <si>
    <t>Minican 1 trit.v 40 h37 a 5 l&lt;300</t>
  </si>
  <si>
    <t>Minican 1 trit.v 40 h37 a 5 l&gt;300</t>
  </si>
  <si>
    <t>Minican 1 trit.  40 h49 a20 con prot</t>
  </si>
  <si>
    <t>Minican 2 trit.  40 h53 a20 con prot</t>
  </si>
  <si>
    <t>Minican 3 trit.  40 h57 a20 con prot</t>
  </si>
  <si>
    <t>Minican 2c63+1trit 40 h55.3 a20con prot</t>
  </si>
  <si>
    <t>Minican 1 trit.  40 h24 a20 hormigonado</t>
  </si>
  <si>
    <t>Minican 2 trit.  40 h28 a20 hormigonado</t>
  </si>
  <si>
    <t>Minican 3 trit.  40 h32 a20 hormigonado</t>
  </si>
  <si>
    <t>Minican 2c63+1trit 40 h30.3 a20 hormig2</t>
  </si>
  <si>
    <t>Demolición de pedestal</t>
  </si>
  <si>
    <t>Zanja enterr.directo h&lt;=1,25 mts.prof.</t>
  </si>
  <si>
    <t>Supl.prof.por cada 0,50 mts. de exceso</t>
  </si>
  <si>
    <t>Supl.relleno de hormigon</t>
  </si>
  <si>
    <t>Supl.relleno de material granul.aportac.</t>
  </si>
  <si>
    <t>Inst.de tritubo</t>
  </si>
  <si>
    <t>Inst.de conducto</t>
  </si>
  <si>
    <t>Prot.hormig zanja con conductos/tritubos</t>
  </si>
  <si>
    <t>Supl.cruce con infraestr ocupada existen</t>
  </si>
  <si>
    <t>Supl.hoyo infraestr exist (cable servic)</t>
  </si>
  <si>
    <t>Supl.reba/var.infr.exi.&lt;=3 cab/cond.ocup</t>
  </si>
  <si>
    <t>Inst.trit/cond.pead repar/mod.infr.exist</t>
  </si>
  <si>
    <t>Inst.empalme para reparaciones tubo pead</t>
  </si>
  <si>
    <t>Confeccion hoyo en zanja (adicional)</t>
  </si>
  <si>
    <t>Suplemento por mayor dimension de hoyo</t>
  </si>
  <si>
    <t>Calicata de reconocimiento en zanja</t>
  </si>
  <si>
    <t>Calicata de comprobacion en zanja</t>
  </si>
  <si>
    <t>Inst.c.r.tipo gbrf  y gbrf -c</t>
  </si>
  <si>
    <t>Inst.c.r.tipo gabpf y gabpf-c</t>
  </si>
  <si>
    <t>Inst.modulo de buzon prefabricado.</t>
  </si>
  <si>
    <t>Inst.arqut df-l,df-ii,df-iii,dfo y dfo-c</t>
  </si>
  <si>
    <t>Inst.arqueta  hf-ii,hf-iii</t>
  </si>
  <si>
    <t>Inst.arqueta  mf</t>
  </si>
  <si>
    <t>C.r.in situ tipo gbr</t>
  </si>
  <si>
    <t>C.r.in situ resto tipos de la serie "r"</t>
  </si>
  <si>
    <t>C.r.in situ tipo abp (2.20)</t>
  </si>
  <si>
    <t>C.r.in situ resto tipos serie "p" (2.20)</t>
  </si>
  <si>
    <t>Arqueta in situ tipo "d"</t>
  </si>
  <si>
    <t>Arqueta in situ tipo "h"</t>
  </si>
  <si>
    <t>Arqueta in situ tipo "m"</t>
  </si>
  <si>
    <t>Superficie interior para camara  singul.</t>
  </si>
  <si>
    <t>Superficie interior para arqueta singul.</t>
  </si>
  <si>
    <t>Supl.por increm.altura interior.(0,24)</t>
  </si>
  <si>
    <t>Supl.prof.por cada 0,50 mts.alt.tierras</t>
  </si>
  <si>
    <t>Modif rasante cubierta en cr/arq.exist.</t>
  </si>
  <si>
    <t>Supl.transf.c.r.arq exist.&lt;= 8 cond.ocu.</t>
  </si>
  <si>
    <t>Supl.transf.c.r./arq exist.9a35 cond.ocu</t>
  </si>
  <si>
    <t>Supl.c.r./arq rec.infr.exist.&lt;= 3 c.ocu.</t>
  </si>
  <si>
    <t>Supl.c.r./arq rec.infr.exist.4a20 c.ocu.</t>
  </si>
  <si>
    <t>Sust.marco arq.exist.sumistr.contratista</t>
  </si>
  <si>
    <t>Sust.tap.arq/cr.exist.aport.contr&lt;=2500</t>
  </si>
  <si>
    <t>Sust.tap.arq/cr.exist.aport.contr&gt; 2500</t>
  </si>
  <si>
    <t>Reposicion de hito en obra existente</t>
  </si>
  <si>
    <t>Bonus de obra civil</t>
  </si>
  <si>
    <t>Sust.marco/cerco arq/c.r exist sum.telef</t>
  </si>
  <si>
    <t>Arqueta in situ tipo "dm"</t>
  </si>
  <si>
    <t>Mejora estanq.rehab.inter.cr insitu p</t>
  </si>
  <si>
    <t>Mejora estanq.rehab.inter.cr insitu r</t>
  </si>
  <si>
    <t>Instalacion arqueta tipo dmf</t>
  </si>
  <si>
    <t>Sust.marco y tapas arq/c.r.exist.sum tde</t>
  </si>
  <si>
    <t>Calicata de reconocimiento c.r./arqueta</t>
  </si>
  <si>
    <t>Calicata de comprobacion c.r./arqueta</t>
  </si>
  <si>
    <t>Tup construccion canalizacion</t>
  </si>
  <si>
    <t>Tup construccion basamento de cabina</t>
  </si>
  <si>
    <t>Tup demolicion basamento de cabina</t>
  </si>
  <si>
    <t>Circuito sin tendido</t>
  </si>
  <si>
    <t>Sin definir</t>
  </si>
  <si>
    <t>Constitución de haz de circuito de Enlace sobre fibra existe</t>
  </si>
  <si>
    <t>Repliegue de circuitos Adicional</t>
  </si>
  <si>
    <t>Repliegue de circuios</t>
  </si>
  <si>
    <t>Pago por Kg de cable de cobre</t>
  </si>
  <si>
    <t>Desmonte masivo de cable de pares sin servicio en can</t>
  </si>
  <si>
    <t>Inst.cable en canalizacion grupo</t>
  </si>
  <si>
    <t>Instalar poste de madera, fibra u hormigón sin basamento</t>
  </si>
  <si>
    <t>Gestión CSS</t>
  </si>
  <si>
    <t>Baremo adicional por obra</t>
  </si>
  <si>
    <t>Desmontar poste de hormigón eliminando basamento</t>
  </si>
  <si>
    <t>Instalar poste de hormigón con basamento</t>
  </si>
  <si>
    <t>Seguimiento de Obra</t>
  </si>
  <si>
    <t>Diseño Repliegue de circuitos, Adicional</t>
  </si>
  <si>
    <t>Diseño Repliegue de circuitos</t>
  </si>
  <si>
    <t>Zonificación adicional por objetivo</t>
  </si>
  <si>
    <t>Zonificación unidad genérica por Cabecera</t>
  </si>
  <si>
    <t>Gescalización</t>
  </si>
  <si>
    <t>Unidad singular de c.r. para canal.</t>
  </si>
  <si>
    <t>Zanja con Tritubo Enterrado</t>
  </si>
  <si>
    <t>Instalación de Poste</t>
  </si>
  <si>
    <t>Medidas finales    1par cab.pares simet.</t>
  </si>
  <si>
    <t>Inst. soporte Bloque de Regletas de 200 p. para monosplitter VDSL2 (TCI).</t>
  </si>
  <si>
    <t>Instalación Bloque de Regletas de 200 p. para monosplitter VDSL2 (TCI).</t>
  </si>
  <si>
    <t>Cambio del conj. de cuatro subbastidores de 24 filtros  VDSL2  (TCI).</t>
  </si>
  <si>
    <t>Cambio del conj. de cuatro subbastidores de 24 filtros  ADSL2+  (TCI).</t>
  </si>
  <si>
    <t>Puenteo Voz+Datos a Línea XDSL en los 4 Subbast. de 24 filtros de un TCI</t>
  </si>
  <si>
    <t>Cambio Subbastidor de 24 filtros VDSL2 tipo Montseny</t>
  </si>
  <si>
    <t>Puenteo Voz+Datos a Línea XDSL en subbastidor de filtros</t>
  </si>
  <si>
    <t>Preparación repliegue de circuitos</t>
  </si>
  <si>
    <t>Manip.cab. o elem. fo(emp/term/asoc.)</t>
  </si>
  <si>
    <t>Tapones de obturación en Proyectos de desmonte de Cobre</t>
  </si>
  <si>
    <t>Mejora de la red en edificio</t>
  </si>
  <si>
    <t>Renovación poste de madera, fibra u hormigón sin basamento</t>
  </si>
  <si>
    <t>Baremo Adicional Circuitos complejos</t>
  </si>
  <si>
    <t>C.r.in situ resto tipos serie</t>
  </si>
  <si>
    <t>Inst.c.r.tipo gbrf  y gbrf -c</t>
  </si>
  <si>
    <t>Minican 1 cond.  40 h29 a 5 l&gt;300</t>
  </si>
  <si>
    <t>Supl.rebaje/var.   4a20cond.ocupados</t>
  </si>
  <si>
    <t>Prisma canal.24 cond.pvc  h &lt;= 1,60 m.</t>
  </si>
  <si>
    <t>Prisma canalización 16 conductos H £ 1,30 m.</t>
  </si>
  <si>
    <t>Adicional Replanteo repligue CT</t>
  </si>
  <si>
    <t>Replanteo repliegue en CT</t>
  </si>
  <si>
    <t>SUC, Gestión Semanal de Incidencias: seguimiento de incidencias con EC y con OOLL.</t>
  </si>
  <si>
    <t>SUC, Gestión Semanal de Incidencias: seguimiento "P" rojas</t>
  </si>
  <si>
    <t>SUC, Gestión Semanal de obra: seguimiento de obra con EC</t>
  </si>
  <si>
    <t>Gestión Semanal de Salidas de sala OBRA: Seguimiento y resolución de Incidencias</t>
  </si>
  <si>
    <t>SUC Inviabilidad por Permisos Particulares Denegados</t>
  </si>
  <si>
    <t>SUC Inviabilidad técnica</t>
  </si>
  <si>
    <t>Gestión Usurpaciones</t>
  </si>
  <si>
    <t>Valoración Solicitudes de Uso Compartido (SUC)</t>
  </si>
  <si>
    <t>Elaboración de Informes (Adicional)</t>
  </si>
  <si>
    <t>Elaboración de Informes (General)</t>
  </si>
  <si>
    <t>Ud.sing.de dise¤o</t>
  </si>
  <si>
    <t>2025B</t>
  </si>
  <si>
    <t>2025A</t>
  </si>
  <si>
    <t>TAREA NO VALIDA 2025A CONSULTAR DESPACHO Reasignar acometida f.o.</t>
  </si>
  <si>
    <t>TAREA NO VALIDA 2025A CONSULTAR DESPACHO Medida retroesp.1fo monomodo abonado</t>
  </si>
  <si>
    <t>TAREA NO VALIDA 2025A CONSULTAR DESPACHO - Confecc.reten.final/firme en cab.existen</t>
  </si>
  <si>
    <t>NO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</si>
</sst>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00000"/>
    <numFmt numFmtId="166" formatCode="mmmm\ yyyy"/>
    <numFmt numFmtId="167" formatCode="0.0000"/>
    <numFmt numFmtId="168" formatCode="dd/mm/yyyy;@"/>
    <numFmt numFmtId="169" formatCode="#,##0.0000"/>
    <numFmt numFmtId="170" formatCode="dd/mm/yy;@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FF"/>
      <name val="Times New Roman"/>
      <family val="1"/>
    </font>
    <font>
      <b/>
      <i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u/>
      <sz val="10"/>
      <color rgb="FF0000FF"/>
      <name val="Times New Roman"/>
      <family val="1"/>
    </font>
    <font>
      <sz val="10"/>
      <color rgb="FF0000FF"/>
      <name val="Times New Roman"/>
      <family val="1"/>
    </font>
    <font>
      <b/>
      <i/>
      <sz val="10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0"/>
      <color rgb="FF0000FF"/>
      <name val="Arial"/>
      <family val="2"/>
    </font>
    <font>
      <b/>
      <sz val="12"/>
      <color rgb="FF0000FF"/>
      <name val="Times New Roman"/>
      <family val="1"/>
    </font>
    <font>
      <u/>
      <sz val="8"/>
      <color rgb="FF0000FF"/>
      <name val="Times New Roman"/>
      <family val="1"/>
    </font>
    <font>
      <u/>
      <sz val="10"/>
      <color rgb="FF0000FF"/>
      <name val="Times New Roman"/>
      <family val="1"/>
    </font>
    <font>
      <b/>
      <sz val="10"/>
      <color rgb="FF0000FF"/>
      <name val="Calibri"/>
      <family val="2"/>
      <scheme val="minor"/>
    </font>
    <font>
      <b/>
      <sz val="12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onsolas"/>
      <family val="3"/>
    </font>
    <font>
      <b/>
      <sz val="8"/>
      <color rgb="FF0000FF"/>
      <name val="Times New Roman"/>
      <family val="1"/>
    </font>
    <font>
      <b/>
      <sz val="11"/>
      <color indexed="56"/>
      <name val="Calibri"/>
      <family val="2"/>
    </font>
    <font>
      <sz val="10"/>
      <color indexed="8"/>
      <name val="Calibri"/>
      <family val="2"/>
    </font>
    <font>
      <sz val="8"/>
      <name val="Courier New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7314371166112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">
    <xf numFmtId="0" fontId="0" fillId="0" borderId="0"/>
    <xf numFmtId="0" fontId="5" fillId="0" borderId="0"/>
    <xf numFmtId="0" fontId="1" fillId="0" borderId="0"/>
    <xf numFmtId="0" fontId="5" fillId="0" borderId="0"/>
    <xf numFmtId="0" fontId="29" fillId="0" borderId="0"/>
    <xf numFmtId="0" fontId="28" fillId="8" borderId="20"/>
    <xf numFmtId="0" fontId="30" fillId="7" borderId="21"/>
    <xf numFmtId="0" fontId="31" fillId="0" borderId="0"/>
    <xf numFmtId="0" fontId="32" fillId="0" borderId="0"/>
    <xf numFmtId="0" fontId="33" fillId="0" borderId="0"/>
    <xf numFmtId="0" fontId="34" fillId="0" borderId="22"/>
    <xf numFmtId="0" fontId="27" fillId="0" borderId="23"/>
    <xf numFmtId="0" fontId="35" fillId="0" borderId="24"/>
    <xf numFmtId="0" fontId="1" fillId="0" borderId="0"/>
  </cellStyleXfs>
  <cellXfs count="108"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vertical="center"/>
      <protection locked="0"/>
    </xf>
    <xf numFmtId="165" fontId="15" fillId="0" borderId="9" xfId="0" applyNumberFormat="1" applyFont="1" applyBorder="1" applyAlignment="1" applyProtection="1">
      <alignment horizontal="left" vertical="center"/>
      <protection locked="0"/>
    </xf>
    <xf numFmtId="0" fontId="15" fillId="0" borderId="11" xfId="0" applyFont="1" applyBorder="1" applyAlignment="1" applyProtection="1">
      <alignment vertical="center" wrapText="1"/>
      <protection locked="0"/>
    </xf>
    <xf numFmtId="0" fontId="16" fillId="0" borderId="9" xfId="0" applyFont="1" applyBorder="1" applyAlignment="1" applyProtection="1">
      <alignment horizontal="left" vertical="center"/>
      <protection locked="0"/>
    </xf>
    <xf numFmtId="0" fontId="16" fillId="0" borderId="11" xfId="0" applyFont="1" applyBorder="1" applyAlignment="1" applyProtection="1">
      <alignment horizontal="left" vertical="center" wrapText="1"/>
      <protection locked="0"/>
    </xf>
    <xf numFmtId="166" fontId="9" fillId="0" borderId="9" xfId="0" applyNumberFormat="1" applyFont="1" applyBorder="1" applyAlignment="1" applyProtection="1">
      <alignment horizontal="center" vertical="center" wrapText="1"/>
      <protection locked="0"/>
    </xf>
    <xf numFmtId="168" fontId="9" fillId="0" borderId="11" xfId="0" applyNumberFormat="1" applyFont="1" applyBorder="1" applyAlignment="1" applyProtection="1">
      <alignment horizontal="left" vertical="center"/>
      <protection locked="0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 shrinkToFit="1"/>
      <protection locked="0"/>
    </xf>
    <xf numFmtId="0" fontId="7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5" fontId="7" fillId="2" borderId="2" xfId="0" applyNumberFormat="1" applyFont="1" applyFill="1" applyBorder="1" applyAlignment="1">
      <alignment horizontal="left" vertical="center"/>
    </xf>
    <xf numFmtId="0" fontId="0" fillId="0" borderId="0" xfId="0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right" vertical="center" shrinkToFi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right" vertical="center" wrapText="1"/>
      <protection locked="0"/>
    </xf>
    <xf numFmtId="0" fontId="26" fillId="0" borderId="9" xfId="0" applyFont="1" applyBorder="1" applyAlignment="1" applyProtection="1">
      <alignment vertical="center"/>
      <protection locked="0"/>
    </xf>
    <xf numFmtId="0" fontId="13" fillId="4" borderId="15" xfId="0" applyFont="1" applyFill="1" applyBorder="1" applyAlignment="1" applyProtection="1">
      <alignment horizontal="center" vertical="center"/>
      <protection locked="0"/>
    </xf>
    <xf numFmtId="0" fontId="13" fillId="5" borderId="15" xfId="0" applyFont="1" applyFill="1" applyBorder="1" applyAlignment="1" applyProtection="1">
      <alignment horizontal="center" vertical="center"/>
      <protection locked="0"/>
    </xf>
    <xf numFmtId="0" fontId="13" fillId="3" borderId="15" xfId="0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right" vertical="center" shrinkToFit="1"/>
      <protection locked="0"/>
    </xf>
    <xf numFmtId="165" fontId="15" fillId="0" borderId="0" xfId="0" applyNumberFormat="1" applyFont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169" fontId="9" fillId="4" borderId="15" xfId="0" applyNumberFormat="1" applyFont="1" applyFill="1" applyBorder="1" applyAlignment="1" applyProtection="1">
      <alignment horizontal="center" vertical="center"/>
      <protection locked="0"/>
    </xf>
    <xf numFmtId="169" fontId="9" fillId="5" borderId="15" xfId="0" applyNumberFormat="1" applyFont="1" applyFill="1" applyBorder="1" applyAlignment="1" applyProtection="1">
      <alignment horizontal="center" vertical="center"/>
      <protection locked="0"/>
    </xf>
    <xf numFmtId="169" fontId="9" fillId="3" borderId="15" xfId="0" applyNumberFormat="1" applyFont="1" applyFill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right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right" vertical="center" wrapText="1"/>
      <protection locked="0"/>
    </xf>
    <xf numFmtId="0" fontId="1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right" vertical="center" shrinkToFi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3" fillId="3" borderId="6" xfId="0" applyFont="1" applyFill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right" vertical="center" shrinkToFi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23" fillId="3" borderId="16" xfId="0" applyFont="1" applyFill="1" applyBorder="1" applyAlignment="1" applyProtection="1">
      <alignment horizontal="center" vertical="center"/>
      <protection locked="0"/>
    </xf>
    <xf numFmtId="0" fontId="24" fillId="3" borderId="16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170" fontId="25" fillId="0" borderId="0" xfId="0" applyNumberFormat="1" applyFont="1" applyAlignment="1" applyProtection="1">
      <alignment horizontal="center" vertical="center"/>
      <protection locked="0"/>
    </xf>
    <xf numFmtId="0" fontId="10" fillId="3" borderId="6" xfId="0" applyFont="1" applyFill="1" applyBorder="1" applyAlignment="1" applyProtection="1">
      <alignment horizontal="center" vertical="center" wrapText="1"/>
      <protection locked="0"/>
    </xf>
    <xf numFmtId="0" fontId="14" fillId="3" borderId="6" xfId="0" applyFont="1" applyFill="1" applyBorder="1" applyAlignment="1" applyProtection="1">
      <alignment horizontal="center" vertical="center" wrapText="1" shrinkToFit="1"/>
      <protection locked="0"/>
    </xf>
    <xf numFmtId="0" fontId="14" fillId="3" borderId="6" xfId="0" applyFont="1" applyFill="1" applyBorder="1" applyAlignment="1" applyProtection="1">
      <alignment horizontal="center" vertical="center" wrapText="1"/>
      <protection locked="0"/>
    </xf>
    <xf numFmtId="164" fontId="20" fillId="3" borderId="13" xfId="0" applyNumberFormat="1" applyFont="1" applyFill="1" applyBorder="1" applyAlignment="1" applyProtection="1">
      <alignment horizontal="center" vertical="center" wrapText="1"/>
      <protection locked="0"/>
    </xf>
    <xf numFmtId="164" fontId="20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17" xfId="0" applyFont="1" applyFill="1" applyBorder="1" applyAlignment="1" applyProtection="1">
      <alignment horizontal="center" vertical="center" wrapText="1"/>
      <protection locked="0"/>
    </xf>
    <xf numFmtId="0" fontId="19" fillId="3" borderId="14" xfId="0" applyFont="1" applyFill="1" applyBorder="1" applyAlignment="1" applyProtection="1">
      <alignment horizontal="center" vertical="center" wrapText="1"/>
      <protection locked="0"/>
    </xf>
    <xf numFmtId="169" fontId="9" fillId="4" borderId="15" xfId="0" applyNumberFormat="1" applyFont="1" applyFill="1" applyBorder="1" applyAlignment="1" applyProtection="1">
      <alignment horizontal="center" vertical="center" wrapText="1"/>
      <protection locked="0"/>
    </xf>
    <xf numFmtId="169" fontId="9" fillId="5" borderId="15" xfId="0" applyNumberFormat="1" applyFont="1" applyFill="1" applyBorder="1" applyAlignment="1" applyProtection="1">
      <alignment horizontal="center" vertical="center" wrapText="1"/>
      <protection locked="0"/>
    </xf>
    <xf numFmtId="169" fontId="9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6" xfId="0" applyFont="1" applyFill="1" applyBorder="1" applyAlignment="1" applyProtection="1">
      <alignment horizontal="center" vertical="top" wrapText="1"/>
      <protection locked="0"/>
    </xf>
    <xf numFmtId="0" fontId="14" fillId="3" borderId="16" xfId="0" applyFont="1" applyFill="1" applyBorder="1" applyAlignment="1" applyProtection="1">
      <alignment horizontal="center" vertical="top" wrapText="1"/>
      <protection locked="0"/>
    </xf>
    <xf numFmtId="0" fontId="14" fillId="3" borderId="15" xfId="0" applyFont="1" applyFill="1" applyBorder="1" applyAlignment="1" applyProtection="1">
      <alignment horizontal="center" vertical="top" wrapText="1"/>
      <protection locked="0"/>
    </xf>
    <xf numFmtId="0" fontId="14" fillId="3" borderId="14" xfId="0" applyFont="1" applyFill="1" applyBorder="1" applyAlignment="1" applyProtection="1">
      <alignment horizontal="center" vertical="top" wrapText="1"/>
      <protection locked="0"/>
    </xf>
    <xf numFmtId="0" fontId="14" fillId="3" borderId="11" xfId="0" applyFont="1" applyFill="1" applyBorder="1" applyAlignment="1" applyProtection="1">
      <alignment horizontal="center" vertical="top" wrapText="1"/>
      <protection locked="0"/>
    </xf>
    <xf numFmtId="0" fontId="13" fillId="4" borderId="16" xfId="0" applyFont="1" applyFill="1" applyBorder="1" applyAlignment="1" applyProtection="1">
      <alignment horizontal="center" vertical="top" wrapText="1"/>
      <protection locked="0"/>
    </xf>
    <xf numFmtId="0" fontId="13" fillId="5" borderId="16" xfId="0" applyFont="1" applyFill="1" applyBorder="1" applyAlignment="1" applyProtection="1">
      <alignment horizontal="center" vertical="top" wrapText="1"/>
      <protection locked="0"/>
    </xf>
    <xf numFmtId="0" fontId="13" fillId="3" borderId="16" xfId="0" applyFont="1" applyFill="1" applyBorder="1" applyAlignment="1" applyProtection="1">
      <alignment horizontal="center" vertical="top" wrapText="1"/>
      <protection locked="0"/>
    </xf>
    <xf numFmtId="169" fontId="21" fillId="4" borderId="3" xfId="0" applyNumberFormat="1" applyFont="1" applyFill="1" applyBorder="1" applyAlignment="1" applyProtection="1">
      <alignment horizontal="center" vertical="center" wrapText="1"/>
      <protection locked="0"/>
    </xf>
    <xf numFmtId="169" fontId="21" fillId="5" borderId="3" xfId="0" applyNumberFormat="1" applyFont="1" applyFill="1" applyBorder="1" applyAlignment="1" applyProtection="1">
      <alignment horizontal="center" vertical="center" wrapText="1"/>
      <protection locked="0"/>
    </xf>
    <xf numFmtId="169" fontId="2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vertical="center" wrapText="1" shrinkToFit="1"/>
      <protection locked="0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 shrinkToFit="1"/>
    </xf>
    <xf numFmtId="0" fontId="9" fillId="0" borderId="8" xfId="0" applyFont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7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13" fillId="6" borderId="15" xfId="0" applyFont="1" applyFill="1" applyBorder="1" applyAlignment="1">
      <alignment horizontal="left" vertical="top" wrapText="1"/>
    </xf>
    <xf numFmtId="170" fontId="3" fillId="0" borderId="0" xfId="0" applyNumberFormat="1" applyFont="1" applyAlignment="1">
      <alignment vertical="top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1" fontId="0" fillId="0" borderId="0" xfId="0" applyNumberFormat="1"/>
  </cellXfs>
  <cellStyles count="14">
    <cellStyle name="Normal" xfId="0" builtinId="0"/>
    <cellStyle name="Normal 10" xfId="12" xr:uid="{00000000-0005-0000-0000-000009000000}"/>
    <cellStyle name="Normal 11" xfId="1" xr:uid="{00000000-0005-0000-0000-00000A000000}"/>
    <cellStyle name="Normal 12" xfId="4" xr:uid="{00000000-0005-0000-0000-00000B000000}"/>
    <cellStyle name="Normal 13" xfId="13" xr:uid="{00000000-0005-0000-0000-00000C000000}"/>
    <cellStyle name="Normal 14" xfId="3" xr:uid="{00000000-0005-0000-0000-00000D000000}"/>
    <cellStyle name="Normal 2" xfId="2" xr:uid="{00000000-0005-0000-0000-000001000000}"/>
    <cellStyle name="Normal 3" xfId="5" xr:uid="{00000000-0005-0000-0000-000002000000}"/>
    <cellStyle name="Normal 4" xfId="6" xr:uid="{00000000-0005-0000-0000-000003000000}"/>
    <cellStyle name="Normal 5" xfId="7" xr:uid="{00000000-0005-0000-0000-000004000000}"/>
    <cellStyle name="Normal 6" xfId="8" xr:uid="{00000000-0005-0000-0000-000005000000}"/>
    <cellStyle name="Normal 7" xfId="10" xr:uid="{00000000-0005-0000-0000-000006000000}"/>
    <cellStyle name="Normal 8" xfId="11" xr:uid="{00000000-0005-0000-0000-000007000000}"/>
    <cellStyle name="Normal 9" xfId="9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rtlCol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rtlCol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19"/>
  <sheetViews>
    <sheetView tabSelected="1" workbookViewId="0">
      <pane activePane="bottomRight" state="frozen"/>
      <selection activeCell="C21" sqref="C21"/>
    </sheetView>
  </sheetViews>
  <sheetFormatPr baseColWidth="10" defaultColWidth="0" defaultRowHeight="12.75" x14ac:dyDescent="0.2"/>
  <cols>
    <col min="1" max="2" width="11.42578125" style="25" customWidth="1"/>
    <col min="3" max="3" width="78.140625" style="25" customWidth="1" collapsed="1"/>
    <col min="4" max="12" width="11.42578125" style="25" customWidth="1"/>
    <col min="13" max="13" width="12.140625" customWidth="1"/>
    <col min="14" max="24" width="12.140625" hidden="1" collapsed="1"/>
    <col min="25" max="16383" width="11.42578125" hidden="1"/>
    <col min="16384" max="16384" width="12.140625" hidden="1"/>
  </cols>
  <sheetData>
    <row r="1" spans="1:23" x14ac:dyDescent="0.2">
      <c r="B1" s="26"/>
      <c r="C1" s="26"/>
      <c r="D1" s="27"/>
      <c r="E1" s="26"/>
      <c r="F1" s="26"/>
      <c r="G1" s="26"/>
      <c r="H1" s="26"/>
      <c r="I1" s="26"/>
      <c r="J1" s="28"/>
      <c r="K1" s="27"/>
      <c r="L1" s="27"/>
      <c r="M1" s="94"/>
      <c r="O1" s="95"/>
      <c r="P1" s="96" t="s">
        <v>0</v>
      </c>
      <c r="Q1" s="96" t="str">
        <f>MID(F2,8,1)</f>
        <v/>
      </c>
    </row>
    <row r="2" spans="1:23" ht="13.5" x14ac:dyDescent="0.2">
      <c r="B2" s="29" t="s">
        <v>1</v>
      </c>
      <c r="C2" s="10"/>
      <c r="D2" s="30"/>
      <c r="E2" s="31" t="s">
        <v>0</v>
      </c>
      <c r="F2" s="90" t="str">
        <f>IF(F4&lt;Q2,"No válido",
IF(F4&lt;Q3,P2,
IF(F4&lt;Q4,P3,
IF(F4&lt;Q5,P4,
IF(F4&lt;Q6,P5,
IF(F4&lt;Q7,P6,
IF(F4&lt;Q8,P7,
IF(F4&lt;T2,P8,
IF(F4&lt;T3,S2,
IF(F4&lt;T4,S3,
IF(F4&lt;T5,S4,
IF(F4&lt;T6,S5,
IF(F4&lt;T7,S6,
IF(F4&lt;T8,S7,
IF(F4&lt;W2,S8,
IF(F4&lt;W3,V2,
IF(F4&lt;W4,V3,
IF(F4&lt;W5,V4,
IF(F4&lt;W6,V5,
IF(F4&lt;W7,V6,
IF(F4&lt;W8,V7,V8)))))))))))))))))))))</f>
        <v>2025A</v>
      </c>
      <c r="H2" s="92" t="s">
        <v>2</v>
      </c>
      <c r="I2" s="32"/>
      <c r="J2" s="33" t="s">
        <v>3</v>
      </c>
      <c r="K2" s="34" t="s">
        <v>4</v>
      </c>
      <c r="L2" s="35" t="s">
        <v>5</v>
      </c>
      <c r="M2" s="97"/>
      <c r="O2" s="95"/>
      <c r="P2" s="96" t="s">
        <v>1414</v>
      </c>
      <c r="Q2" s="98">
        <v>45658</v>
      </c>
      <c r="T2" s="98"/>
      <c r="W2" s="98"/>
    </row>
    <row r="3" spans="1:23" ht="13.5" x14ac:dyDescent="0.2">
      <c r="B3" s="36" t="s">
        <v>7</v>
      </c>
      <c r="C3" s="11"/>
      <c r="D3" s="37"/>
      <c r="E3" s="38" t="s">
        <v>8</v>
      </c>
      <c r="F3" s="15"/>
      <c r="G3" s="39"/>
      <c r="H3" s="93"/>
      <c r="J3" s="40">
        <f>SUM(J10:J64880)</f>
        <v>0</v>
      </c>
      <c r="K3" s="41">
        <f>SUM(K10:K64880)</f>
        <v>0</v>
      </c>
      <c r="L3" s="42">
        <f>SUM(L10:L64882)</f>
        <v>0</v>
      </c>
      <c r="M3" s="97"/>
      <c r="O3" s="95"/>
      <c r="P3" s="96" t="s">
        <v>9</v>
      </c>
      <c r="Q3" s="98">
        <v>44440</v>
      </c>
      <c r="T3" s="98"/>
      <c r="W3" s="98"/>
    </row>
    <row r="4" spans="1:23" ht="13.5" x14ac:dyDescent="0.2">
      <c r="B4" s="43" t="s">
        <v>10</v>
      </c>
      <c r="C4" s="12"/>
      <c r="D4" s="44"/>
      <c r="E4" s="45" t="s">
        <v>11</v>
      </c>
      <c r="F4" s="16">
        <v>45771</v>
      </c>
      <c r="G4" s="46"/>
      <c r="H4" s="93" t="s">
        <v>6</v>
      </c>
      <c r="J4" s="27"/>
      <c r="K4" s="27"/>
      <c r="L4" s="27"/>
      <c r="M4" s="97"/>
      <c r="O4" s="95"/>
      <c r="Q4" s="98"/>
      <c r="T4" s="98"/>
      <c r="W4" s="98"/>
    </row>
    <row r="5" spans="1:23" ht="15.75" x14ac:dyDescent="0.2">
      <c r="A5" s="47"/>
      <c r="B5" s="48" t="s">
        <v>12</v>
      </c>
      <c r="C5" s="13"/>
      <c r="D5" s="49"/>
      <c r="E5" s="26"/>
      <c r="F5" s="26"/>
      <c r="G5" s="50"/>
      <c r="H5" s="93" t="s">
        <v>1415</v>
      </c>
      <c r="I5" s="51"/>
      <c r="J5" s="52" t="s">
        <v>13</v>
      </c>
      <c r="K5" s="52" t="s">
        <v>14</v>
      </c>
      <c r="L5" s="52" t="s">
        <v>15</v>
      </c>
      <c r="M5" s="97"/>
      <c r="O5" s="95"/>
      <c r="Q5" s="98"/>
      <c r="T5" s="98"/>
      <c r="W5" s="98"/>
    </row>
    <row r="6" spans="1:23" ht="15.75" x14ac:dyDescent="0.2">
      <c r="A6" s="47"/>
      <c r="B6" s="53" t="s">
        <v>16</v>
      </c>
      <c r="C6" s="14"/>
      <c r="D6" s="54"/>
      <c r="E6" s="26"/>
      <c r="F6" s="26"/>
      <c r="G6" s="50"/>
      <c r="H6" s="50"/>
      <c r="I6" s="51"/>
      <c r="J6" s="55" t="s">
        <v>17</v>
      </c>
      <c r="K6" s="55" t="s">
        <v>18</v>
      </c>
      <c r="L6" s="56">
        <v>4</v>
      </c>
      <c r="M6" s="97"/>
      <c r="O6" s="95"/>
      <c r="Q6" s="98"/>
      <c r="T6" s="98"/>
      <c r="W6" s="98"/>
    </row>
    <row r="7" spans="1:23" x14ac:dyDescent="0.2">
      <c r="A7" s="57"/>
      <c r="B7" s="26"/>
      <c r="C7" s="26"/>
      <c r="D7" s="27"/>
      <c r="E7" s="26"/>
      <c r="F7" s="26"/>
      <c r="G7" s="26"/>
      <c r="H7" s="26"/>
      <c r="I7" s="26"/>
      <c r="J7" s="27"/>
      <c r="K7" s="58" t="s">
        <v>19</v>
      </c>
      <c r="L7" s="59">
        <v>45658</v>
      </c>
      <c r="M7" s="94"/>
      <c r="O7" s="95"/>
      <c r="Q7" s="98"/>
      <c r="T7" s="98"/>
      <c r="W7" s="98"/>
    </row>
    <row r="8" spans="1:23" x14ac:dyDescent="0.2">
      <c r="A8" s="60" t="s">
        <v>20</v>
      </c>
      <c r="B8" s="61"/>
      <c r="C8" s="62"/>
      <c r="D8" s="62" t="s">
        <v>21</v>
      </c>
      <c r="E8" s="63" t="s">
        <v>22</v>
      </c>
      <c r="F8" s="64"/>
      <c r="G8" s="65" t="s">
        <v>23</v>
      </c>
      <c r="H8" s="66"/>
      <c r="I8" s="62" t="s">
        <v>24</v>
      </c>
      <c r="J8" s="67">
        <f>SUBTOTAL(9,J10:J401)</f>
        <v>0</v>
      </c>
      <c r="K8" s="68">
        <f>SUBTOTAL(9,K10:K401)</f>
        <v>0</v>
      </c>
      <c r="L8" s="69">
        <f>SUBTOTAL(9,L10:L401)</f>
        <v>0</v>
      </c>
      <c r="M8" s="99"/>
      <c r="O8" s="95"/>
      <c r="P8" s="100"/>
      <c r="Q8" s="101"/>
      <c r="T8" s="98"/>
      <c r="V8" s="96" t="s">
        <v>1415</v>
      </c>
      <c r="W8" s="98">
        <v>44440</v>
      </c>
    </row>
    <row r="9" spans="1:23" ht="25.5" x14ac:dyDescent="0.2">
      <c r="A9" s="70" t="s">
        <v>25</v>
      </c>
      <c r="B9" s="71" t="s">
        <v>26</v>
      </c>
      <c r="C9" s="71" t="s">
        <v>27</v>
      </c>
      <c r="D9" s="71" t="s">
        <v>28</v>
      </c>
      <c r="E9" s="72" t="s">
        <v>29</v>
      </c>
      <c r="F9" s="72" t="s">
        <v>30</v>
      </c>
      <c r="G9" s="73" t="s">
        <v>31</v>
      </c>
      <c r="H9" s="72" t="s">
        <v>32</v>
      </c>
      <c r="I9" s="74" t="s">
        <v>33</v>
      </c>
      <c r="J9" s="75" t="s">
        <v>34</v>
      </c>
      <c r="K9" s="76" t="s">
        <v>35</v>
      </c>
      <c r="L9" s="77" t="s">
        <v>36</v>
      </c>
      <c r="M9" s="102" t="s">
        <v>37</v>
      </c>
      <c r="N9" s="100"/>
      <c r="O9" s="103"/>
    </row>
    <row r="10" spans="1:23" ht="15.75" x14ac:dyDescent="0.2">
      <c r="A10" s="17"/>
      <c r="B10" s="18"/>
      <c r="C10" s="87" t="str">
        <f>IF(B10="","",
IF(M10=$H$5,IFERROR(VLOOKUP(B10,'Baremos actuales'!A:E,5,FALSE),"No encontrado. Revisar código, fecha ejecución y/o contrato."),
IF(M10=$H$4,IFERROR(VLOOKUP(B10,'Baremos anteriores'!A:E,5,FALSE),"No encontrado. Revisar código, fecha ejecución y/o contrato."),
IF(M10=$H$3,IFERROR(VLOOKUP(B10,#REF!,5,FALSE),"No encontrado. Revisar código, fecha ejecución y/o contrato."),
IF(D10="","Código no encontrado",
IF(D10="ERROR","No encontrado. Revisar Código, fecha de ejecución y/o contrato.",
IF(D10="MATE",
IF(C9="DESCRIPCION","NO SE PUEDE COMENZAR SIN CÓDIGO DE TAREA",
IF(C9="","FALTA CÓDIGO DE TAREA",
CONCATENATE("          ",VLOOKUP(B10,'Maestro Materiales'!A:C,3,FALSE)))),IFERROR(VLOOKUP(B10,#REF!,5,FALSE),"No encontrado. Revisar código, fecha ejecución y/o contrato."))))))))</f>
        <v/>
      </c>
      <c r="D10" s="88" t="str">
        <f>IF(B10="","",
IFERROR(VLOOKUP(B10,'Maestro Materiales'!A:C,2,FALSE),
IFERROR(VLOOKUP(B10,'Baremos actuales'!A:B,2,FALSE),
IFERROR(VLOOKUP(B10,'Baremos anteriores'!A:B,2,FALSE),
""))))</f>
        <v/>
      </c>
      <c r="E10" s="9"/>
      <c r="F10" s="89" t="str">
        <f>IF(D10="MATE",
IF(E10="","¿Unidades?",""),
IF(D10="",IF(E10="","","¿Código?"),
IF(E10="","¿Unidades?",
IF(D10="TARE",
IF(M10=$H$3,IFERROR(VLOOKUP(B10,'Baremos actuales'!A:C,3,FALSE),0),
IF(M10=$H$4,IFERROR(VLOOKUP(B10,'Baremos anteriores'!A:C,3,FALSE),0),0))))))</f>
        <v/>
      </c>
      <c r="G10" s="7"/>
      <c r="H10" s="8"/>
      <c r="I10" s="8"/>
      <c r="J10" s="78" t="str">
        <f>IF($D10="","",
IF($E10="","",
IF($D10="MATE","",
IF(VLOOKUP($B10,'Baremos actuales'!A:D,4,FALSE)=J$9,$E10*$F10,IF(VLOOKUP($B10,'Baremos anteriores'!A:D,4,FALSE)="Sin Definir",$E10*$F10,"")))))</f>
        <v/>
      </c>
      <c r="K10" s="79" t="str">
        <f>IF($D10="","",
IF($E10="","",
IF($D10="MATE","",
IF(VLOOKUP($B10,'Baremos actuales'!$A:$D,4,FALSE)=K$9,$E10*$F10,IF(VLOOKUP($B10,'Baremos anteriores'!$A:$D,4,FALSE)="Desmonte",$E10*$F10,"")))))</f>
        <v/>
      </c>
      <c r="L10" s="80" t="str">
        <f>IF($D10="","",
IF($E10="","",
IF($D10="MATE","",
IF(VLOOKUP($B10,'Baremos actuales'!$A:$D,4,FALSE)=L$9,$E10*$F10,""))))</f>
        <v/>
      </c>
      <c r="M10" s="91" t="str">
        <f>IF(D10="MATE","Materiales",IF(B10="","",
IF($Q$1="O","Obsoleto",$F$2)))</f>
        <v/>
      </c>
      <c r="O10" s="95"/>
    </row>
    <row r="11" spans="1:23" ht="15.75" x14ac:dyDescent="0.2">
      <c r="A11" s="17"/>
      <c r="B11" s="18"/>
      <c r="C11" s="87" t="str">
        <f>IF(B11="","",
IF(M11=$H$5,IFERROR(VLOOKUP(B11,'Baremos actuales'!A:E,5,FALSE),"No encontrado. Revisar código, fecha ejecución y/o contrato."),
IF(M11=$H$4,IFERROR(VLOOKUP(B11,'Baremos anteriores'!A:E,5,FALSE),"No encontrado. Revisar código, fecha ejecución y/o contrato."),
IF(M11=$H$3,IFERROR(VLOOKUP(B11,#REF!,5,FALSE),"No encontrado. Revisar código, fecha ejecución y/o contrato."),
IF(D11="","Código no encontrado",
IF(D11="ERROR","No encontrado. Revisar Código, fecha de ejecución y/o contrato.",
IF(D11="MATE",
IF(C10="DESCRIPCION","NO SE PUEDE COMENZAR SIN CÓDIGO DE TAREA",
IF(C10="","FALTA CÓDIGO DE TAREA",
CONCATENATE("          ",VLOOKUP(B11,'Maestro Materiales'!A:C,3,FALSE)))),IFERROR(VLOOKUP(B11,#REF!,5,FALSE),"No encontrado. Revisar código, fecha ejecución y/o contrato."))))))))</f>
        <v/>
      </c>
      <c r="D11" s="88" t="str">
        <f>IF(B11="","",
IFERROR(VLOOKUP(B11,'Maestro Materiales'!A:C,2,FALSE),
IFERROR(VLOOKUP(B11,'Baremos actuales'!A:B,2,FALSE),
IFERROR(VLOOKUP(B11,'Baremos anteriores'!A:B,2,FALSE),
""))))</f>
        <v/>
      </c>
      <c r="E11" s="9"/>
      <c r="F11" s="89" t="str">
        <f>IF(D11="MATE",
IF(E11="","¿Unidades?",""),
IF(D11="",IF(E11="","","¿Código?"),
IF(E11="","¿Unidades?",
IF(D11="TARE",
IF(M11=$H$3,IFERROR(VLOOKUP(B11,'Baremos actuales'!A:C,3,FALSE),0),
IF(M11=$H$4,IFERROR(VLOOKUP(B11,'Baremos anteriores'!A:C,3,FALSE),0),0))))))</f>
        <v/>
      </c>
      <c r="G11" s="7"/>
      <c r="H11" s="8"/>
      <c r="I11" s="8"/>
      <c r="J11" s="78" t="str">
        <f>IF($D11="","",
IF($E11="","",
IF($D11="MATE","",
IF(VLOOKUP($B11,'Baremos actuales'!A:D,4,FALSE)=J$9,$E11*$F11,IF(VLOOKUP($B11,'Baremos anteriores'!A:D,4,FALSE)="Sin Definir",$E11*$F11,"")))))</f>
        <v/>
      </c>
      <c r="K11" s="79" t="str">
        <f>IF($D11="","",
IF($E11="","",
IF($D11="MATE","",
IF(VLOOKUP($B11,'Baremos actuales'!$A:$D,4,FALSE)=K$9,$E11*$F11,IF(VLOOKUP($B11,'Baremos anteriores'!$A:$D,4,FALSE)="Desmonte",$E11*$F11,"")))))</f>
        <v/>
      </c>
      <c r="L11" s="80" t="str">
        <f>IF($D11="","",
IF($E11="","",
IF($D11="MATE","",
IF(VLOOKUP($B11,'Baremos actuales'!$A:$D,4,FALSE)=L$9,$E11*$F11,""))))</f>
        <v/>
      </c>
      <c r="M11" s="91" t="str">
        <f t="shared" ref="M11:M74" si="0">IF(D11="MATE","Materiales",IF(B11="","",
IF($Q$1="O","Obsoleto",$F$2)))</f>
        <v/>
      </c>
      <c r="N11" s="96"/>
      <c r="O11" s="95"/>
    </row>
    <row r="12" spans="1:23" ht="15.75" x14ac:dyDescent="0.2">
      <c r="A12" s="17"/>
      <c r="B12" s="18"/>
      <c r="C12" s="87" t="str">
        <f>IF(B12="","",
IF(M12=$H$5,IFERROR(VLOOKUP(B12,'Baremos actuales'!A:E,5,FALSE),"No encontrado. Revisar código, fecha ejecución y/o contrato."),
IF(M12=$H$4,IFERROR(VLOOKUP(B12,'Baremos anteriores'!A:E,5,FALSE),"No encontrado. Revisar código, fecha ejecución y/o contrato."),
IF(M12=$H$3,IFERROR(VLOOKUP(B12,#REF!,5,FALSE),"No encontrado. Revisar código, fecha ejecución y/o contrato."),
IF(D12="","Código no encontrado",
IF(D12="ERROR","No encontrado. Revisar Código, fecha de ejecución y/o contrato.",
IF(D12="MATE",
IF(C11="DESCRIPCION","NO SE PUEDE COMENZAR SIN CÓDIGO DE TAREA",
IF(C11="","FALTA CÓDIGO DE TAREA",
CONCATENATE("          ",VLOOKUP(B12,'Maestro Materiales'!A:C,3,FALSE)))),IFERROR(VLOOKUP(B12,#REF!,5,FALSE),"No encontrado. Revisar código, fecha ejecución y/o contrato."))))))))</f>
        <v/>
      </c>
      <c r="D12" s="88" t="str">
        <f>IF(B12="","",
IFERROR(VLOOKUP(B12,'Maestro Materiales'!A:C,2,FALSE),
IFERROR(VLOOKUP(B12,'Baremos actuales'!A:B,2,FALSE),
IFERROR(VLOOKUP(B12,'Baremos anteriores'!A:B,2,FALSE),
""))))</f>
        <v/>
      </c>
      <c r="E12" s="9"/>
      <c r="F12" s="89" t="str">
        <f>IF(D12="MATE",
IF(E12="","¿Unidades?",""),
IF(D12="",IF(E12="","","¿Código?"),
IF(E12="","¿Unidades?",
IF(D12="TARE",
IF(M12=$H$3,IFERROR(VLOOKUP(B12,'Baremos actuales'!A:C,3,FALSE),0),
IF(M12=$H$4,IFERROR(VLOOKUP(B12,'Baremos anteriores'!A:C,3,FALSE),0),0))))))</f>
        <v/>
      </c>
      <c r="G12" s="7"/>
      <c r="H12" s="8"/>
      <c r="I12" s="8"/>
      <c r="J12" s="78" t="str">
        <f>IF($D12="","",
IF($E12="","",
IF($D12="MATE","",
IF(VLOOKUP($B12,'Baremos actuales'!A:D,4,FALSE)=J$9,$E12*$F12,IF(VLOOKUP($B12,'Baremos anteriores'!A:D,4,FALSE)="Sin Definir",$E12*$F12,"")))))</f>
        <v/>
      </c>
      <c r="K12" s="79" t="str">
        <f>IF($D12="","",
IF($E12="","",
IF($D12="MATE","",
IF(VLOOKUP($B12,'Baremos actuales'!$A:$D,4,FALSE)=K$9,$E12*$F12,IF(VLOOKUP($B12,'Baremos anteriores'!$A:$D,4,FALSE)="Desmonte",$E12*$F12,"")))))</f>
        <v/>
      </c>
      <c r="L12" s="80" t="str">
        <f>IF($D12="","",
IF($E12="","",
IF($D12="MATE","",
IF(VLOOKUP($B12,'Baremos actuales'!$A:$D,4,FALSE)=L$9,$E12*$F12,""))))</f>
        <v/>
      </c>
      <c r="M12" s="91" t="str">
        <f t="shared" si="0"/>
        <v/>
      </c>
      <c r="N12" s="96"/>
      <c r="O12" s="95"/>
    </row>
    <row r="13" spans="1:23" ht="15.75" x14ac:dyDescent="0.2">
      <c r="A13" s="17"/>
      <c r="B13" s="18"/>
      <c r="C13" s="87" t="str">
        <f>IF(B13="","",
IF(M13=$H$5,IFERROR(VLOOKUP(B13,'Baremos actuales'!A:E,5,FALSE),"No encontrado. Revisar código, fecha ejecución y/o contrato."),
IF(M13=$H$4,IFERROR(VLOOKUP(B13,'Baremos anteriores'!A:E,5,FALSE),"No encontrado. Revisar código, fecha ejecución y/o contrato."),
IF(M13=$H$3,IFERROR(VLOOKUP(B13,#REF!,5,FALSE),"No encontrado. Revisar código, fecha ejecución y/o contrato."),
IF(D13="","Código no encontrado",
IF(D13="ERROR","No encontrado. Revisar Código, fecha de ejecución y/o contrato.",
IF(D13="MATE",
IF(C12="DESCRIPCION","NO SE PUEDE COMENZAR SIN CÓDIGO DE TAREA",
IF(C12="","FALTA CÓDIGO DE TAREA",
CONCATENATE("          ",VLOOKUP(B13,'Maestro Materiales'!A:C,3,FALSE)))),IFERROR(VLOOKUP(B13,#REF!,5,FALSE),"No encontrado. Revisar código, fecha ejecución y/o contrato."))))))))</f>
        <v/>
      </c>
      <c r="D13" s="88" t="str">
        <f>IF(B13="","",
IFERROR(VLOOKUP(B13,'Maestro Materiales'!A:C,2,FALSE),
IFERROR(VLOOKUP(B13,'Baremos actuales'!A:B,2,FALSE),
IFERROR(VLOOKUP(B13,'Baremos anteriores'!A:B,2,FALSE),
""))))</f>
        <v/>
      </c>
      <c r="E13" s="9"/>
      <c r="F13" s="89" t="str">
        <f>IF(D13="MATE",
IF(E13="","¿Unidades?",""),
IF(D13="",IF(E13="","","¿Código?"),
IF(E13="","¿Unidades?",
IF(D13="TARE",
IF(M13=$H$3,IFERROR(VLOOKUP(B13,'Baremos actuales'!A:C,3,FALSE),0),
IF(M13=$H$4,IFERROR(VLOOKUP(B13,'Baremos anteriores'!A:C,3,FALSE),0),0))))))</f>
        <v/>
      </c>
      <c r="G13" s="7"/>
      <c r="H13" s="8"/>
      <c r="I13" s="8"/>
      <c r="J13" s="78" t="str">
        <f>IF($D13="","",
IF($E13="","",
IF($D13="MATE","",
IF(VLOOKUP($B13,'Baremos actuales'!A:D,4,FALSE)=J$9,$E13*$F13,IF(VLOOKUP($B13,'Baremos anteriores'!A:D,4,FALSE)="Sin Definir",$E13*$F13,"")))))</f>
        <v/>
      </c>
      <c r="K13" s="79" t="str">
        <f>IF($D13="","",
IF($E13="","",
IF($D13="MATE","",
IF(VLOOKUP($B13,'Baremos actuales'!$A:$D,4,FALSE)=K$9,$E13*$F13,IF(VLOOKUP($B13,'Baremos anteriores'!$A:$D,4,FALSE)="Desmonte",$E13*$F13,"")))))</f>
        <v/>
      </c>
      <c r="L13" s="80" t="str">
        <f>IF($D13="","",
IF($E13="","",
IF($D13="MATE","",
IF(VLOOKUP($B13,'Baremos actuales'!$A:$D,4,FALSE)=L$9,$E13*$F13,""))))</f>
        <v/>
      </c>
      <c r="M13" s="91" t="str">
        <f t="shared" si="0"/>
        <v/>
      </c>
      <c r="N13" s="96"/>
      <c r="O13" s="95"/>
    </row>
    <row r="14" spans="1:23" ht="15.75" x14ac:dyDescent="0.2">
      <c r="A14" s="17"/>
      <c r="B14" s="18"/>
      <c r="C14" s="87" t="str">
        <f>IF(B14="","",
IF(M14=$H$5,IFERROR(VLOOKUP(B14,'Baremos actuales'!A:E,5,FALSE),"No encontrado. Revisar código, fecha ejecución y/o contrato."),
IF(M14=$H$4,IFERROR(VLOOKUP(B14,'Baremos anteriores'!A:E,5,FALSE),"No encontrado. Revisar código, fecha ejecución y/o contrato."),
IF(M14=$H$3,IFERROR(VLOOKUP(B14,#REF!,5,FALSE),"No encontrado. Revisar código, fecha ejecución y/o contrato."),
IF(D14="","Código no encontrado",
IF(D14="ERROR","No encontrado. Revisar Código, fecha de ejecución y/o contrato.",
IF(D14="MATE",
IF(C13="DESCRIPCION","NO SE PUEDE COMENZAR SIN CÓDIGO DE TAREA",
IF(C13="","FALTA CÓDIGO DE TAREA",
CONCATENATE("          ",VLOOKUP(B14,'Maestro Materiales'!A:C,3,FALSE)))),IFERROR(VLOOKUP(B14,#REF!,5,FALSE),"No encontrado. Revisar código, fecha ejecución y/o contrato."))))))))</f>
        <v/>
      </c>
      <c r="D14" s="88" t="str">
        <f>IF(B14="","",
IFERROR(VLOOKUP(B14,'Maestro Materiales'!A:C,2,FALSE),
IFERROR(VLOOKUP(B14,'Baremos actuales'!A:B,2,FALSE),
IFERROR(VLOOKUP(B14,'Baremos anteriores'!A:B,2,FALSE),
""))))</f>
        <v/>
      </c>
      <c r="E14" s="9"/>
      <c r="F14" s="89" t="str">
        <f>IF(D14="MATE",
IF(E14="","¿Unidades?",""),
IF(D14="",IF(E14="","","¿Código?"),
IF(E14="","¿Unidades?",
IF(D14="TARE",
IF(M14=$H$3,IFERROR(VLOOKUP(B14,'Baremos actuales'!A:C,3,FALSE),0),
IF(M14=$H$4,IFERROR(VLOOKUP(B14,'Baremos anteriores'!A:C,3,FALSE),0),0))))))</f>
        <v/>
      </c>
      <c r="G14" s="7"/>
      <c r="H14" s="8"/>
      <c r="I14" s="8"/>
      <c r="J14" s="78" t="str">
        <f>IF($D14="","",
IF($E14="","",
IF($D14="MATE","",
IF(VLOOKUP($B14,'Baremos actuales'!A:D,4,FALSE)=J$9,$E14*$F14,IF(VLOOKUP($B14,'Baremos anteriores'!A:D,4,FALSE)="Sin Definir",$E14*$F14,"")))))</f>
        <v/>
      </c>
      <c r="K14" s="79" t="str">
        <f>IF($D14="","",
IF($E14="","",
IF($D14="MATE","",
IF(VLOOKUP($B14,'Baremos actuales'!$A:$D,4,FALSE)=K$9,$E14*$F14,IF(VLOOKUP($B14,'Baremos anteriores'!$A:$D,4,FALSE)="Desmonte",$E14*$F14,"")))))</f>
        <v/>
      </c>
      <c r="L14" s="80" t="str">
        <f>IF($D14="","",
IF($E14="","",
IF($D14="MATE","",
IF(VLOOKUP($B14,'Baremos actuales'!$A:$D,4,FALSE)=L$9,$E14*$F14,""))))</f>
        <v/>
      </c>
      <c r="M14" s="91" t="str">
        <f t="shared" si="0"/>
        <v/>
      </c>
      <c r="N14" s="96"/>
      <c r="O14" s="95"/>
    </row>
    <row r="15" spans="1:23" ht="15.75" x14ac:dyDescent="0.2">
      <c r="A15" s="17"/>
      <c r="B15" s="18"/>
      <c r="C15" s="87" t="str">
        <f>IF(B15="","",
IF(M15=$H$5,IFERROR(VLOOKUP(B15,'Baremos actuales'!A:E,5,FALSE),"No encontrado. Revisar código, fecha ejecución y/o contrato."),
IF(M15=$H$4,IFERROR(VLOOKUP(B15,'Baremos anteriores'!A:E,5,FALSE),"No encontrado. Revisar código, fecha ejecución y/o contrato."),
IF(M15=$H$3,IFERROR(VLOOKUP(B15,#REF!,5,FALSE),"No encontrado. Revisar código, fecha ejecución y/o contrato."),
IF(D15="","Código no encontrado",
IF(D15="ERROR","No encontrado. Revisar Código, fecha de ejecución y/o contrato.",
IF(D15="MATE",
IF(C14="DESCRIPCION","NO SE PUEDE COMENZAR SIN CÓDIGO DE TAREA",
IF(C14="","FALTA CÓDIGO DE TAREA",
CONCATENATE("          ",VLOOKUP(B15,'Maestro Materiales'!A:C,3,FALSE)))),IFERROR(VLOOKUP(B15,#REF!,5,FALSE),"No encontrado. Revisar código, fecha ejecución y/o contrato."))))))))</f>
        <v/>
      </c>
      <c r="D15" s="88" t="str">
        <f>IF(B15="","",
IFERROR(VLOOKUP(B15,'Maestro Materiales'!A:C,2,FALSE),
IFERROR(VLOOKUP(B15,'Baremos actuales'!A:B,2,FALSE),
IFERROR(VLOOKUP(B15,'Baremos anteriores'!A:B,2,FALSE),
""))))</f>
        <v/>
      </c>
      <c r="E15" s="9"/>
      <c r="F15" s="89" t="str">
        <f>IF(D15="MATE",
IF(E15="","¿Unidades?",""),
IF(D15="",IF(E15="","","¿Código?"),
IF(E15="","¿Unidades?",
IF(D15="TARE",
IF(M15=$H$3,IFERROR(VLOOKUP(B15,'Baremos actuales'!A:C,3,FALSE),0),
IF(M15=$H$4,IFERROR(VLOOKUP(B15,'Baremos anteriores'!A:C,3,FALSE),0),0))))))</f>
        <v/>
      </c>
      <c r="G15" s="7"/>
      <c r="H15" s="8"/>
      <c r="I15" s="8"/>
      <c r="J15" s="78" t="str">
        <f>IF($D15="","",
IF($E15="","",
IF($D15="MATE","",
IF(VLOOKUP($B15,'Baremos actuales'!A:D,4,FALSE)=J$9,$E15*$F15,IF(VLOOKUP($B15,'Baremos anteriores'!A:D,4,FALSE)="Sin Definir",$E15*$F15,"")))))</f>
        <v/>
      </c>
      <c r="K15" s="79" t="str">
        <f>IF($D15="","",
IF($E15="","",
IF($D15="MATE","",
IF(VLOOKUP($B15,'Baremos actuales'!$A:$D,4,FALSE)=K$9,$E15*$F15,IF(VLOOKUP($B15,'Baremos anteriores'!$A:$D,4,FALSE)="Desmonte",$E15*$F15,"")))))</f>
        <v/>
      </c>
      <c r="L15" s="80" t="str">
        <f>IF($D15="","",
IF($E15="","",
IF($D15="MATE","",
IF(VLOOKUP($B15,'Baremos actuales'!$A:$D,4,FALSE)=L$9,$E15*$F15,""))))</f>
        <v/>
      </c>
      <c r="M15" s="91" t="str">
        <f t="shared" si="0"/>
        <v/>
      </c>
      <c r="N15" s="96"/>
      <c r="O15" s="95"/>
    </row>
    <row r="16" spans="1:23" ht="15.75" x14ac:dyDescent="0.2">
      <c r="A16" s="17"/>
      <c r="B16" s="18"/>
      <c r="C16" s="87" t="str">
        <f>IF(B16="","",
IF(M16=$H$5,IFERROR(VLOOKUP(B16,'Baremos actuales'!A:E,5,FALSE),"No encontrado. Revisar código, fecha ejecución y/o contrato."),
IF(M16=$H$4,IFERROR(VLOOKUP(B16,'Baremos anteriores'!A:E,5,FALSE),"No encontrado. Revisar código, fecha ejecución y/o contrato."),
IF(M16=$H$3,IFERROR(VLOOKUP(B16,#REF!,5,FALSE),"No encontrado. Revisar código, fecha ejecución y/o contrato."),
IF(D16="","Código no encontrado",
IF(D16="ERROR","No encontrado. Revisar Código, fecha de ejecución y/o contrato.",
IF(D16="MATE",
IF(C15="DESCRIPCION","NO SE PUEDE COMENZAR SIN CÓDIGO DE TAREA",
IF(C15="","FALTA CÓDIGO DE TAREA",
CONCATENATE("          ",VLOOKUP(B16,'Maestro Materiales'!A:C,3,FALSE)))),IFERROR(VLOOKUP(B16,#REF!,5,FALSE),"No encontrado. Revisar código, fecha ejecución y/o contrato."))))))))</f>
        <v/>
      </c>
      <c r="D16" s="88" t="str">
        <f>IF(B16="","",
IFERROR(VLOOKUP(B16,'Maestro Materiales'!A:C,2,FALSE),
IFERROR(VLOOKUP(B16,'Baremos actuales'!A:B,2,FALSE),
IFERROR(VLOOKUP(B16,'Baremos anteriores'!A:B,2,FALSE),
""))))</f>
        <v/>
      </c>
      <c r="E16" s="9"/>
      <c r="F16" s="89" t="str">
        <f>IF(D16="MATE",
IF(E16="","¿Unidades?",""),
IF(D16="",IF(E16="","","¿Código?"),
IF(E16="","¿Unidades?",
IF(D16="TARE",
IF(M16=$H$3,IFERROR(VLOOKUP(B16,'Baremos actuales'!A:C,3,FALSE),0),
IF(M16=$H$4,IFERROR(VLOOKUP(B16,'Baremos anteriores'!A:C,3,FALSE),0),0))))))</f>
        <v/>
      </c>
      <c r="G16" s="7"/>
      <c r="H16" s="8"/>
      <c r="I16" s="8"/>
      <c r="J16" s="78" t="str">
        <f>IF($D16="","",
IF($E16="","",
IF($D16="MATE","",
IF(VLOOKUP($B16,'Baremos actuales'!A:D,4,FALSE)=J$9,$E16*$F16,IF(VLOOKUP($B16,'Baremos anteriores'!A:D,4,FALSE)="Sin Definir",$E16*$F16,"")))))</f>
        <v/>
      </c>
      <c r="K16" s="79" t="str">
        <f>IF($D16="","",
IF($E16="","",
IF($D16="MATE","",
IF(VLOOKUP($B16,'Baremos actuales'!$A:$D,4,FALSE)=K$9,$E16*$F16,IF(VLOOKUP($B16,'Baremos anteriores'!$A:$D,4,FALSE)="Desmonte",$E16*$F16,"")))))</f>
        <v/>
      </c>
      <c r="L16" s="80" t="str">
        <f>IF($D16="","",
IF($E16="","",
IF($D16="MATE","",
IF(VLOOKUP($B16,'Baremos actuales'!$A:$D,4,FALSE)=L$9,$E16*$F16,""))))</f>
        <v/>
      </c>
      <c r="M16" s="91" t="str">
        <f t="shared" si="0"/>
        <v/>
      </c>
      <c r="N16" s="96"/>
      <c r="O16" s="95"/>
      <c r="P16" s="96"/>
      <c r="Q16" s="98"/>
    </row>
    <row r="17" spans="1:17" ht="15.75" x14ac:dyDescent="0.2">
      <c r="A17" s="17"/>
      <c r="B17" s="18"/>
      <c r="C17" s="87" t="str">
        <f>IF(B17="","",
IF(M17=$H$5,IFERROR(VLOOKUP(B17,'Baremos actuales'!A:E,5,FALSE),"No encontrado. Revisar código, fecha ejecución y/o contrato."),
IF(M17=$H$4,IFERROR(VLOOKUP(B17,'Baremos anteriores'!A:E,5,FALSE),"No encontrado. Revisar código, fecha ejecución y/o contrato."),
IF(M17=$H$3,IFERROR(VLOOKUP(B17,#REF!,5,FALSE),"No encontrado. Revisar código, fecha ejecución y/o contrato."),
IF(D17="","Código no encontrado",
IF(D17="ERROR","No encontrado. Revisar Código, fecha de ejecución y/o contrato.",
IF(D17="MATE",
IF(C16="DESCRIPCION","NO SE PUEDE COMENZAR SIN CÓDIGO DE TAREA",
IF(C16="","FALTA CÓDIGO DE TAREA",
CONCATENATE("          ",VLOOKUP(B17,'Maestro Materiales'!A:C,3,FALSE)))),IFERROR(VLOOKUP(B17,#REF!,5,FALSE),"No encontrado. Revisar código, fecha ejecución y/o contrato."))))))))</f>
        <v/>
      </c>
      <c r="D17" s="88" t="str">
        <f>IF(B17="","",
IFERROR(VLOOKUP(B17,'Maestro Materiales'!A:C,2,FALSE),
IFERROR(VLOOKUP(B17,'Baremos actuales'!A:B,2,FALSE),
IFERROR(VLOOKUP(B17,'Baremos anteriores'!A:B,2,FALSE),
""))))</f>
        <v/>
      </c>
      <c r="E17" s="9"/>
      <c r="F17" s="89" t="str">
        <f>IF(D17="MATE",
IF(E17="","¿Unidades?",""),
IF(D17="",IF(E17="","","¿Código?"),
IF(E17="","¿Unidades?",
IF(D17="TARE",
IF(M17=$H$3,IFERROR(VLOOKUP(B17,'Baremos actuales'!A:C,3,FALSE),0),
IF(M17=$H$4,IFERROR(VLOOKUP(B17,'Baremos anteriores'!A:C,3,FALSE),0),0))))))</f>
        <v/>
      </c>
      <c r="G17" s="7"/>
      <c r="H17" s="8"/>
      <c r="I17" s="8"/>
      <c r="J17" s="78" t="str">
        <f>IF($D17="","",
IF($E17="","",
IF($D17="MATE","",
IF(VLOOKUP($B17,'Baremos actuales'!A:D,4,FALSE)=J$9,$E17*$F17,IF(VLOOKUP($B17,'Baremos anteriores'!A:D,4,FALSE)="Sin Definir",$E17*$F17,"")))))</f>
        <v/>
      </c>
      <c r="K17" s="79" t="str">
        <f>IF($D17="","",
IF($E17="","",
IF($D17="MATE","",
IF(VLOOKUP($B17,'Baremos actuales'!$A:$D,4,FALSE)=K$9,$E17*$F17,IF(VLOOKUP($B17,'Baremos anteriores'!$A:$D,4,FALSE)="Desmonte",$E17*$F17,"")))))</f>
        <v/>
      </c>
      <c r="L17" s="80" t="str">
        <f>IF($D17="","",
IF($E17="","",
IF($D17="MATE","",
IF(VLOOKUP($B17,'Baremos actuales'!$A:$D,4,FALSE)=L$9,$E17*$F17,""))))</f>
        <v/>
      </c>
      <c r="M17" s="91" t="str">
        <f t="shared" si="0"/>
        <v/>
      </c>
      <c r="N17" s="96"/>
      <c r="O17" s="95"/>
      <c r="P17" s="96"/>
      <c r="Q17" s="98"/>
    </row>
    <row r="18" spans="1:17" ht="15.75" x14ac:dyDescent="0.2">
      <c r="A18" s="17"/>
      <c r="B18" s="18"/>
      <c r="C18" s="87" t="str">
        <f>IF(B18="","",
IF(M18=$H$5,IFERROR(VLOOKUP(B18,'Baremos actuales'!A:E,5,FALSE),"No encontrado. Revisar código, fecha ejecución y/o contrato."),
IF(M18=$H$4,IFERROR(VLOOKUP(B18,'Baremos anteriores'!A:E,5,FALSE),"No encontrado. Revisar código, fecha ejecución y/o contrato."),
IF(M18=$H$3,IFERROR(VLOOKUP(B18,#REF!,5,FALSE),"No encontrado. Revisar código, fecha ejecución y/o contrato."),
IF(D18="","Código no encontrado",
IF(D18="ERROR","No encontrado. Revisar Código, fecha de ejecución y/o contrato.",
IF(D18="MATE",
IF(C17="DESCRIPCION","NO SE PUEDE COMENZAR SIN CÓDIGO DE TAREA",
IF(C17="","FALTA CÓDIGO DE TAREA",
CONCATENATE("          ",VLOOKUP(B18,'Maestro Materiales'!A:C,3,FALSE)))),IFERROR(VLOOKUP(B18,#REF!,5,FALSE),"No encontrado. Revisar código, fecha ejecución y/o contrato."))))))))</f>
        <v/>
      </c>
      <c r="D18" s="88" t="str">
        <f>IF(B18="","",
IFERROR(VLOOKUP(B18,'Maestro Materiales'!A:C,2,FALSE),
IFERROR(VLOOKUP(B18,'Baremos actuales'!A:B,2,FALSE),
IFERROR(VLOOKUP(B18,'Baremos anteriores'!A:B,2,FALSE),
""))))</f>
        <v/>
      </c>
      <c r="E18" s="9"/>
      <c r="F18" s="89" t="str">
        <f>IF(D18="MATE",
IF(E18="","¿Unidades?",""),
IF(D18="",IF(E18="","","¿Código?"),
IF(E18="","¿Unidades?",
IF(D18="TARE",
IF(M18=$H$3,IFERROR(VLOOKUP(B18,'Baremos actuales'!A:C,3,FALSE),0),
IF(M18=$H$4,IFERROR(VLOOKUP(B18,'Baremos anteriores'!A:C,3,FALSE),0),0))))))</f>
        <v/>
      </c>
      <c r="G18" s="7"/>
      <c r="H18" s="8"/>
      <c r="I18" s="8"/>
      <c r="J18" s="78" t="str">
        <f>IF($D18="","",
IF($E18="","",
IF($D18="MATE","",
IF(VLOOKUP($B18,'Baremos actuales'!A:D,4,FALSE)=J$9,$E18*$F18,IF(VLOOKUP($B18,'Baremos anteriores'!A:D,4,FALSE)="Sin Definir",$E18*$F18,"")))))</f>
        <v/>
      </c>
      <c r="K18" s="79" t="str">
        <f>IF($D18="","",
IF($E18="","",
IF($D18="MATE","",
IF(VLOOKUP($B18,'Baremos actuales'!$A:$D,4,FALSE)=K$9,$E18*$F18,IF(VLOOKUP($B18,'Baremos anteriores'!$A:$D,4,FALSE)="Desmonte",$E18*$F18,"")))))</f>
        <v/>
      </c>
      <c r="L18" s="80" t="str">
        <f>IF($D18="","",
IF($E18="","",
IF($D18="MATE","",
IF(VLOOKUP($B18,'Baremos actuales'!$A:$D,4,FALSE)=L$9,$E18*$F18,""))))</f>
        <v/>
      </c>
      <c r="M18" s="91" t="str">
        <f t="shared" si="0"/>
        <v/>
      </c>
      <c r="N18" s="96"/>
      <c r="O18" s="95"/>
      <c r="P18" s="96"/>
      <c r="Q18" s="98"/>
    </row>
    <row r="19" spans="1:17" x14ac:dyDescent="0.2">
      <c r="B19" s="18"/>
      <c r="C19" s="87" t="str">
        <f>IF(B19="","",
IF(M19=$H$5,IFERROR(VLOOKUP(B19,'Baremos actuales'!A:E,5,FALSE),"No encontrado. Revisar código, fecha ejecución y/o contrato."),
IF(M19=$H$4,IFERROR(VLOOKUP(B19,'Baremos anteriores'!A:E,5,FALSE),"No encontrado. Revisar código, fecha ejecución y/o contrato."),
IF(M19=$H$3,IFERROR(VLOOKUP(B19,#REF!,5,FALSE),"No encontrado. Revisar código, fecha ejecución y/o contrato."),
IF(D19="","Código no encontrado",
IF(D19="ERROR","No encontrado. Revisar Código, fecha de ejecución y/o contrato.",
IF(D19="MATE",
IF(C18="DESCRIPCION","NO SE PUEDE COMENZAR SIN CÓDIGO DE TAREA",
IF(C18="","FALTA CÓDIGO DE TAREA",
CONCATENATE("          ",VLOOKUP(B19,'Maestro Materiales'!A:C,3,FALSE)))),IFERROR(VLOOKUP(B19,#REF!,5,FALSE),"No encontrado. Revisar código, fecha ejecución y/o contrato."))))))))</f>
        <v/>
      </c>
      <c r="D19" s="88" t="str">
        <f>IF(B19="","",
IFERROR(VLOOKUP(B19,'Maestro Materiales'!A:C,2,FALSE),
IFERROR(VLOOKUP(B19,'Baremos actuales'!A:B,2,FALSE),
IFERROR(VLOOKUP(B19,'Baremos anteriores'!A:B,2,FALSE),
""))))</f>
        <v/>
      </c>
      <c r="E19" s="9"/>
      <c r="F19" s="89" t="str">
        <f>IF(D19="MATE",
IF(E19="","¿Unidades?",""),
IF(D19="",IF(E19="","","¿Código?"),
IF(E19="","¿Unidades?",
IF(D19="TARE",
IF(M19=$H$3,IFERROR(VLOOKUP(B19,'Baremos actuales'!A:C,3,FALSE),0),
IF(M19=$H$4,IFERROR(VLOOKUP(B19,'Baremos anteriores'!A:C,3,FALSE),0),0))))))</f>
        <v/>
      </c>
      <c r="G19" s="7"/>
      <c r="H19" s="8"/>
      <c r="I19" s="8"/>
      <c r="J19" s="78" t="str">
        <f>IF($D19="","",
IF($E19="","",
IF($D19="MATE","",
IF(VLOOKUP($B19,'Baremos actuales'!A:D,4,FALSE)=J$9,$E19*$F19,IF(VLOOKUP($B19,'Baremos anteriores'!A:D,4,FALSE)="Sin Definir",$E19*$F19,"")))))</f>
        <v/>
      </c>
      <c r="K19" s="79" t="str">
        <f>IF($D19="","",
IF($E19="","",
IF($D19="MATE","",
IF(VLOOKUP($B19,'Baremos actuales'!$A:$D,4,FALSE)=K$9,$E19*$F19,IF(VLOOKUP($B19,'Baremos anteriores'!$A:$D,4,FALSE)="Desmonte",$E19*$F19,"")))))</f>
        <v/>
      </c>
      <c r="L19" s="80" t="str">
        <f>IF($D19="","",
IF($E19="","",
IF($D19="MATE","",
IF(VLOOKUP($B19,'Baremos actuales'!$A:$D,4,FALSE)=L$9,$E19*$F19,""))))</f>
        <v/>
      </c>
      <c r="M19" s="91" t="str">
        <f t="shared" si="0"/>
        <v/>
      </c>
      <c r="N19" s="96"/>
      <c r="O19" s="95"/>
      <c r="P19" s="96"/>
      <c r="Q19" s="98"/>
    </row>
    <row r="20" spans="1:17" ht="15.75" x14ac:dyDescent="0.2">
      <c r="A20" s="17"/>
      <c r="B20" s="18"/>
      <c r="C20" s="87" t="str">
        <f>IF(B20="","",
IF(M20=$H$5,IFERROR(VLOOKUP(B20,'Baremos actuales'!A:E,5,FALSE),"No encontrado. Revisar código, fecha ejecución y/o contrato."),
IF(M20=$H$4,IFERROR(VLOOKUP(B20,'Baremos anteriores'!A:E,5,FALSE),"No encontrado. Revisar código, fecha ejecución y/o contrato."),
IF(M20=$H$3,IFERROR(VLOOKUP(B20,#REF!,5,FALSE),"No encontrado. Revisar código, fecha ejecución y/o contrato."),
IF(D20="","Código no encontrado",
IF(D20="ERROR","No encontrado. Revisar Código, fecha de ejecución y/o contrato.",
IF(D20="MATE",
IF(C19="DESCRIPCION","NO SE PUEDE COMENZAR SIN CÓDIGO DE TAREA",
IF(C19="","FALTA CÓDIGO DE TAREA",
CONCATENATE("          ",VLOOKUP(B20,'Maestro Materiales'!A:C,3,FALSE)))),IFERROR(VLOOKUP(B20,#REF!,5,FALSE),"No encontrado. Revisar código, fecha ejecución y/o contrato."))))))))</f>
        <v/>
      </c>
      <c r="D20" s="88" t="str">
        <f>IF(B20="","",
IFERROR(VLOOKUP(B20,'Maestro Materiales'!A:C,2,FALSE),
IFERROR(VLOOKUP(B20,'Baremos actuales'!A:B,2,FALSE),
IFERROR(VLOOKUP(B20,'Baremos anteriores'!A:B,2,FALSE),
""))))</f>
        <v/>
      </c>
      <c r="E20" s="9"/>
      <c r="F20" s="89" t="str">
        <f>IF(D20="MATE",
IF(E20="","¿Unidades?",""),
IF(D20="",IF(E20="","","¿Código?"),
IF(E20="","¿Unidades?",
IF(D20="TARE",
IF(M20=$H$3,IFERROR(VLOOKUP(B20,'Baremos actuales'!A:C,3,FALSE),0),
IF(M20=$H$4,IFERROR(VLOOKUP(B20,'Baremos anteriores'!A:C,3,FALSE),0),0))))))</f>
        <v/>
      </c>
      <c r="G20" s="7"/>
      <c r="H20" s="8"/>
      <c r="I20" s="8"/>
      <c r="J20" s="78" t="str">
        <f>IF($D20="","",
IF($E20="","",
IF($D20="MATE","",
IF(VLOOKUP($B20,'Baremos actuales'!A:D,4,FALSE)=J$9,$E20*$F20,IF(VLOOKUP($B20,'Baremos anteriores'!A:D,4,FALSE)="Sin Definir",$E20*$F20,"")))))</f>
        <v/>
      </c>
      <c r="K20" s="79" t="str">
        <f>IF($D20="","",
IF($E20="","",
IF($D20="MATE","",
IF(VLOOKUP($B20,'Baremos actuales'!$A:$D,4,FALSE)=K$9,$E20*$F20,IF(VLOOKUP($B20,'Baremos anteriores'!$A:$D,4,FALSE)="Desmonte",$E20*$F20,"")))))</f>
        <v/>
      </c>
      <c r="L20" s="80" t="str">
        <f>IF($D20="","",
IF($E20="","",
IF($D20="MATE","",
IF(VLOOKUP($B20,'Baremos actuales'!$A:$D,4,FALSE)=L$9,$E20*$F20,""))))</f>
        <v/>
      </c>
      <c r="M20" s="91" t="str">
        <f t="shared" si="0"/>
        <v/>
      </c>
      <c r="N20" s="96"/>
      <c r="O20" s="95"/>
      <c r="P20" s="96"/>
      <c r="Q20" s="98"/>
    </row>
    <row r="21" spans="1:17" ht="15.75" x14ac:dyDescent="0.2">
      <c r="A21" s="17"/>
      <c r="B21" s="18"/>
      <c r="C21" s="87" t="str">
        <f>IF(B21="","",
IF(M21=$H$5,IFERROR(VLOOKUP(B21,'Baremos actuales'!A:E,5,FALSE),"No encontrado. Revisar código, fecha ejecución y/o contrato."),
IF(M21=$H$4,IFERROR(VLOOKUP(B21,'Baremos anteriores'!A:E,5,FALSE),"No encontrado. Revisar código, fecha ejecución y/o contrato."),
IF(M21=$H$3,IFERROR(VLOOKUP(B21,#REF!,5,FALSE),"No encontrado. Revisar código, fecha ejecución y/o contrato."),
IF(D21="","Código no encontrado",
IF(D21="ERROR","No encontrado. Revisar Código, fecha de ejecución y/o contrato.",
IF(D21="MATE",
IF(C20="DESCRIPCION","NO SE PUEDE COMENZAR SIN CÓDIGO DE TAREA",
IF(C20="","FALTA CÓDIGO DE TAREA",
CONCATENATE("          ",VLOOKUP(B21,'Maestro Materiales'!A:C,3,FALSE)))),IFERROR(VLOOKUP(B21,#REF!,5,FALSE),"No encontrado. Revisar código, fecha ejecución y/o contrato."))))))))</f>
        <v/>
      </c>
      <c r="D21" s="88" t="str">
        <f>IF(B21="","",
IFERROR(VLOOKUP(B21,'Maestro Materiales'!A:C,2,FALSE),
IFERROR(VLOOKUP(B21,'Baremos actuales'!A:B,2,FALSE),
IFERROR(VLOOKUP(B21,'Baremos anteriores'!A:B,2,FALSE),
""))))</f>
        <v/>
      </c>
      <c r="E21" s="9"/>
      <c r="F21" s="89" t="str">
        <f>IF(D21="MATE",
IF(E21="","¿Unidades?",""),
IF(D21="",IF(E21="","","¿Código?"),
IF(E21="","¿Unidades?",
IF(D21="TARE",
IF(M21=$H$3,IFERROR(VLOOKUP(B21,'Baremos actuales'!A:C,3,FALSE),0),
IF(M21=$H$4,IFERROR(VLOOKUP(B21,'Baremos anteriores'!A:C,3,FALSE),0),0))))))</f>
        <v/>
      </c>
      <c r="G21" s="7"/>
      <c r="H21" s="8"/>
      <c r="I21" s="8"/>
      <c r="J21" s="78" t="str">
        <f>IF($D21="","",
IF($E21="","",
IF($D21="MATE","",
IF(VLOOKUP($B21,'Baremos actuales'!A:D,4,FALSE)=J$9,$E21*$F21,IF(VLOOKUP($B21,'Baremos anteriores'!A:D,4,FALSE)="Sin Definir",$E21*$F21,"")))))</f>
        <v/>
      </c>
      <c r="K21" s="79" t="str">
        <f>IF($D21="","",
IF($E21="","",
IF($D21="MATE","",
IF(VLOOKUP($B21,'Baremos actuales'!$A:$D,4,FALSE)=K$9,$E21*$F21,IF(VLOOKUP($B21,'Baremos anteriores'!$A:$D,4,FALSE)="Desmonte",$E21*$F21,"")))))</f>
        <v/>
      </c>
      <c r="L21" s="80" t="str">
        <f>IF($D21="","",
IF($E21="","",
IF($D21="MATE","",
IF(VLOOKUP($B21,'Baremos actuales'!$A:$D,4,FALSE)=L$9,$E21*$F21,""))))</f>
        <v/>
      </c>
      <c r="M21" s="91" t="str">
        <f t="shared" si="0"/>
        <v/>
      </c>
      <c r="N21" s="96"/>
      <c r="O21" s="95"/>
      <c r="P21" s="96"/>
      <c r="Q21" s="98"/>
    </row>
    <row r="22" spans="1:17" ht="15.75" x14ac:dyDescent="0.2">
      <c r="A22" s="17"/>
      <c r="B22" s="18"/>
      <c r="C22" s="87" t="str">
        <f>IF(B22="","",
IF(M22=$H$5,IFERROR(VLOOKUP(B22,'Baremos actuales'!A:E,5,FALSE),"No encontrado. Revisar código, fecha ejecución y/o contrato."),
IF(M22=$H$4,IFERROR(VLOOKUP(B22,'Baremos anteriores'!A:E,5,FALSE),"No encontrado. Revisar código, fecha ejecución y/o contrato."),
IF(M22=$H$3,IFERROR(VLOOKUP(B22,#REF!,5,FALSE),"No encontrado. Revisar código, fecha ejecución y/o contrato."),
IF(D22="","Código no encontrado",
IF(D22="ERROR","No encontrado. Revisar Código, fecha de ejecución y/o contrato.",
IF(D22="MATE",
IF(C21="DESCRIPCION","NO SE PUEDE COMENZAR SIN CÓDIGO DE TAREA",
IF(C21="","FALTA CÓDIGO DE TAREA",
CONCATENATE("          ",VLOOKUP(B22,'Maestro Materiales'!A:C,3,FALSE)))),IFERROR(VLOOKUP(B22,#REF!,5,FALSE),"No encontrado. Revisar código, fecha ejecución y/o contrato."))))))))</f>
        <v/>
      </c>
      <c r="D22" s="88" t="str">
        <f>IF(B22="","",
IFERROR(VLOOKUP(B22,'Maestro Materiales'!A:C,2,FALSE),
IFERROR(VLOOKUP(B22,'Baremos actuales'!A:B,2,FALSE),
IFERROR(VLOOKUP(B22,'Baremos anteriores'!A:B,2,FALSE),
""))))</f>
        <v/>
      </c>
      <c r="E22" s="9"/>
      <c r="F22" s="89" t="str">
        <f>IF(D22="MATE",
IF(E22="","¿Unidades?",""),
IF(D22="",IF(E22="","","¿Código?"),
IF(E22="","¿Unidades?",
IF(D22="TARE",
IF(M22=$H$3,IFERROR(VLOOKUP(B22,'Baremos actuales'!A:C,3,FALSE),0),
IF(M22=$H$4,IFERROR(VLOOKUP(B22,'Baremos anteriores'!A:C,3,FALSE),0),0))))))</f>
        <v/>
      </c>
      <c r="G22" s="7"/>
      <c r="H22" s="8"/>
      <c r="I22" s="8"/>
      <c r="J22" s="78" t="str">
        <f>IF($D22="","",
IF($E22="","",
IF($D22="MATE","",
IF(VLOOKUP($B22,'Baremos actuales'!A:D,4,FALSE)=J$9,$E22*$F22,IF(VLOOKUP($B22,'Baremos anteriores'!A:D,4,FALSE)="Sin Definir",$E22*$F22,"")))))</f>
        <v/>
      </c>
      <c r="K22" s="79" t="str">
        <f>IF($D22="","",
IF($E22="","",
IF($D22="MATE","",
IF(VLOOKUP($B22,'Baremos actuales'!$A:$D,4,FALSE)=K$9,$E22*$F22,IF(VLOOKUP($B22,'Baremos anteriores'!$A:$D,4,FALSE)="Desmonte",$E22*$F22,"")))))</f>
        <v/>
      </c>
      <c r="L22" s="80" t="str">
        <f>IF($D22="","",
IF($E22="","",
IF($D22="MATE","",
IF(VLOOKUP($B22,'Baremos actuales'!$A:$D,4,FALSE)=L$9,$E22*$F22,""))))</f>
        <v/>
      </c>
      <c r="M22" s="91" t="str">
        <f t="shared" si="0"/>
        <v/>
      </c>
      <c r="N22" s="96"/>
      <c r="O22" s="95"/>
      <c r="P22" s="96"/>
      <c r="Q22" s="98"/>
    </row>
    <row r="23" spans="1:17" ht="15.75" x14ac:dyDescent="0.2">
      <c r="A23" s="17"/>
      <c r="B23" s="18"/>
      <c r="C23" s="87" t="str">
        <f>IF(B23="","",
IF(M23=$H$5,IFERROR(VLOOKUP(B23,'Baremos actuales'!A:E,5,FALSE),"No encontrado. Revisar código, fecha ejecución y/o contrato."),
IF(M23=$H$4,IFERROR(VLOOKUP(B23,'Baremos anteriores'!A:E,5,FALSE),"No encontrado. Revisar código, fecha ejecución y/o contrato."),
IF(M23=$H$3,IFERROR(VLOOKUP(B23,#REF!,5,FALSE),"No encontrado. Revisar código, fecha ejecución y/o contrato."),
IF(D23="","Código no encontrado",
IF(D23="ERROR","No encontrado. Revisar Código, fecha de ejecución y/o contrato.",
IF(D23="MATE",
IF(C22="DESCRIPCION","NO SE PUEDE COMENZAR SIN CÓDIGO DE TAREA",
IF(C22="","FALTA CÓDIGO DE TAREA",
CONCATENATE("          ",VLOOKUP(B23,'Maestro Materiales'!A:C,3,FALSE)))),IFERROR(VLOOKUP(B23,#REF!,5,FALSE),"No encontrado. Revisar código, fecha ejecución y/o contrato."))))))))</f>
        <v/>
      </c>
      <c r="D23" s="88" t="str">
        <f>IF(B23="","",
IFERROR(VLOOKUP(B23,'Maestro Materiales'!A:C,2,FALSE),
IFERROR(VLOOKUP(B23,'Baremos actuales'!A:B,2,FALSE),
IFERROR(VLOOKUP(B23,'Baremos anteriores'!A:B,2,FALSE),
""))))</f>
        <v/>
      </c>
      <c r="E23" s="9"/>
      <c r="F23" s="89" t="str">
        <f>IF(D23="MATE",
IF(E23="","¿Unidades?",""),
IF(D23="",IF(E23="","","¿Código?"),
IF(E23="","¿Unidades?",
IF(D23="TARE",
IF(M23=$H$3,IFERROR(VLOOKUP(B23,'Baremos actuales'!A:C,3,FALSE),0),
IF(M23=$H$4,IFERROR(VLOOKUP(B23,'Baremos anteriores'!A:C,3,FALSE),0),0))))))</f>
        <v/>
      </c>
      <c r="G23" s="7"/>
      <c r="H23" s="8"/>
      <c r="I23" s="8"/>
      <c r="J23" s="78" t="str">
        <f>IF($D23="","",
IF($E23="","",
IF($D23="MATE","",
IF(VLOOKUP($B23,'Baremos actuales'!A:D,4,FALSE)=J$9,$E23*$F23,IF(VLOOKUP($B23,'Baremos anteriores'!A:D,4,FALSE)="Sin Definir",$E23*$F23,"")))))</f>
        <v/>
      </c>
      <c r="K23" s="79" t="str">
        <f>IF($D23="","",
IF($E23="","",
IF($D23="MATE","",
IF(VLOOKUP($B23,'Baremos actuales'!$A:$D,4,FALSE)=K$9,$E23*$F23,IF(VLOOKUP($B23,'Baremos anteriores'!$A:$D,4,FALSE)="Desmonte",$E23*$F23,"")))))</f>
        <v/>
      </c>
      <c r="L23" s="80" t="str">
        <f>IF($D23="","",
IF($E23="","",
IF($D23="MATE","",
IF(VLOOKUP($B23,'Baremos actuales'!$A:$D,4,FALSE)=L$9,$E23*$F23,""))))</f>
        <v/>
      </c>
      <c r="M23" s="91" t="str">
        <f t="shared" si="0"/>
        <v/>
      </c>
      <c r="N23" s="96"/>
      <c r="O23" s="95"/>
      <c r="P23" s="96"/>
      <c r="Q23" s="98"/>
    </row>
    <row r="24" spans="1:17" ht="15.75" x14ac:dyDescent="0.2">
      <c r="A24" s="17"/>
      <c r="B24" s="18"/>
      <c r="C24" s="87" t="str">
        <f>IF(B24="","",
IF(M24=$H$5,IFERROR(VLOOKUP(B24,'Baremos actuales'!A:E,5,FALSE),"No encontrado. Revisar código, fecha ejecución y/o contrato."),
IF(M24=$H$4,IFERROR(VLOOKUP(B24,'Baremos anteriores'!A:E,5,FALSE),"No encontrado. Revisar código, fecha ejecución y/o contrato."),
IF(M24=$H$3,IFERROR(VLOOKUP(B24,#REF!,5,FALSE),"No encontrado. Revisar código, fecha ejecución y/o contrato."),
IF(D24="","Código no encontrado",
IF(D24="ERROR","No encontrado. Revisar Código, fecha de ejecución y/o contrato.",
IF(D24="MATE",
IF(C23="DESCRIPCION","NO SE PUEDE COMENZAR SIN CÓDIGO DE TAREA",
IF(C23="","FALTA CÓDIGO DE TAREA",
CONCATENATE("          ",VLOOKUP(B24,'Maestro Materiales'!A:C,3,FALSE)))),IFERROR(VLOOKUP(B24,#REF!,5,FALSE),"No encontrado. Revisar código, fecha ejecución y/o contrato."))))))))</f>
        <v/>
      </c>
      <c r="D24" s="88" t="str">
        <f>IF(B24="","",
IFERROR(VLOOKUP(B24,'Maestro Materiales'!A:C,2,FALSE),
IFERROR(VLOOKUP(B24,'Baremos actuales'!A:B,2,FALSE),
IFERROR(VLOOKUP(B24,'Baremos anteriores'!A:B,2,FALSE),
""))))</f>
        <v/>
      </c>
      <c r="E24" s="9"/>
      <c r="F24" s="89" t="str">
        <f>IF(D24="MATE",
IF(E24="","¿Unidades?",""),
IF(D24="",IF(E24="","","¿Código?"),
IF(E24="","¿Unidades?",
IF(D24="TARE",
IF(M24=$H$3,IFERROR(VLOOKUP(B24,'Baremos actuales'!A:C,3,FALSE),0),
IF(M24=$H$4,IFERROR(VLOOKUP(B24,'Baremos anteriores'!A:C,3,FALSE),0),0))))))</f>
        <v/>
      </c>
      <c r="G24" s="7"/>
      <c r="H24" s="8"/>
      <c r="I24" s="8"/>
      <c r="J24" s="78" t="str">
        <f>IF($D24="","",
IF($E24="","",
IF($D24="MATE","",
IF(VLOOKUP($B24,'Baremos actuales'!A:D,4,FALSE)=J$9,$E24*$F24,IF(VLOOKUP($B24,'Baremos anteriores'!A:D,4,FALSE)="Sin Definir",$E24*$F24,"")))))</f>
        <v/>
      </c>
      <c r="K24" s="79" t="str">
        <f>IF($D24="","",
IF($E24="","",
IF($D24="MATE","",
IF(VLOOKUP($B24,'Baremos actuales'!$A:$D,4,FALSE)=K$9,$E24*$F24,IF(VLOOKUP($B24,'Baremos anteriores'!$A:$D,4,FALSE)="Desmonte",$E24*$F24,"")))))</f>
        <v/>
      </c>
      <c r="L24" s="80" t="str">
        <f>IF($D24="","",
IF($E24="","",
IF($D24="MATE","",
IF(VLOOKUP($B24,'Baremos actuales'!$A:$D,4,FALSE)=L$9,$E24*$F24,""))))</f>
        <v/>
      </c>
      <c r="M24" s="91" t="str">
        <f t="shared" si="0"/>
        <v/>
      </c>
      <c r="N24" s="96"/>
      <c r="O24" s="95"/>
      <c r="P24" s="96"/>
      <c r="Q24" s="98"/>
    </row>
    <row r="25" spans="1:17" ht="15.75" x14ac:dyDescent="0.2">
      <c r="A25" s="17"/>
      <c r="B25" s="18"/>
      <c r="C25" s="87" t="str">
        <f>IF(B25="","",
IF(M25=$H$5,IFERROR(VLOOKUP(B25,'Baremos actuales'!A:E,5,FALSE),"No encontrado. Revisar código, fecha ejecución y/o contrato."),
IF(M25=$H$4,IFERROR(VLOOKUP(B25,'Baremos anteriores'!A:E,5,FALSE),"No encontrado. Revisar código, fecha ejecución y/o contrato."),
IF(M25=$H$3,IFERROR(VLOOKUP(B25,#REF!,5,FALSE),"No encontrado. Revisar código, fecha ejecución y/o contrato."),
IF(D25="","Código no encontrado",
IF(D25="ERROR","No encontrado. Revisar Código, fecha de ejecución y/o contrato.",
IF(D25="MATE",
IF(C24="DESCRIPCION","NO SE PUEDE COMENZAR SIN CÓDIGO DE TAREA",
IF(C24="","FALTA CÓDIGO DE TAREA",
CONCATENATE("          ",VLOOKUP(B25,'Maestro Materiales'!A:C,3,FALSE)))),IFERROR(VLOOKUP(B25,#REF!,5,FALSE),"No encontrado. Revisar código, fecha ejecución y/o contrato."))))))))</f>
        <v/>
      </c>
      <c r="D25" s="88" t="str">
        <f>IF(B25="","",
IFERROR(VLOOKUP(B25,'Maestro Materiales'!A:C,2,FALSE),
IFERROR(VLOOKUP(B25,'Baremos actuales'!A:B,2,FALSE),
IFERROR(VLOOKUP(B25,'Baremos anteriores'!A:B,2,FALSE),
""))))</f>
        <v/>
      </c>
      <c r="E25" s="9"/>
      <c r="F25" s="89" t="str">
        <f>IF(D25="MATE",
IF(E25="","¿Unidades?",""),
IF(D25="",IF(E25="","","¿Código?"),
IF(E25="","¿Unidades?",
IF(D25="TARE",
IF(M25=$H$3,IFERROR(VLOOKUP(B25,'Baremos actuales'!A:C,3,FALSE),0),
IF(M25=$H$4,IFERROR(VLOOKUP(B25,'Baremos anteriores'!A:C,3,FALSE),0),0))))))</f>
        <v/>
      </c>
      <c r="G25" s="7"/>
      <c r="H25" s="8"/>
      <c r="I25" s="8"/>
      <c r="J25" s="78" t="str">
        <f>IF($D25="","",
IF($E25="","",
IF($D25="MATE","",
IF(VLOOKUP($B25,'Baremos actuales'!A:D,4,FALSE)=J$9,$E25*$F25,IF(VLOOKUP($B25,'Baremos anteriores'!A:D,4,FALSE)="Sin Definir",$E25*$F25,"")))))</f>
        <v/>
      </c>
      <c r="K25" s="79" t="str">
        <f>IF($D25="","",
IF($E25="","",
IF($D25="MATE","",
IF(VLOOKUP($B25,'Baremos actuales'!$A:$D,4,FALSE)=K$9,$E25*$F25,IF(VLOOKUP($B25,'Baremos anteriores'!$A:$D,4,FALSE)="Desmonte",$E25*$F25,"")))))</f>
        <v/>
      </c>
      <c r="L25" s="80" t="str">
        <f>IF($D25="","",
IF($E25="","",
IF($D25="MATE","",
IF(VLOOKUP($B25,'Baremos actuales'!$A:$D,4,FALSE)=L$9,$E25*$F25,""))))</f>
        <v/>
      </c>
      <c r="M25" s="91" t="str">
        <f t="shared" si="0"/>
        <v/>
      </c>
      <c r="N25" s="96"/>
      <c r="O25" s="95"/>
      <c r="P25" s="96"/>
      <c r="Q25" s="98"/>
    </row>
    <row r="26" spans="1:17" ht="15.75" x14ac:dyDescent="0.2">
      <c r="A26" s="17"/>
      <c r="B26" s="18"/>
      <c r="C26" s="87" t="str">
        <f>IF(B26="","",
IF(M26=$H$5,IFERROR(VLOOKUP(B26,'Baremos actuales'!A:E,5,FALSE),"No encontrado. Revisar código, fecha ejecución y/o contrato."),
IF(M26=$H$4,IFERROR(VLOOKUP(B26,'Baremos anteriores'!A:E,5,FALSE),"No encontrado. Revisar código, fecha ejecución y/o contrato."),
IF(M26=$H$3,IFERROR(VLOOKUP(B26,#REF!,5,FALSE),"No encontrado. Revisar código, fecha ejecución y/o contrato."),
IF(D26="","Código no encontrado",
IF(D26="ERROR","No encontrado. Revisar Código, fecha de ejecución y/o contrato.",
IF(D26="MATE",
IF(C25="DESCRIPCION","NO SE PUEDE COMENZAR SIN CÓDIGO DE TAREA",
IF(C25="","FALTA CÓDIGO DE TAREA",
CONCATENATE("          ",VLOOKUP(B26,'Maestro Materiales'!A:C,3,FALSE)))),IFERROR(VLOOKUP(B26,#REF!,5,FALSE),"No encontrado. Revisar código, fecha ejecución y/o contrato."))))))))</f>
        <v/>
      </c>
      <c r="D26" s="88" t="str">
        <f>IF(B26="","",
IFERROR(VLOOKUP(B26,'Maestro Materiales'!A:C,2,FALSE),
IFERROR(VLOOKUP(B26,'Baremos actuales'!A:B,2,FALSE),
IFERROR(VLOOKUP(B26,'Baremos anteriores'!A:B,2,FALSE),
""))))</f>
        <v/>
      </c>
      <c r="E26" s="9"/>
      <c r="F26" s="89" t="str">
        <f>IF(D26="MATE",
IF(E26="","¿Unidades?",""),
IF(D26="",IF(E26="","","¿Código?"),
IF(E26="","¿Unidades?",
IF(D26="TARE",
IF(M26=$H$3,IFERROR(VLOOKUP(B26,'Baremos actuales'!A:C,3,FALSE),0),
IF(M26=$H$4,IFERROR(VLOOKUP(B26,'Baremos anteriores'!A:C,3,FALSE),0),0))))))</f>
        <v/>
      </c>
      <c r="G26" s="7"/>
      <c r="H26" s="8"/>
      <c r="I26" s="8"/>
      <c r="J26" s="78" t="str">
        <f>IF($D26="","",
IF($E26="","",
IF($D26="MATE","",
IF(VLOOKUP($B26,'Baremos actuales'!A:D,4,FALSE)=J$9,$E26*$F26,IF(VLOOKUP($B26,'Baremos anteriores'!A:D,4,FALSE)="Sin Definir",$E26*$F26,"")))))</f>
        <v/>
      </c>
      <c r="K26" s="79" t="str">
        <f>IF($D26="","",
IF($E26="","",
IF($D26="MATE","",
IF(VLOOKUP($B26,'Baremos actuales'!$A:$D,4,FALSE)=K$9,$E26*$F26,IF(VLOOKUP($B26,'Baremos anteriores'!$A:$D,4,FALSE)="Desmonte",$E26*$F26,"")))))</f>
        <v/>
      </c>
      <c r="L26" s="80" t="str">
        <f>IF($D26="","",
IF($E26="","",
IF($D26="MATE","",
IF(VLOOKUP($B26,'Baremos actuales'!$A:$D,4,FALSE)=L$9,$E26*$F26,""))))</f>
        <v/>
      </c>
      <c r="M26" s="91" t="str">
        <f t="shared" si="0"/>
        <v/>
      </c>
      <c r="N26" s="96"/>
      <c r="O26" s="95"/>
      <c r="P26" s="96"/>
      <c r="Q26" s="98"/>
    </row>
    <row r="27" spans="1:17" ht="15.75" x14ac:dyDescent="0.2">
      <c r="A27" s="17"/>
      <c r="B27" s="18"/>
      <c r="C27" s="87" t="str">
        <f>IF(B27="","",
IF(M27=$H$5,IFERROR(VLOOKUP(B27,'Baremos actuales'!A:E,5,FALSE),"No encontrado. Revisar código, fecha ejecución y/o contrato."),
IF(M27=$H$4,IFERROR(VLOOKUP(B27,'Baremos anteriores'!A:E,5,FALSE),"No encontrado. Revisar código, fecha ejecución y/o contrato."),
IF(M27=$H$3,IFERROR(VLOOKUP(B27,#REF!,5,FALSE),"No encontrado. Revisar código, fecha ejecución y/o contrato."),
IF(D27="","Código no encontrado",
IF(D27="ERROR","No encontrado. Revisar Código, fecha de ejecución y/o contrato.",
IF(D27="MATE",
IF(C26="DESCRIPCION","NO SE PUEDE COMENZAR SIN CÓDIGO DE TAREA",
IF(C26="","FALTA CÓDIGO DE TAREA",
CONCATENATE("          ",VLOOKUP(B27,'Maestro Materiales'!A:C,3,FALSE)))),IFERROR(VLOOKUP(B27,#REF!,5,FALSE),"No encontrado. Revisar código, fecha ejecución y/o contrato."))))))))</f>
        <v/>
      </c>
      <c r="D27" s="88" t="str">
        <f>IF(B27="","",
IFERROR(VLOOKUP(B27,'Maestro Materiales'!A:C,2,FALSE),
IFERROR(VLOOKUP(B27,'Baremos actuales'!A:B,2,FALSE),
IFERROR(VLOOKUP(B27,'Baremos anteriores'!A:B,2,FALSE),
""))))</f>
        <v/>
      </c>
      <c r="E27" s="9"/>
      <c r="F27" s="89" t="str">
        <f>IF(D27="MATE",
IF(E27="","¿Unidades?",""),
IF(D27="",IF(E27="","","¿Código?"),
IF(E27="","¿Unidades?",
IF(D27="TARE",
IF(M27=$H$3,IFERROR(VLOOKUP(B27,'Baremos actuales'!A:C,3,FALSE),0),
IF(M27=$H$4,IFERROR(VLOOKUP(B27,'Baremos anteriores'!A:C,3,FALSE),0),0))))))</f>
        <v/>
      </c>
      <c r="G27" s="7"/>
      <c r="H27" s="8"/>
      <c r="I27" s="8"/>
      <c r="J27" s="78" t="str">
        <f>IF($D27="","",
IF($E27="","",
IF($D27="MATE","",
IF(VLOOKUP($B27,'Baremos actuales'!A:D,4,FALSE)=J$9,$E27*$F27,IF(VLOOKUP($B27,'Baremos anteriores'!A:D,4,FALSE)="Sin Definir",$E27*$F27,"")))))</f>
        <v/>
      </c>
      <c r="K27" s="79" t="str">
        <f>IF($D27="","",
IF($E27="","",
IF($D27="MATE","",
IF(VLOOKUP($B27,'Baremos actuales'!$A:$D,4,FALSE)=K$9,$E27*$F27,IF(VLOOKUP($B27,'Baremos anteriores'!$A:$D,4,FALSE)="Desmonte",$E27*$F27,"")))))</f>
        <v/>
      </c>
      <c r="L27" s="80" t="str">
        <f>IF($D27="","",
IF($E27="","",
IF($D27="MATE","",
IF(VLOOKUP($B27,'Baremos actuales'!$A:$D,4,FALSE)=L$9,$E27*$F27,""))))</f>
        <v/>
      </c>
      <c r="M27" s="91" t="str">
        <f t="shared" si="0"/>
        <v/>
      </c>
      <c r="N27" s="96"/>
      <c r="O27" s="95"/>
      <c r="P27" s="96"/>
      <c r="Q27" s="98"/>
    </row>
    <row r="28" spans="1:17" ht="15.75" x14ac:dyDescent="0.2">
      <c r="A28" s="17"/>
      <c r="B28" s="18"/>
      <c r="C28" s="87" t="str">
        <f>IF(B28="","",
IF(M28=$H$5,IFERROR(VLOOKUP(B28,'Baremos actuales'!A:E,5,FALSE),"No encontrado. Revisar código, fecha ejecución y/o contrato."),
IF(M28=$H$4,IFERROR(VLOOKUP(B28,'Baremos anteriores'!A:E,5,FALSE),"No encontrado. Revisar código, fecha ejecución y/o contrato."),
IF(M28=$H$3,IFERROR(VLOOKUP(B28,#REF!,5,FALSE),"No encontrado. Revisar código, fecha ejecución y/o contrato."),
IF(D28="","Código no encontrado",
IF(D28="ERROR","No encontrado. Revisar Código, fecha de ejecución y/o contrato.",
IF(D28="MATE",
IF(C27="DESCRIPCION","NO SE PUEDE COMENZAR SIN CÓDIGO DE TAREA",
IF(C27="","FALTA CÓDIGO DE TAREA",
CONCATENATE("          ",VLOOKUP(B28,'Maestro Materiales'!A:C,3,FALSE)))),IFERROR(VLOOKUP(B28,#REF!,5,FALSE),"No encontrado. Revisar código, fecha ejecución y/o contrato."))))))))</f>
        <v/>
      </c>
      <c r="D28" s="88" t="str">
        <f>IF(B28="","",
IFERROR(VLOOKUP(B28,'Maestro Materiales'!A:C,2,FALSE),
IFERROR(VLOOKUP(B28,'Baremos actuales'!A:B,2,FALSE),
IFERROR(VLOOKUP(B28,'Baremos anteriores'!A:B,2,FALSE),
""))))</f>
        <v/>
      </c>
      <c r="E28" s="9"/>
      <c r="F28" s="89" t="str">
        <f>IF(D28="MATE",
IF(E28="","¿Unidades?",""),
IF(D28="",IF(E28="","","¿Código?"),
IF(E28="","¿Unidades?",
IF(D28="TARE",
IF(M28=$H$3,IFERROR(VLOOKUP(B28,'Baremos actuales'!A:C,3,FALSE),0),
IF(M28=$H$4,IFERROR(VLOOKUP(B28,'Baremos anteriores'!A:C,3,FALSE),0),0))))))</f>
        <v/>
      </c>
      <c r="G28" s="7"/>
      <c r="H28" s="8"/>
      <c r="I28" s="8"/>
      <c r="J28" s="78" t="str">
        <f>IF($D28="","",
IF($E28="","",
IF($D28="MATE","",
IF(VLOOKUP($B28,'Baremos actuales'!A:D,4,FALSE)=J$9,$E28*$F28,IF(VLOOKUP($B28,'Baremos anteriores'!A:D,4,FALSE)="Sin Definir",$E28*$F28,"")))))</f>
        <v/>
      </c>
      <c r="K28" s="79" t="str">
        <f>IF($D28="","",
IF($E28="","",
IF($D28="MATE","",
IF(VLOOKUP($B28,'Baremos actuales'!$A:$D,4,FALSE)=K$9,$E28*$F28,IF(VLOOKUP($B28,'Baremos anteriores'!$A:$D,4,FALSE)="Desmonte",$E28*$F28,"")))))</f>
        <v/>
      </c>
      <c r="L28" s="80" t="str">
        <f>IF($D28="","",
IF($E28="","",
IF($D28="MATE","",
IF(VLOOKUP($B28,'Baremos actuales'!$A:$D,4,FALSE)=L$9,$E28*$F28,""))))</f>
        <v/>
      </c>
      <c r="M28" s="91" t="str">
        <f t="shared" si="0"/>
        <v/>
      </c>
      <c r="N28" s="96"/>
      <c r="O28" s="95"/>
      <c r="P28" s="96"/>
      <c r="Q28" s="98"/>
    </row>
    <row r="29" spans="1:17" ht="15.75" x14ac:dyDescent="0.2">
      <c r="A29" s="17"/>
      <c r="B29" s="18"/>
      <c r="C29" s="87" t="str">
        <f>IF(B29="","",
IF(M29=$H$5,IFERROR(VLOOKUP(B29,'Baremos actuales'!A:E,5,FALSE),"No encontrado. Revisar código, fecha ejecución y/o contrato."),
IF(M29=$H$4,IFERROR(VLOOKUP(B29,'Baremos anteriores'!A:E,5,FALSE),"No encontrado. Revisar código, fecha ejecución y/o contrato."),
IF(M29=$H$3,IFERROR(VLOOKUP(B29,#REF!,5,FALSE),"No encontrado. Revisar código, fecha ejecución y/o contrato."),
IF(D29="","Código no encontrado",
IF(D29="ERROR","No encontrado. Revisar Código, fecha de ejecución y/o contrato.",
IF(D29="MATE",
IF(C28="DESCRIPCION","NO SE PUEDE COMENZAR SIN CÓDIGO DE TAREA",
IF(C28="","FALTA CÓDIGO DE TAREA",
CONCATENATE("          ",VLOOKUP(B29,'Maestro Materiales'!A:C,3,FALSE)))),IFERROR(VLOOKUP(B29,#REF!,5,FALSE),"No encontrado. Revisar código, fecha ejecución y/o contrato."))))))))</f>
        <v/>
      </c>
      <c r="D29" s="88" t="str">
        <f>IF(B29="","",
IFERROR(VLOOKUP(B29,'Maestro Materiales'!A:C,2,FALSE),
IFERROR(VLOOKUP(B29,'Baremos actuales'!A:B,2,FALSE),
IFERROR(VLOOKUP(B29,'Baremos anteriores'!A:B,2,FALSE),
""))))</f>
        <v/>
      </c>
      <c r="E29" s="9"/>
      <c r="F29" s="89" t="str">
        <f>IF(D29="MATE",
IF(E29="","¿Unidades?",""),
IF(D29="",IF(E29="","","¿Código?"),
IF(E29="","¿Unidades?",
IF(D29="TARE",
IF(M29=$H$3,IFERROR(VLOOKUP(B29,'Baremos actuales'!A:C,3,FALSE),0),
IF(M29=$H$4,IFERROR(VLOOKUP(B29,'Baremos anteriores'!A:C,3,FALSE),0),0))))))</f>
        <v/>
      </c>
      <c r="G29" s="7"/>
      <c r="H29" s="8"/>
      <c r="I29" s="8"/>
      <c r="J29" s="78" t="str">
        <f>IF($D29="","",
IF($E29="","",
IF($D29="MATE","",
IF(VLOOKUP($B29,'Baremos actuales'!A:D,4,FALSE)=J$9,$E29*$F29,IF(VLOOKUP($B29,'Baremos anteriores'!A:D,4,FALSE)="Sin Definir",$E29*$F29,"")))))</f>
        <v/>
      </c>
      <c r="K29" s="79" t="str">
        <f>IF($D29="","",
IF($E29="","",
IF($D29="MATE","",
IF(VLOOKUP($B29,'Baremos actuales'!$A:$D,4,FALSE)=K$9,$E29*$F29,IF(VLOOKUP($B29,'Baremos anteriores'!$A:$D,4,FALSE)="Desmonte",$E29*$F29,"")))))</f>
        <v/>
      </c>
      <c r="L29" s="80" t="str">
        <f>IF($D29="","",
IF($E29="","",
IF($D29="MATE","",
IF(VLOOKUP($B29,'Baremos actuales'!$A:$D,4,FALSE)=L$9,$E29*$F29,""))))</f>
        <v/>
      </c>
      <c r="M29" s="91" t="str">
        <f t="shared" si="0"/>
        <v/>
      </c>
      <c r="N29" s="96"/>
      <c r="O29" s="95"/>
      <c r="P29" s="96"/>
      <c r="Q29" s="98"/>
    </row>
    <row r="30" spans="1:17" ht="15.75" x14ac:dyDescent="0.2">
      <c r="A30" s="17"/>
      <c r="B30" s="18"/>
      <c r="C30" s="87" t="str">
        <f>IF(B30="","",
IF(M30=$H$5,IFERROR(VLOOKUP(B30,'Baremos actuales'!A:E,5,FALSE),"No encontrado. Revisar código, fecha ejecución y/o contrato."),
IF(M30=$H$4,IFERROR(VLOOKUP(B30,'Baremos anteriores'!A:E,5,FALSE),"No encontrado. Revisar código, fecha ejecución y/o contrato."),
IF(M30=$H$3,IFERROR(VLOOKUP(B30,#REF!,5,FALSE),"No encontrado. Revisar código, fecha ejecución y/o contrato."),
IF(D30="","Código no encontrado",
IF(D30="ERROR","No encontrado. Revisar Código, fecha de ejecución y/o contrato.",
IF(D30="MATE",
IF(C29="DESCRIPCION","NO SE PUEDE COMENZAR SIN CÓDIGO DE TAREA",
IF(C29="","FALTA CÓDIGO DE TAREA",
CONCATENATE("          ",VLOOKUP(B30,'Maestro Materiales'!A:C,3,FALSE)))),IFERROR(VLOOKUP(B30,#REF!,5,FALSE),"No encontrado. Revisar código, fecha ejecución y/o contrato."))))))))</f>
        <v/>
      </c>
      <c r="D30" s="88" t="str">
        <f>IF(B30="","",
IFERROR(VLOOKUP(B30,'Maestro Materiales'!A:C,2,FALSE),
IFERROR(VLOOKUP(B30,'Baremos actuales'!A:B,2,FALSE),
IFERROR(VLOOKUP(B30,'Baremos anteriores'!A:B,2,FALSE),
""))))</f>
        <v/>
      </c>
      <c r="E30" s="9"/>
      <c r="F30" s="89" t="str">
        <f>IF(D30="MATE",
IF(E30="","¿Unidades?",""),
IF(D30="",IF(E30="","","¿Código?"),
IF(E30="","¿Unidades?",
IF(D30="TARE",
IF(M30=$H$3,IFERROR(VLOOKUP(B30,'Baremos actuales'!A:C,3,FALSE),0),
IF(M30=$H$4,IFERROR(VLOOKUP(B30,'Baremos anteriores'!A:C,3,FALSE),0),0))))))</f>
        <v/>
      </c>
      <c r="G30" s="7"/>
      <c r="H30" s="8"/>
      <c r="I30" s="8"/>
      <c r="J30" s="78" t="str">
        <f>IF($D30="","",
IF($E30="","",
IF($D30="MATE","",
IF(VLOOKUP($B30,'Baremos actuales'!A:D,4,FALSE)=J$9,$E30*$F30,IF(VLOOKUP($B30,'Baremos anteriores'!A:D,4,FALSE)="Sin Definir",$E30*$F30,"")))))</f>
        <v/>
      </c>
      <c r="K30" s="79" t="str">
        <f>IF($D30="","",
IF($E30="","",
IF($D30="MATE","",
IF(VLOOKUP($B30,'Baremos actuales'!$A:$D,4,FALSE)=K$9,$E30*$F30,IF(VLOOKUP($B30,'Baremos anteriores'!$A:$D,4,FALSE)="Desmonte",$E30*$F30,"")))))</f>
        <v/>
      </c>
      <c r="L30" s="80" t="str">
        <f>IF($D30="","",
IF($E30="","",
IF($D30="MATE","",
IF(VLOOKUP($B30,'Baremos actuales'!$A:$D,4,FALSE)=L$9,$E30*$F30,""))))</f>
        <v/>
      </c>
      <c r="M30" s="91" t="str">
        <f t="shared" si="0"/>
        <v/>
      </c>
      <c r="N30" s="96"/>
      <c r="O30" s="95"/>
      <c r="P30" s="96"/>
      <c r="Q30" s="98"/>
    </row>
    <row r="31" spans="1:17" ht="15.75" x14ac:dyDescent="0.2">
      <c r="A31" s="17"/>
      <c r="B31" s="18"/>
      <c r="C31" s="87" t="str">
        <f>IF(B31="","",
IF(M31=$H$5,IFERROR(VLOOKUP(B31,'Baremos actuales'!A:E,5,FALSE),"No encontrado. Revisar código, fecha ejecución y/o contrato."),
IF(M31=$H$4,IFERROR(VLOOKUP(B31,'Baremos anteriores'!A:E,5,FALSE),"No encontrado. Revisar código, fecha ejecución y/o contrato."),
IF(M31=$H$3,IFERROR(VLOOKUP(B31,#REF!,5,FALSE),"No encontrado. Revisar código, fecha ejecución y/o contrato."),
IF(D31="","Código no encontrado",
IF(D31="ERROR","No encontrado. Revisar Código, fecha de ejecución y/o contrato.",
IF(D31="MATE",
IF(C30="DESCRIPCION","NO SE PUEDE COMENZAR SIN CÓDIGO DE TAREA",
IF(C30="","FALTA CÓDIGO DE TAREA",
CONCATENATE("          ",VLOOKUP(B31,'Maestro Materiales'!A:C,3,FALSE)))),IFERROR(VLOOKUP(B31,#REF!,5,FALSE),"No encontrado. Revisar código, fecha ejecución y/o contrato."))))))))</f>
        <v/>
      </c>
      <c r="D31" s="88" t="str">
        <f>IF(B31="","",
IFERROR(VLOOKUP(B31,'Maestro Materiales'!A:C,2,FALSE),
IFERROR(VLOOKUP(B31,'Baremos actuales'!A:B,2,FALSE),
IFERROR(VLOOKUP(B31,'Baremos anteriores'!A:B,2,FALSE),
""))))</f>
        <v/>
      </c>
      <c r="E31" s="9"/>
      <c r="F31" s="89" t="str">
        <f>IF(D31="MATE",
IF(E31="","¿Unidades?",""),
IF(D31="",IF(E31="","","¿Código?"),
IF(E31="","¿Unidades?",
IF(D31="TARE",
IF(M31=$H$3,IFERROR(VLOOKUP(B31,'Baremos actuales'!A:C,3,FALSE),0),
IF(M31=$H$4,IFERROR(VLOOKUP(B31,'Baremos anteriores'!A:C,3,FALSE),0),0))))))</f>
        <v/>
      </c>
      <c r="G31" s="7"/>
      <c r="H31" s="8"/>
      <c r="I31" s="8"/>
      <c r="J31" s="78" t="str">
        <f>IF($D31="","",
IF($E31="","",
IF($D31="MATE","",
IF(VLOOKUP($B31,'Baremos actuales'!A:D,4,FALSE)=J$9,$E31*$F31,IF(VLOOKUP($B31,'Baremos anteriores'!A:D,4,FALSE)="Sin Definir",$E31*$F31,"")))))</f>
        <v/>
      </c>
      <c r="K31" s="79" t="str">
        <f>IF($D31="","",
IF($E31="","",
IF($D31="MATE","",
IF(VLOOKUP($B31,'Baremos actuales'!$A:$D,4,FALSE)=K$9,$E31*$F31,IF(VLOOKUP($B31,'Baremos anteriores'!$A:$D,4,FALSE)="Desmonte",$E31*$F31,"")))))</f>
        <v/>
      </c>
      <c r="L31" s="80" t="str">
        <f>IF($D31="","",
IF($E31="","",
IF($D31="MATE","",
IF(VLOOKUP($B31,'Baremos actuales'!$A:$D,4,FALSE)=L$9,$E31*$F31,""))))</f>
        <v/>
      </c>
      <c r="M31" s="91" t="str">
        <f t="shared" si="0"/>
        <v/>
      </c>
      <c r="N31" s="96"/>
      <c r="O31" s="95"/>
      <c r="P31" s="96"/>
      <c r="Q31" s="98"/>
    </row>
    <row r="32" spans="1:17" ht="15.75" x14ac:dyDescent="0.2">
      <c r="A32" s="17"/>
      <c r="B32" s="18"/>
      <c r="C32" s="87" t="str">
        <f>IF(B32="","",
IF(M32=$H$5,IFERROR(VLOOKUP(B32,'Baremos actuales'!A:E,5,FALSE),"No encontrado. Revisar código, fecha ejecución y/o contrato."),
IF(M32=$H$4,IFERROR(VLOOKUP(B32,'Baremos anteriores'!A:E,5,FALSE),"No encontrado. Revisar código, fecha ejecución y/o contrato."),
IF(M32=$H$3,IFERROR(VLOOKUP(B32,#REF!,5,FALSE),"No encontrado. Revisar código, fecha ejecución y/o contrato."),
IF(D32="","Código no encontrado",
IF(D32="ERROR","No encontrado. Revisar Código, fecha de ejecución y/o contrato.",
IF(D32="MATE",
IF(C31="DESCRIPCION","NO SE PUEDE COMENZAR SIN CÓDIGO DE TAREA",
IF(C31="","FALTA CÓDIGO DE TAREA",
CONCATENATE("          ",VLOOKUP(B32,'Maestro Materiales'!A:C,3,FALSE)))),IFERROR(VLOOKUP(B32,#REF!,5,FALSE),"No encontrado. Revisar código, fecha ejecución y/o contrato."))))))))</f>
        <v/>
      </c>
      <c r="D32" s="88" t="str">
        <f>IF(B32="","",
IFERROR(VLOOKUP(B32,'Maestro Materiales'!A:C,2,FALSE),
IFERROR(VLOOKUP(B32,'Baremos actuales'!A:B,2,FALSE),
IFERROR(VLOOKUP(B32,'Baremos anteriores'!A:B,2,FALSE),
""))))</f>
        <v/>
      </c>
      <c r="E32" s="9"/>
      <c r="F32" s="89" t="str">
        <f>IF(D32="MATE",
IF(E32="","¿Unidades?",""),
IF(D32="",IF(E32="","","¿Código?"),
IF(E32="","¿Unidades?",
IF(D32="TARE",
IF(M32=$H$3,IFERROR(VLOOKUP(B32,'Baremos actuales'!A:C,3,FALSE),0),
IF(M32=$H$4,IFERROR(VLOOKUP(B32,'Baremos anteriores'!A:C,3,FALSE),0),0))))))</f>
        <v/>
      </c>
      <c r="G32" s="7"/>
      <c r="H32" s="8"/>
      <c r="I32" s="8"/>
      <c r="J32" s="78" t="str">
        <f>IF($D32="","",
IF($E32="","",
IF($D32="MATE","",
IF(VLOOKUP($B32,'Baremos actuales'!A:D,4,FALSE)=J$9,$E32*$F32,IF(VLOOKUP($B32,'Baremos anteriores'!A:D,4,FALSE)="Sin Definir",$E32*$F32,"")))))</f>
        <v/>
      </c>
      <c r="K32" s="79" t="str">
        <f>IF($D32="","",
IF($E32="","",
IF($D32="MATE","",
IF(VLOOKUP($B32,'Baremos actuales'!$A:$D,4,FALSE)=K$9,$E32*$F32,IF(VLOOKUP($B32,'Baremos anteriores'!$A:$D,4,FALSE)="Desmonte",$E32*$F32,"")))))</f>
        <v/>
      </c>
      <c r="L32" s="80" t="str">
        <f>IF($D32="","",
IF($E32="","",
IF($D32="MATE","",
IF(VLOOKUP($B32,'Baremos actuales'!$A:$D,4,FALSE)=L$9,$E32*$F32,""))))</f>
        <v/>
      </c>
      <c r="M32" s="91" t="str">
        <f t="shared" si="0"/>
        <v/>
      </c>
      <c r="N32" s="96"/>
      <c r="O32" s="95"/>
      <c r="P32" s="96"/>
      <c r="Q32" s="98"/>
    </row>
    <row r="33" spans="1:17" ht="15.75" x14ac:dyDescent="0.2">
      <c r="A33" s="17"/>
      <c r="B33" s="18"/>
      <c r="C33" s="87" t="str">
        <f>IF(B33="","",
IF(M33=$H$5,IFERROR(VLOOKUP(B33,'Baremos actuales'!A:E,5,FALSE),"No encontrado. Revisar código, fecha ejecución y/o contrato."),
IF(M33=$H$4,IFERROR(VLOOKUP(B33,'Baremos anteriores'!A:E,5,FALSE),"No encontrado. Revisar código, fecha ejecución y/o contrato."),
IF(M33=$H$3,IFERROR(VLOOKUP(B33,#REF!,5,FALSE),"No encontrado. Revisar código, fecha ejecución y/o contrato."),
IF(D33="","Código no encontrado",
IF(D33="ERROR","No encontrado. Revisar Código, fecha de ejecución y/o contrato.",
IF(D33="MATE",
IF(C32="DESCRIPCION","NO SE PUEDE COMENZAR SIN CÓDIGO DE TAREA",
IF(C32="","FALTA CÓDIGO DE TAREA",
CONCATENATE("          ",VLOOKUP(B33,'Maestro Materiales'!A:C,3,FALSE)))),IFERROR(VLOOKUP(B33,#REF!,5,FALSE),"No encontrado. Revisar código, fecha ejecución y/o contrato."))))))))</f>
        <v/>
      </c>
      <c r="D33" s="88" t="str">
        <f>IF(B33="","",
IFERROR(VLOOKUP(B33,'Maestro Materiales'!A:C,2,FALSE),
IFERROR(VLOOKUP(B33,'Baremos actuales'!A:B,2,FALSE),
IFERROR(VLOOKUP(B33,'Baremos anteriores'!A:B,2,FALSE),
""))))</f>
        <v/>
      </c>
      <c r="E33" s="9"/>
      <c r="F33" s="89" t="str">
        <f>IF(D33="MATE",
IF(E33="","¿Unidades?",""),
IF(D33="",IF(E33="","","¿Código?"),
IF(E33="","¿Unidades?",
IF(D33="TARE",
IF(M33=$H$3,IFERROR(VLOOKUP(B33,'Baremos actuales'!A:C,3,FALSE),0),
IF(M33=$H$4,IFERROR(VLOOKUP(B33,'Baremos anteriores'!A:C,3,FALSE),0),0))))))</f>
        <v/>
      </c>
      <c r="G33" s="7"/>
      <c r="H33" s="8"/>
      <c r="I33" s="8"/>
      <c r="J33" s="78" t="str">
        <f>IF($D33="","",
IF($E33="","",
IF($D33="MATE","",
IF(VLOOKUP($B33,'Baremos actuales'!A:D,4,FALSE)=J$9,$E33*$F33,IF(VLOOKUP($B33,'Baremos anteriores'!A:D,4,FALSE)="Sin Definir",$E33*$F33,"")))))</f>
        <v/>
      </c>
      <c r="K33" s="79" t="str">
        <f>IF($D33="","",
IF($E33="","",
IF($D33="MATE","",
IF(VLOOKUP($B33,'Baremos actuales'!$A:$D,4,FALSE)=K$9,$E33*$F33,IF(VLOOKUP($B33,'Baremos anteriores'!$A:$D,4,FALSE)="Desmonte",$E33*$F33,"")))))</f>
        <v/>
      </c>
      <c r="L33" s="80" t="str">
        <f>IF($D33="","",
IF($E33="","",
IF($D33="MATE","",
IF(VLOOKUP($B33,'Baremos actuales'!$A:$D,4,FALSE)=L$9,$E33*$F33,""))))</f>
        <v/>
      </c>
      <c r="M33" s="91" t="str">
        <f t="shared" si="0"/>
        <v/>
      </c>
      <c r="N33" s="96"/>
      <c r="O33" s="95"/>
      <c r="P33" s="96"/>
      <c r="Q33" s="98"/>
    </row>
    <row r="34" spans="1:17" ht="15.75" x14ac:dyDescent="0.2">
      <c r="A34" s="17"/>
      <c r="B34" s="18"/>
      <c r="C34" s="87" t="str">
        <f>IF(B34="","",
IF(M34=$H$5,IFERROR(VLOOKUP(B34,'Baremos actuales'!A:E,5,FALSE),"No encontrado. Revisar código, fecha ejecución y/o contrato."),
IF(M34=$H$4,IFERROR(VLOOKUP(B34,'Baremos anteriores'!A:E,5,FALSE),"No encontrado. Revisar código, fecha ejecución y/o contrato."),
IF(M34=$H$3,IFERROR(VLOOKUP(B34,#REF!,5,FALSE),"No encontrado. Revisar código, fecha ejecución y/o contrato."),
IF(D34="","Código no encontrado",
IF(D34="ERROR","No encontrado. Revisar Código, fecha de ejecución y/o contrato.",
IF(D34="MATE",
IF(C33="DESCRIPCION","NO SE PUEDE COMENZAR SIN CÓDIGO DE TAREA",
IF(C33="","FALTA CÓDIGO DE TAREA",
CONCATENATE("          ",VLOOKUP(B34,'Maestro Materiales'!A:C,3,FALSE)))),IFERROR(VLOOKUP(B34,#REF!,5,FALSE),"No encontrado. Revisar código, fecha ejecución y/o contrato."))))))))</f>
        <v/>
      </c>
      <c r="D34" s="88" t="str">
        <f>IF(B34="","",
IFERROR(VLOOKUP(B34,'Maestro Materiales'!A:C,2,FALSE),
IFERROR(VLOOKUP(B34,'Baremos actuales'!A:B,2,FALSE),
IFERROR(VLOOKUP(B34,'Baremos anteriores'!A:B,2,FALSE),
""))))</f>
        <v/>
      </c>
      <c r="E34" s="9"/>
      <c r="F34" s="89" t="str">
        <f>IF(D34="MATE",
IF(E34="","¿Unidades?",""),
IF(D34="",IF(E34="","","¿Código?"),
IF(E34="","¿Unidades?",
IF(D34="TARE",
IF(M34=$H$3,IFERROR(VLOOKUP(B34,'Baremos actuales'!A:C,3,FALSE),0),
IF(M34=$H$4,IFERROR(VLOOKUP(B34,'Baremos anteriores'!A:C,3,FALSE),0),0))))))</f>
        <v/>
      </c>
      <c r="G34" s="7"/>
      <c r="H34" s="8"/>
      <c r="I34" s="8"/>
      <c r="J34" s="78" t="str">
        <f>IF($D34="","",
IF($E34="","",
IF($D34="MATE","",
IF(VLOOKUP($B34,'Baremos actuales'!A:D,4,FALSE)=J$9,$E34*$F34,IF(VLOOKUP($B34,'Baremos anteriores'!A:D,4,FALSE)="Sin Definir",$E34*$F34,"")))))</f>
        <v/>
      </c>
      <c r="K34" s="79" t="str">
        <f>IF($D34="","",
IF($E34="","",
IF($D34="MATE","",
IF(VLOOKUP($B34,'Baremos actuales'!$A:$D,4,FALSE)=K$9,$E34*$F34,IF(VLOOKUP($B34,'Baremos anteriores'!$A:$D,4,FALSE)="Desmonte",$E34*$F34,"")))))</f>
        <v/>
      </c>
      <c r="L34" s="80" t="str">
        <f>IF($D34="","",
IF($E34="","",
IF($D34="MATE","",
IF(VLOOKUP($B34,'Baremos actuales'!$A:$D,4,FALSE)=L$9,$E34*$F34,""))))</f>
        <v/>
      </c>
      <c r="M34" s="91" t="str">
        <f t="shared" si="0"/>
        <v/>
      </c>
      <c r="N34" s="96"/>
      <c r="O34" s="95"/>
      <c r="P34" s="96"/>
      <c r="Q34" s="98"/>
    </row>
    <row r="35" spans="1:17" ht="15.75" x14ac:dyDescent="0.2">
      <c r="A35" s="17"/>
      <c r="B35" s="18"/>
      <c r="C35" s="87" t="str">
        <f>IF(B35="","",
IF(M35=$H$5,IFERROR(VLOOKUP(B35,'Baremos actuales'!A:E,5,FALSE),"No encontrado. Revisar código, fecha ejecución y/o contrato."),
IF(M35=$H$4,IFERROR(VLOOKUP(B35,'Baremos anteriores'!A:E,5,FALSE),"No encontrado. Revisar código, fecha ejecución y/o contrato."),
IF(M35=$H$3,IFERROR(VLOOKUP(B35,#REF!,5,FALSE),"No encontrado. Revisar código, fecha ejecución y/o contrato."),
IF(D35="","Código no encontrado",
IF(D35="ERROR","No encontrado. Revisar Código, fecha de ejecución y/o contrato.",
IF(D35="MATE",
IF(C34="DESCRIPCION","NO SE PUEDE COMENZAR SIN CÓDIGO DE TAREA",
IF(C34="","FALTA CÓDIGO DE TAREA",
CONCATENATE("          ",VLOOKUP(B35,'Maestro Materiales'!A:C,3,FALSE)))),IFERROR(VLOOKUP(B35,#REF!,5,FALSE),"No encontrado. Revisar código, fecha ejecución y/o contrato."))))))))</f>
        <v/>
      </c>
      <c r="D35" s="88" t="str">
        <f>IF(B35="","",
IFERROR(VLOOKUP(B35,'Maestro Materiales'!A:C,2,FALSE),
IFERROR(VLOOKUP(B35,'Baremos actuales'!A:B,2,FALSE),
IFERROR(VLOOKUP(B35,'Baremos anteriores'!A:B,2,FALSE),
""))))</f>
        <v/>
      </c>
      <c r="E35" s="9"/>
      <c r="F35" s="89" t="str">
        <f>IF(D35="MATE",
IF(E35="","¿Unidades?",""),
IF(D35="",IF(E35="","","¿Código?"),
IF(E35="","¿Unidades?",
IF(D35="TARE",
IF(M35=$H$3,IFERROR(VLOOKUP(B35,'Baremos actuales'!A:C,3,FALSE),0),
IF(M35=$H$4,IFERROR(VLOOKUP(B35,'Baremos anteriores'!A:C,3,FALSE),0),0))))))</f>
        <v/>
      </c>
      <c r="G35" s="7"/>
      <c r="H35" s="8"/>
      <c r="I35" s="8"/>
      <c r="J35" s="78" t="str">
        <f>IF($D35="","",
IF($E35="","",
IF($D35="MATE","",
IF(VLOOKUP($B35,'Baremos actuales'!A:D,4,FALSE)=J$9,$E35*$F35,IF(VLOOKUP($B35,'Baremos anteriores'!A:D,4,FALSE)="Sin Definir",$E35*$F35,"")))))</f>
        <v/>
      </c>
      <c r="K35" s="79" t="str">
        <f>IF($D35="","",
IF($E35="","",
IF($D35="MATE","",
IF(VLOOKUP($B35,'Baremos actuales'!$A:$D,4,FALSE)=K$9,$E35*$F35,IF(VLOOKUP($B35,'Baremos anteriores'!$A:$D,4,FALSE)="Desmonte",$E35*$F35,"")))))</f>
        <v/>
      </c>
      <c r="L35" s="80" t="str">
        <f>IF($D35="","",
IF($E35="","",
IF($D35="MATE","",
IF(VLOOKUP($B35,'Baremos actuales'!$A:$D,4,FALSE)=L$9,$E35*$F35,""))))</f>
        <v/>
      </c>
      <c r="M35" s="91" t="str">
        <f t="shared" si="0"/>
        <v/>
      </c>
      <c r="N35" s="96"/>
      <c r="O35" s="95"/>
      <c r="P35" s="96"/>
      <c r="Q35" s="98"/>
    </row>
    <row r="36" spans="1:17" ht="15.75" x14ac:dyDescent="0.2">
      <c r="A36" s="17"/>
      <c r="B36" s="18"/>
      <c r="C36" s="87" t="str">
        <f>IF(B36="","",
IF(M36=$H$5,IFERROR(VLOOKUP(B36,'Baremos actuales'!A:E,5,FALSE),"No encontrado. Revisar código, fecha ejecución y/o contrato."),
IF(M36=$H$4,IFERROR(VLOOKUP(B36,'Baremos anteriores'!A:E,5,FALSE),"No encontrado. Revisar código, fecha ejecución y/o contrato."),
IF(M36=$H$3,IFERROR(VLOOKUP(B36,#REF!,5,FALSE),"No encontrado. Revisar código, fecha ejecución y/o contrato."),
IF(D36="","Código no encontrado",
IF(D36="ERROR","No encontrado. Revisar Código, fecha de ejecución y/o contrato.",
IF(D36="MATE",
IF(C35="DESCRIPCION","NO SE PUEDE COMENZAR SIN CÓDIGO DE TAREA",
IF(C35="","FALTA CÓDIGO DE TAREA",
CONCATENATE("          ",VLOOKUP(B36,'Maestro Materiales'!A:C,3,FALSE)))),IFERROR(VLOOKUP(B36,#REF!,5,FALSE),"No encontrado. Revisar código, fecha ejecución y/o contrato."))))))))</f>
        <v/>
      </c>
      <c r="D36" s="88" t="str">
        <f>IF(B36="","",
IFERROR(VLOOKUP(B36,'Maestro Materiales'!A:C,2,FALSE),
IFERROR(VLOOKUP(B36,'Baremos actuales'!A:B,2,FALSE),
IFERROR(VLOOKUP(B36,'Baremos anteriores'!A:B,2,FALSE),
""))))</f>
        <v/>
      </c>
      <c r="E36" s="9"/>
      <c r="F36" s="89" t="str">
        <f>IF(D36="MATE",
IF(E36="","¿Unidades?",""),
IF(D36="",IF(E36="","","¿Código?"),
IF(E36="","¿Unidades?",
IF(D36="TARE",
IF(M36=$H$3,IFERROR(VLOOKUP(B36,'Baremos actuales'!A:C,3,FALSE),0),
IF(M36=$H$4,IFERROR(VLOOKUP(B36,'Baremos anteriores'!A:C,3,FALSE),0),0))))))</f>
        <v/>
      </c>
      <c r="G36" s="7"/>
      <c r="H36" s="8"/>
      <c r="I36" s="8"/>
      <c r="J36" s="78" t="str">
        <f>IF($D36="","",
IF($E36="","",
IF($D36="MATE","",
IF(VLOOKUP($B36,'Baremos actuales'!A:D,4,FALSE)=J$9,$E36*$F36,IF(VLOOKUP($B36,'Baremos anteriores'!A:D,4,FALSE)="Sin Definir",$E36*$F36,"")))))</f>
        <v/>
      </c>
      <c r="K36" s="79" t="str">
        <f>IF($D36="","",
IF($E36="","",
IF($D36="MATE","",
IF(VLOOKUP($B36,'Baremos actuales'!$A:$D,4,FALSE)=K$9,$E36*$F36,IF(VLOOKUP($B36,'Baremos anteriores'!$A:$D,4,FALSE)="Desmonte",$E36*$F36,"")))))</f>
        <v/>
      </c>
      <c r="L36" s="80" t="str">
        <f>IF($D36="","",
IF($E36="","",
IF($D36="MATE","",
IF(VLOOKUP($B36,'Baremos actuales'!$A:$D,4,FALSE)=L$9,$E36*$F36,""))))</f>
        <v/>
      </c>
      <c r="M36" s="91" t="str">
        <f t="shared" si="0"/>
        <v/>
      </c>
      <c r="N36" s="96"/>
      <c r="O36" s="95"/>
      <c r="P36" s="96"/>
      <c r="Q36" s="98"/>
    </row>
    <row r="37" spans="1:17" ht="15.75" x14ac:dyDescent="0.2">
      <c r="A37" s="17"/>
      <c r="B37" s="18"/>
      <c r="C37" s="87" t="str">
        <f>IF(B37="","",
IF(M37=$H$5,IFERROR(VLOOKUP(B37,'Baremos actuales'!A:E,5,FALSE),"No encontrado. Revisar código, fecha ejecución y/o contrato."),
IF(M37=$H$4,IFERROR(VLOOKUP(B37,'Baremos anteriores'!A:E,5,FALSE),"No encontrado. Revisar código, fecha ejecución y/o contrato."),
IF(M37=$H$3,IFERROR(VLOOKUP(B37,#REF!,5,FALSE),"No encontrado. Revisar código, fecha ejecución y/o contrato."),
IF(D37="","Código no encontrado",
IF(D37="ERROR","No encontrado. Revisar Código, fecha de ejecución y/o contrato.",
IF(D37="MATE",
IF(C36="DESCRIPCION","NO SE PUEDE COMENZAR SIN CÓDIGO DE TAREA",
IF(C36="","FALTA CÓDIGO DE TAREA",
CONCATENATE("          ",VLOOKUP(B37,'Maestro Materiales'!A:C,3,FALSE)))),IFERROR(VLOOKUP(B37,#REF!,5,FALSE),"No encontrado. Revisar código, fecha ejecución y/o contrato."))))))))</f>
        <v/>
      </c>
      <c r="D37" s="88" t="str">
        <f>IF(B37="","",
IFERROR(VLOOKUP(B37,'Maestro Materiales'!A:C,2,FALSE),
IFERROR(VLOOKUP(B37,'Baremos actuales'!A:B,2,FALSE),
IFERROR(VLOOKUP(B37,'Baremos anteriores'!A:B,2,FALSE),
""))))</f>
        <v/>
      </c>
      <c r="E37" s="9"/>
      <c r="F37" s="89" t="str">
        <f>IF(D37="MATE",
IF(E37="","¿Unidades?",""),
IF(D37="",IF(E37="","","¿Código?"),
IF(E37="","¿Unidades?",
IF(D37="TARE",
IF(M37=$H$3,IFERROR(VLOOKUP(B37,'Baremos actuales'!A:C,3,FALSE),0),
IF(M37=$H$4,IFERROR(VLOOKUP(B37,'Baremos anteriores'!A:C,3,FALSE),0),0))))))</f>
        <v/>
      </c>
      <c r="G37" s="7"/>
      <c r="H37" s="8"/>
      <c r="I37" s="8"/>
      <c r="J37" s="78" t="str">
        <f>IF($D37="","",
IF($E37="","",
IF($D37="MATE","",
IF(VLOOKUP($B37,'Baremos actuales'!A:D,4,FALSE)=J$9,$E37*$F37,IF(VLOOKUP($B37,'Baremos anteriores'!A:D,4,FALSE)="Sin Definir",$E37*$F37,"")))))</f>
        <v/>
      </c>
      <c r="K37" s="79" t="str">
        <f>IF($D37="","",
IF($E37="","",
IF($D37="MATE","",
IF(VLOOKUP($B37,'Baremos actuales'!$A:$D,4,FALSE)=K$9,$E37*$F37,IF(VLOOKUP($B37,'Baremos anteriores'!$A:$D,4,FALSE)="Desmonte",$E37*$F37,"")))))</f>
        <v/>
      </c>
      <c r="L37" s="80" t="str">
        <f>IF($D37="","",
IF($E37="","",
IF($D37="MATE","",
IF(VLOOKUP($B37,'Baremos actuales'!$A:$D,4,FALSE)=L$9,$E37*$F37,""))))</f>
        <v/>
      </c>
      <c r="M37" s="91" t="str">
        <f t="shared" si="0"/>
        <v/>
      </c>
      <c r="N37" s="96"/>
      <c r="O37" s="95"/>
      <c r="P37" s="96"/>
      <c r="Q37" s="98"/>
    </row>
    <row r="38" spans="1:17" ht="15.75" x14ac:dyDescent="0.2">
      <c r="A38" s="17"/>
      <c r="B38" s="18"/>
      <c r="C38" s="87" t="str">
        <f>IF(B38="","",
IF(M38=$H$5,IFERROR(VLOOKUP(B38,'Baremos actuales'!A:E,5,FALSE),"No encontrado. Revisar código, fecha ejecución y/o contrato."),
IF(M38=$H$4,IFERROR(VLOOKUP(B38,'Baremos anteriores'!A:E,5,FALSE),"No encontrado. Revisar código, fecha ejecución y/o contrato."),
IF(M38=$H$3,IFERROR(VLOOKUP(B38,#REF!,5,FALSE),"No encontrado. Revisar código, fecha ejecución y/o contrato."),
IF(D38="","Código no encontrado",
IF(D38="ERROR","No encontrado. Revisar Código, fecha de ejecución y/o contrato.",
IF(D38="MATE",
IF(C37="DESCRIPCION","NO SE PUEDE COMENZAR SIN CÓDIGO DE TAREA",
IF(C37="","FALTA CÓDIGO DE TAREA",
CONCATENATE("          ",VLOOKUP(B38,'Maestro Materiales'!A:C,3,FALSE)))),IFERROR(VLOOKUP(B38,#REF!,5,FALSE),"No encontrado. Revisar código, fecha ejecución y/o contrato."))))))))</f>
        <v/>
      </c>
      <c r="D38" s="88" t="str">
        <f>IF(B38="","",
IFERROR(VLOOKUP(B38,'Maestro Materiales'!A:C,2,FALSE),
IFERROR(VLOOKUP(B38,'Baremos actuales'!A:B,2,FALSE),
IFERROR(VLOOKUP(B38,'Baremos anteriores'!A:B,2,FALSE),
""))))</f>
        <v/>
      </c>
      <c r="E38" s="9"/>
      <c r="F38" s="89" t="str">
        <f>IF(D38="MATE",
IF(E38="","¿Unidades?",""),
IF(D38="",IF(E38="","","¿Código?"),
IF(E38="","¿Unidades?",
IF(D38="TARE",
IF(M38=$H$3,IFERROR(VLOOKUP(B38,'Baremos actuales'!A:C,3,FALSE),0),
IF(M38=$H$4,IFERROR(VLOOKUP(B38,'Baremos anteriores'!A:C,3,FALSE),0),0))))))</f>
        <v/>
      </c>
      <c r="G38" s="7"/>
      <c r="H38" s="8"/>
      <c r="I38" s="8"/>
      <c r="J38" s="78" t="str">
        <f>IF($D38="","",
IF($E38="","",
IF($D38="MATE","",
IF(VLOOKUP($B38,'Baremos actuales'!A:D,4,FALSE)=J$9,$E38*$F38,IF(VLOOKUP($B38,'Baremos anteriores'!A:D,4,FALSE)="Sin Definir",$E38*$F38,"")))))</f>
        <v/>
      </c>
      <c r="K38" s="79" t="str">
        <f>IF($D38="","",
IF($E38="","",
IF($D38="MATE","",
IF(VLOOKUP($B38,'Baremos actuales'!$A:$D,4,FALSE)=K$9,$E38*$F38,IF(VLOOKUP($B38,'Baremos anteriores'!$A:$D,4,FALSE)="Desmonte",$E38*$F38,"")))))</f>
        <v/>
      </c>
      <c r="L38" s="80" t="str">
        <f>IF($D38="","",
IF($E38="","",
IF($D38="MATE","",
IF(VLOOKUP($B38,'Baremos actuales'!$A:$D,4,FALSE)=L$9,$E38*$F38,""))))</f>
        <v/>
      </c>
      <c r="M38" s="91" t="str">
        <f t="shared" si="0"/>
        <v/>
      </c>
      <c r="N38" s="96"/>
      <c r="O38" s="95"/>
      <c r="P38" s="96"/>
      <c r="Q38" s="98"/>
    </row>
    <row r="39" spans="1:17" ht="15.75" x14ac:dyDescent="0.2">
      <c r="A39" s="17"/>
      <c r="B39" s="18"/>
      <c r="C39" s="87" t="str">
        <f>IF(B39="","",
IF(M39=$H$5,IFERROR(VLOOKUP(B39,'Baremos actuales'!A:E,5,FALSE),"No encontrado. Revisar código, fecha ejecución y/o contrato."),
IF(M39=$H$4,IFERROR(VLOOKUP(B39,'Baremos anteriores'!A:E,5,FALSE),"No encontrado. Revisar código, fecha ejecución y/o contrato."),
IF(M39=$H$3,IFERROR(VLOOKUP(B39,#REF!,5,FALSE),"No encontrado. Revisar código, fecha ejecución y/o contrato."),
IF(D39="","Código no encontrado",
IF(D39="ERROR","No encontrado. Revisar Código, fecha de ejecución y/o contrato.",
IF(D39="MATE",
IF(C38="DESCRIPCION","NO SE PUEDE COMENZAR SIN CÓDIGO DE TAREA",
IF(C38="","FALTA CÓDIGO DE TAREA",
CONCATENATE("          ",VLOOKUP(B39,'Maestro Materiales'!A:C,3,FALSE)))),IFERROR(VLOOKUP(B39,#REF!,5,FALSE),"No encontrado. Revisar código, fecha ejecución y/o contrato."))))))))</f>
        <v/>
      </c>
      <c r="D39" s="88" t="str">
        <f>IF(B39="","",
IFERROR(VLOOKUP(B39,'Maestro Materiales'!A:C,2,FALSE),
IFERROR(VLOOKUP(B39,'Baremos actuales'!A:B,2,FALSE),
IFERROR(VLOOKUP(B39,'Baremos anteriores'!A:B,2,FALSE),
""))))</f>
        <v/>
      </c>
      <c r="E39" s="9"/>
      <c r="F39" s="89" t="str">
        <f>IF(D39="MATE",
IF(E39="","¿Unidades?",""),
IF(D39="",IF(E39="","","¿Código?"),
IF(E39="","¿Unidades?",
IF(D39="TARE",
IF(M39=$H$3,IFERROR(VLOOKUP(B39,'Baremos actuales'!A:C,3,FALSE),0),
IF(M39=$H$4,IFERROR(VLOOKUP(B39,'Baremos anteriores'!A:C,3,FALSE),0),0))))))</f>
        <v/>
      </c>
      <c r="G39" s="7"/>
      <c r="H39" s="8"/>
      <c r="I39" s="8"/>
      <c r="J39" s="78" t="str">
        <f>IF($D39="","",
IF($E39="","",
IF($D39="MATE","",
IF(VLOOKUP($B39,'Baremos actuales'!A:D,4,FALSE)=J$9,$E39*$F39,IF(VLOOKUP($B39,'Baremos anteriores'!A:D,4,FALSE)="Sin Definir",$E39*$F39,"")))))</f>
        <v/>
      </c>
      <c r="K39" s="79" t="str">
        <f>IF($D39="","",
IF($E39="","",
IF($D39="MATE","",
IF(VLOOKUP($B39,'Baremos actuales'!$A:$D,4,FALSE)=K$9,$E39*$F39,IF(VLOOKUP($B39,'Baremos anteriores'!$A:$D,4,FALSE)="Desmonte",$E39*$F39,"")))))</f>
        <v/>
      </c>
      <c r="L39" s="80" t="str">
        <f>IF($D39="","",
IF($E39="","",
IF($D39="MATE","",
IF(VLOOKUP($B39,'Baremos actuales'!$A:$D,4,FALSE)=L$9,$E39*$F39,""))))</f>
        <v/>
      </c>
      <c r="M39" s="91" t="str">
        <f t="shared" si="0"/>
        <v/>
      </c>
      <c r="N39" s="96"/>
      <c r="O39" s="95"/>
      <c r="P39" s="96"/>
      <c r="Q39" s="98"/>
    </row>
    <row r="40" spans="1:17" ht="15.75" x14ac:dyDescent="0.2">
      <c r="A40" s="17"/>
      <c r="B40" s="18"/>
      <c r="C40" s="87" t="str">
        <f>IF(B40="","",
IF(M40=$H$5,IFERROR(VLOOKUP(B40,'Baremos actuales'!A:E,5,FALSE),"No encontrado. Revisar código, fecha ejecución y/o contrato."),
IF(M40=$H$4,IFERROR(VLOOKUP(B40,'Baremos anteriores'!A:E,5,FALSE),"No encontrado. Revisar código, fecha ejecución y/o contrato."),
IF(M40=$H$3,IFERROR(VLOOKUP(B40,#REF!,5,FALSE),"No encontrado. Revisar código, fecha ejecución y/o contrato."),
IF(D40="","Código no encontrado",
IF(D40="ERROR","No encontrado. Revisar Código, fecha de ejecución y/o contrato.",
IF(D40="MATE",
IF(C39="DESCRIPCION","NO SE PUEDE COMENZAR SIN CÓDIGO DE TAREA",
IF(C39="","FALTA CÓDIGO DE TAREA",
CONCATENATE("          ",VLOOKUP(B40,'Maestro Materiales'!A:C,3,FALSE)))),IFERROR(VLOOKUP(B40,#REF!,5,FALSE),"No encontrado. Revisar código, fecha ejecución y/o contrato."))))))))</f>
        <v/>
      </c>
      <c r="D40" s="88" t="str">
        <f>IF(B40="","",
IFERROR(VLOOKUP(B40,'Maestro Materiales'!A:C,2,FALSE),
IFERROR(VLOOKUP(B40,'Baremos actuales'!A:B,2,FALSE),
IFERROR(VLOOKUP(B40,'Baremos anteriores'!A:B,2,FALSE),
""))))</f>
        <v/>
      </c>
      <c r="E40" s="9"/>
      <c r="F40" s="89" t="str">
        <f>IF(D40="MATE",
IF(E40="","¿Unidades?",""),
IF(D40="",IF(E40="","","¿Código?"),
IF(E40="","¿Unidades?",
IF(D40="TARE",
IF(M40=$H$3,IFERROR(VLOOKUP(B40,'Baremos actuales'!A:C,3,FALSE),0),
IF(M40=$H$4,IFERROR(VLOOKUP(B40,'Baremos anteriores'!A:C,3,FALSE),0),0))))))</f>
        <v/>
      </c>
      <c r="G40" s="7"/>
      <c r="H40" s="8"/>
      <c r="I40" s="8"/>
      <c r="J40" s="78" t="str">
        <f>IF($D40="","",
IF($E40="","",
IF($D40="MATE","",
IF(VLOOKUP($B40,'Baremos actuales'!A:D,4,FALSE)=J$9,$E40*$F40,IF(VLOOKUP($B40,'Baremos anteriores'!A:D,4,FALSE)="Sin Definir",$E40*$F40,"")))))</f>
        <v/>
      </c>
      <c r="K40" s="79" t="str">
        <f>IF($D40="","",
IF($E40="","",
IF($D40="MATE","",
IF(VLOOKUP($B40,'Baremos actuales'!$A:$D,4,FALSE)=K$9,$E40*$F40,IF(VLOOKUP($B40,'Baremos anteriores'!$A:$D,4,FALSE)="Desmonte",$E40*$F40,"")))))</f>
        <v/>
      </c>
      <c r="L40" s="80" t="str">
        <f>IF($D40="","",
IF($E40="","",
IF($D40="MATE","",
IF(VLOOKUP($B40,'Baremos actuales'!$A:$D,4,FALSE)=L$9,$E40*$F40,""))))</f>
        <v/>
      </c>
      <c r="M40" s="91" t="str">
        <f t="shared" si="0"/>
        <v/>
      </c>
      <c r="N40" s="96"/>
      <c r="O40" s="95"/>
      <c r="P40" s="96"/>
      <c r="Q40" s="98"/>
    </row>
    <row r="41" spans="1:17" ht="15.75" x14ac:dyDescent="0.2">
      <c r="A41" s="17"/>
      <c r="B41" s="18"/>
      <c r="C41" s="87" t="str">
        <f>IF(B41="","",
IF(M41=$H$5,IFERROR(VLOOKUP(B41,'Baremos actuales'!A:E,5,FALSE),"No encontrado. Revisar código, fecha ejecución y/o contrato."),
IF(M41=$H$4,IFERROR(VLOOKUP(B41,'Baremos anteriores'!A:E,5,FALSE),"No encontrado. Revisar código, fecha ejecución y/o contrato."),
IF(M41=$H$3,IFERROR(VLOOKUP(B41,#REF!,5,FALSE),"No encontrado. Revisar código, fecha ejecución y/o contrato."),
IF(D41="","Código no encontrado",
IF(D41="ERROR","No encontrado. Revisar Código, fecha de ejecución y/o contrato.",
IF(D41="MATE",
IF(C40="DESCRIPCION","NO SE PUEDE COMENZAR SIN CÓDIGO DE TAREA",
IF(C40="","FALTA CÓDIGO DE TAREA",
CONCATENATE("          ",VLOOKUP(B41,'Maestro Materiales'!A:C,3,FALSE)))),IFERROR(VLOOKUP(B41,#REF!,5,FALSE),"No encontrado. Revisar código, fecha ejecución y/o contrato."))))))))</f>
        <v/>
      </c>
      <c r="D41" s="88" t="str">
        <f>IF(B41="","",
IFERROR(VLOOKUP(B41,'Maestro Materiales'!A:C,2,FALSE),
IFERROR(VLOOKUP(B41,'Baremos actuales'!A:B,2,FALSE),
IFERROR(VLOOKUP(B41,'Baremos anteriores'!A:B,2,FALSE),
""))))</f>
        <v/>
      </c>
      <c r="E41" s="9"/>
      <c r="F41" s="89" t="str">
        <f>IF(D41="MATE",
IF(E41="","¿Unidades?",""),
IF(D41="",IF(E41="","","¿Código?"),
IF(E41="","¿Unidades?",
IF(D41="TARE",
IF(M41=$H$3,IFERROR(VLOOKUP(B41,'Baremos actuales'!A:C,3,FALSE),0),
IF(M41=$H$4,IFERROR(VLOOKUP(B41,'Baremos anteriores'!A:C,3,FALSE),0),0))))))</f>
        <v/>
      </c>
      <c r="G41" s="7"/>
      <c r="H41" s="8"/>
      <c r="I41" s="8"/>
      <c r="J41" s="78" t="str">
        <f>IF($D41="","",
IF($E41="","",
IF($D41="MATE","",
IF(VLOOKUP($B41,'Baremos actuales'!A:D,4,FALSE)=J$9,$E41*$F41,IF(VLOOKUP($B41,'Baremos anteriores'!A:D,4,FALSE)="Sin Definir",$E41*$F41,"")))))</f>
        <v/>
      </c>
      <c r="K41" s="79" t="str">
        <f>IF($D41="","",
IF($E41="","",
IF($D41="MATE","",
IF(VLOOKUP($B41,'Baremos actuales'!$A:$D,4,FALSE)=K$9,$E41*$F41,IF(VLOOKUP($B41,'Baremos anteriores'!$A:$D,4,FALSE)="Desmonte",$E41*$F41,"")))))</f>
        <v/>
      </c>
      <c r="L41" s="80" t="str">
        <f>IF($D41="","",
IF($E41="","",
IF($D41="MATE","",
IF(VLOOKUP($B41,'Baremos actuales'!$A:$D,4,FALSE)=L$9,$E41*$F41,""))))</f>
        <v/>
      </c>
      <c r="M41" s="91" t="str">
        <f t="shared" si="0"/>
        <v/>
      </c>
      <c r="N41" s="96"/>
      <c r="O41" s="95"/>
      <c r="P41" s="96"/>
      <c r="Q41" s="98"/>
    </row>
    <row r="42" spans="1:17" ht="15.75" x14ac:dyDescent="0.2">
      <c r="A42" s="17"/>
      <c r="B42" s="18"/>
      <c r="C42" s="87" t="str">
        <f>IF(B42="","",
IF(M42=$H$5,IFERROR(VLOOKUP(B42,'Baremos actuales'!A:E,5,FALSE),"No encontrado. Revisar código, fecha ejecución y/o contrato."),
IF(M42=$H$4,IFERROR(VLOOKUP(B42,'Baremos anteriores'!A:E,5,FALSE),"No encontrado. Revisar código, fecha ejecución y/o contrato."),
IF(M42=$H$3,IFERROR(VLOOKUP(B42,#REF!,5,FALSE),"No encontrado. Revisar código, fecha ejecución y/o contrato."),
IF(D42="","Código no encontrado",
IF(D42="ERROR","No encontrado. Revisar Código, fecha de ejecución y/o contrato.",
IF(D42="MATE",
IF(C41="DESCRIPCION","NO SE PUEDE COMENZAR SIN CÓDIGO DE TAREA",
IF(C41="","FALTA CÓDIGO DE TAREA",
CONCATENATE("          ",VLOOKUP(B42,'Maestro Materiales'!A:C,3,FALSE)))),IFERROR(VLOOKUP(B42,#REF!,5,FALSE),"No encontrado. Revisar código, fecha ejecución y/o contrato."))))))))</f>
        <v/>
      </c>
      <c r="D42" s="88" t="str">
        <f>IF(B42="","",
IFERROR(VLOOKUP(B42,'Maestro Materiales'!A:C,2,FALSE),
IFERROR(VLOOKUP(B42,'Baremos actuales'!A:B,2,FALSE),
IFERROR(VLOOKUP(B42,'Baremos anteriores'!A:B,2,FALSE),
""))))</f>
        <v/>
      </c>
      <c r="E42" s="9"/>
      <c r="F42" s="89" t="str">
        <f>IF(D42="MATE",
IF(E42="","¿Unidades?",""),
IF(D42="",IF(E42="","","¿Código?"),
IF(E42="","¿Unidades?",
IF(D42="TARE",
IF(M42=$H$3,IFERROR(VLOOKUP(B42,'Baremos actuales'!A:C,3,FALSE),0),
IF(M42=$H$4,IFERROR(VLOOKUP(B42,'Baremos anteriores'!A:C,3,FALSE),0),0))))))</f>
        <v/>
      </c>
      <c r="G42" s="7"/>
      <c r="H42" s="8"/>
      <c r="I42" s="8"/>
      <c r="J42" s="78" t="str">
        <f>IF($D42="","",
IF($E42="","",
IF($D42="MATE","",
IF(VLOOKUP($B42,'Baremos actuales'!A:D,4,FALSE)=J$9,$E42*$F42,IF(VLOOKUP($B42,'Baremos anteriores'!A:D,4,FALSE)="Sin Definir",$E42*$F42,"")))))</f>
        <v/>
      </c>
      <c r="K42" s="79" t="str">
        <f>IF($D42="","",
IF($E42="","",
IF($D42="MATE","",
IF(VLOOKUP($B42,'Baremos actuales'!$A:$D,4,FALSE)=K$9,$E42*$F42,IF(VLOOKUP($B42,'Baremos anteriores'!$A:$D,4,FALSE)="Desmonte",$E42*$F42,"")))))</f>
        <v/>
      </c>
      <c r="L42" s="80" t="str">
        <f>IF($D42="","",
IF($E42="","",
IF($D42="MATE","",
IF(VLOOKUP($B42,'Baremos actuales'!$A:$D,4,FALSE)=L$9,$E42*$F42,""))))</f>
        <v/>
      </c>
      <c r="M42" s="91" t="str">
        <f t="shared" si="0"/>
        <v/>
      </c>
      <c r="N42" s="96"/>
      <c r="O42" s="95"/>
      <c r="P42" s="96"/>
      <c r="Q42" s="98"/>
    </row>
    <row r="43" spans="1:17" ht="15.75" x14ac:dyDescent="0.2">
      <c r="A43" s="17"/>
      <c r="B43" s="18"/>
      <c r="C43" s="87" t="str">
        <f>IF(B43="","",
IF(M43=$H$5,IFERROR(VLOOKUP(B43,'Baremos actuales'!A:E,5,FALSE),"No encontrado. Revisar código, fecha ejecución y/o contrato."),
IF(M43=$H$4,IFERROR(VLOOKUP(B43,'Baremos anteriores'!A:E,5,FALSE),"No encontrado. Revisar código, fecha ejecución y/o contrato."),
IF(M43=$H$3,IFERROR(VLOOKUP(B43,#REF!,5,FALSE),"No encontrado. Revisar código, fecha ejecución y/o contrato."),
IF(D43="","Código no encontrado",
IF(D43="ERROR","No encontrado. Revisar Código, fecha de ejecución y/o contrato.",
IF(D43="MATE",
IF(C42="DESCRIPCION","NO SE PUEDE COMENZAR SIN CÓDIGO DE TAREA",
IF(C42="","FALTA CÓDIGO DE TAREA",
CONCATENATE("          ",VLOOKUP(B43,'Maestro Materiales'!A:C,3,FALSE)))),IFERROR(VLOOKUP(B43,#REF!,5,FALSE),"No encontrado. Revisar código, fecha ejecución y/o contrato."))))))))</f>
        <v/>
      </c>
      <c r="D43" s="88" t="str">
        <f>IF(B43="","",
IFERROR(VLOOKUP(B43,'Maestro Materiales'!A:C,2,FALSE),
IFERROR(VLOOKUP(B43,'Baremos actuales'!A:B,2,FALSE),
IFERROR(VLOOKUP(B43,'Baremos anteriores'!A:B,2,FALSE),
""))))</f>
        <v/>
      </c>
      <c r="E43" s="9"/>
      <c r="F43" s="89" t="str">
        <f>IF(D43="MATE",
IF(E43="","¿Unidades?",""),
IF(D43="",IF(E43="","","¿Código?"),
IF(E43="","¿Unidades?",
IF(D43="TARE",
IF(M43=$H$3,IFERROR(VLOOKUP(B43,'Baremos actuales'!A:C,3,FALSE),0),
IF(M43=$H$4,IFERROR(VLOOKUP(B43,'Baremos anteriores'!A:C,3,FALSE),0),0))))))</f>
        <v/>
      </c>
      <c r="G43" s="7"/>
      <c r="H43" s="8"/>
      <c r="I43" s="8"/>
      <c r="J43" s="78" t="str">
        <f>IF($D43="","",
IF($E43="","",
IF($D43="MATE","",
IF(VLOOKUP($B43,'Baremos actuales'!A:D,4,FALSE)=J$9,$E43*$F43,IF(VLOOKUP($B43,'Baremos anteriores'!A:D,4,FALSE)="Sin Definir",$E43*$F43,"")))))</f>
        <v/>
      </c>
      <c r="K43" s="79" t="str">
        <f>IF($D43="","",
IF($E43="","",
IF($D43="MATE","",
IF(VLOOKUP($B43,'Baremos actuales'!$A:$D,4,FALSE)=K$9,$E43*$F43,IF(VLOOKUP($B43,'Baremos anteriores'!$A:$D,4,FALSE)="Desmonte",$E43*$F43,"")))))</f>
        <v/>
      </c>
      <c r="L43" s="80" t="str">
        <f>IF($D43="","",
IF($E43="","",
IF($D43="MATE","",
IF(VLOOKUP($B43,'Baremos actuales'!$A:$D,4,FALSE)=L$9,$E43*$F43,""))))</f>
        <v/>
      </c>
      <c r="M43" s="91" t="str">
        <f t="shared" si="0"/>
        <v/>
      </c>
      <c r="N43" s="96"/>
      <c r="O43" s="95"/>
      <c r="P43" s="96"/>
      <c r="Q43" s="98"/>
    </row>
    <row r="44" spans="1:17" ht="15.75" x14ac:dyDescent="0.2">
      <c r="A44" s="17"/>
      <c r="B44" s="18"/>
      <c r="C44" s="87" t="str">
        <f>IF(B44="","",
IF(M44=$H$5,IFERROR(VLOOKUP(B44,'Baremos actuales'!A:E,5,FALSE),"No encontrado. Revisar código, fecha ejecución y/o contrato."),
IF(M44=$H$4,IFERROR(VLOOKUP(B44,'Baremos anteriores'!A:E,5,FALSE),"No encontrado. Revisar código, fecha ejecución y/o contrato."),
IF(M44=$H$3,IFERROR(VLOOKUP(B44,#REF!,5,FALSE),"No encontrado. Revisar código, fecha ejecución y/o contrato."),
IF(D44="","Código no encontrado",
IF(D44="ERROR","No encontrado. Revisar Código, fecha de ejecución y/o contrato.",
IF(D44="MATE",
IF(C43="DESCRIPCION","NO SE PUEDE COMENZAR SIN CÓDIGO DE TAREA",
IF(C43="","FALTA CÓDIGO DE TAREA",
CONCATENATE("          ",VLOOKUP(B44,'Maestro Materiales'!A:C,3,FALSE)))),IFERROR(VLOOKUP(B44,#REF!,5,FALSE),"No encontrado. Revisar código, fecha ejecución y/o contrato."))))))))</f>
        <v/>
      </c>
      <c r="D44" s="88" t="str">
        <f>IF(B44="","",
IFERROR(VLOOKUP(B44,'Maestro Materiales'!A:C,2,FALSE),
IFERROR(VLOOKUP(B44,'Baremos actuales'!A:B,2,FALSE),
IFERROR(VLOOKUP(B44,'Baremos anteriores'!A:B,2,FALSE),
""))))</f>
        <v/>
      </c>
      <c r="E44" s="9"/>
      <c r="F44" s="89" t="str">
        <f>IF(D44="MATE",
IF(E44="","¿Unidades?",""),
IF(D44="",IF(E44="","","¿Código?"),
IF(E44="","¿Unidades?",
IF(D44="TARE",
IF(M44=$H$3,IFERROR(VLOOKUP(B44,'Baremos actuales'!A:C,3,FALSE),0),
IF(M44=$H$4,IFERROR(VLOOKUP(B44,'Baremos anteriores'!A:C,3,FALSE),0),0))))))</f>
        <v/>
      </c>
      <c r="G44" s="7"/>
      <c r="H44" s="8"/>
      <c r="I44" s="8"/>
      <c r="J44" s="78" t="str">
        <f>IF($D44="","",
IF($E44="","",
IF($D44="MATE","",
IF(VLOOKUP($B44,'Baremos actuales'!A:D,4,FALSE)=J$9,$E44*$F44,IF(VLOOKUP($B44,'Baremos anteriores'!A:D,4,FALSE)="Sin Definir",$E44*$F44,"")))))</f>
        <v/>
      </c>
      <c r="K44" s="79" t="str">
        <f>IF($D44="","",
IF($E44="","",
IF($D44="MATE","",
IF(VLOOKUP($B44,'Baremos actuales'!$A:$D,4,FALSE)=K$9,$E44*$F44,IF(VLOOKUP($B44,'Baremos anteriores'!$A:$D,4,FALSE)="Desmonte",$E44*$F44,"")))))</f>
        <v/>
      </c>
      <c r="L44" s="80" t="str">
        <f>IF($D44="","",
IF($E44="","",
IF($D44="MATE","",
IF(VLOOKUP($B44,'Baremos actuales'!$A:$D,4,FALSE)=L$9,$E44*$F44,""))))</f>
        <v/>
      </c>
      <c r="M44" s="91" t="str">
        <f t="shared" si="0"/>
        <v/>
      </c>
      <c r="N44" s="96"/>
      <c r="O44" s="95"/>
      <c r="P44" s="96"/>
      <c r="Q44" s="98"/>
    </row>
    <row r="45" spans="1:17" ht="15.75" x14ac:dyDescent="0.2">
      <c r="A45" s="17"/>
      <c r="B45" s="18"/>
      <c r="C45" s="87" t="str">
        <f>IF(B45="","",
IF(M45=$H$5,IFERROR(VLOOKUP(B45,'Baremos actuales'!A:E,5,FALSE),"No encontrado. Revisar código, fecha ejecución y/o contrato."),
IF(M45=$H$4,IFERROR(VLOOKUP(B45,'Baremos anteriores'!A:E,5,FALSE),"No encontrado. Revisar código, fecha ejecución y/o contrato."),
IF(M45=$H$3,IFERROR(VLOOKUP(B45,#REF!,5,FALSE),"No encontrado. Revisar código, fecha ejecución y/o contrato."),
IF(D45="","Código no encontrado",
IF(D45="ERROR","No encontrado. Revisar Código, fecha de ejecución y/o contrato.",
IF(D45="MATE",
IF(C44="DESCRIPCION","NO SE PUEDE COMENZAR SIN CÓDIGO DE TAREA",
IF(C44="","FALTA CÓDIGO DE TAREA",
CONCATENATE("          ",VLOOKUP(B45,'Maestro Materiales'!A:C,3,FALSE)))),IFERROR(VLOOKUP(B45,#REF!,5,FALSE),"No encontrado. Revisar código, fecha ejecución y/o contrato."))))))))</f>
        <v/>
      </c>
      <c r="D45" s="88" t="str">
        <f>IF(B45="","",
IFERROR(VLOOKUP(B45,'Maestro Materiales'!A:C,2,FALSE),
IFERROR(VLOOKUP(B45,'Baremos actuales'!A:B,2,FALSE),
IFERROR(VLOOKUP(B45,'Baremos anteriores'!A:B,2,FALSE),
""))))</f>
        <v/>
      </c>
      <c r="E45" s="9"/>
      <c r="F45" s="89" t="str">
        <f>IF(D45="MATE",
IF(E45="","¿Unidades?",""),
IF(D45="",IF(E45="","","¿Código?"),
IF(E45="","¿Unidades?",
IF(D45="TARE",
IF(M45=$H$3,IFERROR(VLOOKUP(B45,'Baremos actuales'!A:C,3,FALSE),0),
IF(M45=$H$4,IFERROR(VLOOKUP(B45,'Baremos anteriores'!A:C,3,FALSE),0),0))))))</f>
        <v/>
      </c>
      <c r="G45" s="7"/>
      <c r="H45" s="8"/>
      <c r="I45" s="8"/>
      <c r="J45" s="78" t="str">
        <f>IF($D45="","",
IF($E45="","",
IF($D45="MATE","",
IF(VLOOKUP($B45,'Baremos actuales'!A:D,4,FALSE)=J$9,$E45*$F45,IF(VLOOKUP($B45,'Baremos anteriores'!A:D,4,FALSE)="Sin Definir",$E45*$F45,"")))))</f>
        <v/>
      </c>
      <c r="K45" s="79" t="str">
        <f>IF($D45="","",
IF($E45="","",
IF($D45="MATE","",
IF(VLOOKUP($B45,'Baremos actuales'!$A:$D,4,FALSE)=K$9,$E45*$F45,IF(VLOOKUP($B45,'Baremos anteriores'!$A:$D,4,FALSE)="Desmonte",$E45*$F45,"")))))</f>
        <v/>
      </c>
      <c r="L45" s="80" t="str">
        <f>IF($D45="","",
IF($E45="","",
IF($D45="MATE","",
IF(VLOOKUP($B45,'Baremos actuales'!$A:$D,4,FALSE)=L$9,$E45*$F45,""))))</f>
        <v/>
      </c>
      <c r="M45" s="91" t="str">
        <f t="shared" si="0"/>
        <v/>
      </c>
      <c r="N45" s="96"/>
      <c r="O45" s="95"/>
      <c r="P45" s="96"/>
      <c r="Q45" s="98"/>
    </row>
    <row r="46" spans="1:17" ht="15.75" x14ac:dyDescent="0.2">
      <c r="A46" s="17"/>
      <c r="B46" s="18"/>
      <c r="C46" s="87" t="str">
        <f>IF(B46="","",
IF(M46=$H$5,IFERROR(VLOOKUP(B46,'Baremos actuales'!A:E,5,FALSE),"No encontrado. Revisar código, fecha ejecución y/o contrato."),
IF(M46=$H$4,IFERROR(VLOOKUP(B46,'Baremos anteriores'!A:E,5,FALSE),"No encontrado. Revisar código, fecha ejecución y/o contrato."),
IF(M46=$H$3,IFERROR(VLOOKUP(B46,#REF!,5,FALSE),"No encontrado. Revisar código, fecha ejecución y/o contrato."),
IF(D46="","Código no encontrado",
IF(D46="ERROR","No encontrado. Revisar Código, fecha de ejecución y/o contrato.",
IF(D46="MATE",
IF(C45="DESCRIPCION","NO SE PUEDE COMENZAR SIN CÓDIGO DE TAREA",
IF(C45="","FALTA CÓDIGO DE TAREA",
CONCATENATE("          ",VLOOKUP(B46,'Maestro Materiales'!A:C,3,FALSE)))),IFERROR(VLOOKUP(B46,#REF!,5,FALSE),"No encontrado. Revisar código, fecha ejecución y/o contrato."))))))))</f>
        <v/>
      </c>
      <c r="D46" s="88" t="str">
        <f>IF(B46="","",
IFERROR(VLOOKUP(B46,'Maestro Materiales'!A:C,2,FALSE),
IFERROR(VLOOKUP(B46,'Baremos actuales'!A:B,2,FALSE),
IFERROR(VLOOKUP(B46,'Baremos anteriores'!A:B,2,FALSE),
""))))</f>
        <v/>
      </c>
      <c r="E46" s="9"/>
      <c r="F46" s="89" t="str">
        <f>IF(D46="MATE",
IF(E46="","¿Unidades?",""),
IF(D46="",IF(E46="","","¿Código?"),
IF(E46="","¿Unidades?",
IF(D46="TARE",
IF(M46=$H$3,IFERROR(VLOOKUP(B46,'Baremos actuales'!A:C,3,FALSE),0),
IF(M46=$H$4,IFERROR(VLOOKUP(B46,'Baremos anteriores'!A:C,3,FALSE),0),0))))))</f>
        <v/>
      </c>
      <c r="G46" s="7"/>
      <c r="H46" s="8"/>
      <c r="I46" s="8"/>
      <c r="J46" s="78" t="str">
        <f>IF($D46="","",
IF($E46="","",
IF($D46="MATE","",
IF(VLOOKUP($B46,'Baremos actuales'!A:D,4,FALSE)=J$9,$E46*$F46,IF(VLOOKUP($B46,'Baremos anteriores'!A:D,4,FALSE)="Sin Definir",$E46*$F46,"")))))</f>
        <v/>
      </c>
      <c r="K46" s="79" t="str">
        <f>IF($D46="","",
IF($E46="","",
IF($D46="MATE","",
IF(VLOOKUP($B46,'Baremos actuales'!$A:$D,4,FALSE)=K$9,$E46*$F46,IF(VLOOKUP($B46,'Baremos anteriores'!$A:$D,4,FALSE)="Desmonte",$E46*$F46,"")))))</f>
        <v/>
      </c>
      <c r="L46" s="80" t="str">
        <f>IF($D46="","",
IF($E46="","",
IF($D46="MATE","",
IF(VLOOKUP($B46,'Baremos actuales'!$A:$D,4,FALSE)=L$9,$E46*$F46,""))))</f>
        <v/>
      </c>
      <c r="M46" s="91" t="str">
        <f t="shared" si="0"/>
        <v/>
      </c>
      <c r="N46" s="96"/>
      <c r="O46" s="95"/>
      <c r="P46" s="96"/>
      <c r="Q46" s="98"/>
    </row>
    <row r="47" spans="1:17" ht="15.75" x14ac:dyDescent="0.2">
      <c r="A47" s="17"/>
      <c r="B47" s="18"/>
      <c r="C47" s="87" t="str">
        <f>IF(B47="","",
IF(M47=$H$5,IFERROR(VLOOKUP(B47,'Baremos actuales'!A:E,5,FALSE),"No encontrado. Revisar código, fecha ejecución y/o contrato."),
IF(M47=$H$4,IFERROR(VLOOKUP(B47,'Baremos anteriores'!A:E,5,FALSE),"No encontrado. Revisar código, fecha ejecución y/o contrato."),
IF(M47=$H$3,IFERROR(VLOOKUP(B47,#REF!,5,FALSE),"No encontrado. Revisar código, fecha ejecución y/o contrato."),
IF(D47="","Código no encontrado",
IF(D47="ERROR","No encontrado. Revisar Código, fecha de ejecución y/o contrato.",
IF(D47="MATE",
IF(C46="DESCRIPCION","NO SE PUEDE COMENZAR SIN CÓDIGO DE TAREA",
IF(C46="","FALTA CÓDIGO DE TAREA",
CONCATENATE("          ",VLOOKUP(B47,'Maestro Materiales'!A:C,3,FALSE)))),IFERROR(VLOOKUP(B47,#REF!,5,FALSE),"No encontrado. Revisar código, fecha ejecución y/o contrato."))))))))</f>
        <v/>
      </c>
      <c r="D47" s="88" t="str">
        <f>IF(B47="","",
IFERROR(VLOOKUP(B47,'Maestro Materiales'!A:C,2,FALSE),
IFERROR(VLOOKUP(B47,'Baremos actuales'!A:B,2,FALSE),
IFERROR(VLOOKUP(B47,'Baremos anteriores'!A:B,2,FALSE),
""))))</f>
        <v/>
      </c>
      <c r="E47" s="9"/>
      <c r="F47" s="89" t="str">
        <f>IF(D47="MATE",
IF(E47="","¿Unidades?",""),
IF(D47="",IF(E47="","","¿Código?"),
IF(E47="","¿Unidades?",
IF(D47="TARE",
IF(M47=$H$3,IFERROR(VLOOKUP(B47,'Baremos actuales'!A:C,3,FALSE),0),
IF(M47=$H$4,IFERROR(VLOOKUP(B47,'Baremos anteriores'!A:C,3,FALSE),0),0))))))</f>
        <v/>
      </c>
      <c r="G47" s="7"/>
      <c r="H47" s="8"/>
      <c r="I47" s="8"/>
      <c r="J47" s="78" t="str">
        <f>IF($D47="","",
IF($E47="","",
IF($D47="MATE","",
IF(VLOOKUP($B47,'Baremos actuales'!A:D,4,FALSE)=J$9,$E47*$F47,IF(VLOOKUP($B47,'Baremos anteriores'!A:D,4,FALSE)="Sin Definir",$E47*$F47,"")))))</f>
        <v/>
      </c>
      <c r="K47" s="79" t="str">
        <f>IF($D47="","",
IF($E47="","",
IF($D47="MATE","",
IF(VLOOKUP($B47,'Baremos actuales'!$A:$D,4,FALSE)=K$9,$E47*$F47,IF(VLOOKUP($B47,'Baremos anteriores'!$A:$D,4,FALSE)="Desmonte",$E47*$F47,"")))))</f>
        <v/>
      </c>
      <c r="L47" s="80" t="str">
        <f>IF($D47="","",
IF($E47="","",
IF($D47="MATE","",
IF(VLOOKUP($B47,'Baremos actuales'!$A:$D,4,FALSE)=L$9,$E47*$F47,""))))</f>
        <v/>
      </c>
      <c r="M47" s="91" t="str">
        <f t="shared" si="0"/>
        <v/>
      </c>
      <c r="N47" s="96"/>
      <c r="O47" s="95"/>
      <c r="P47" s="96"/>
      <c r="Q47" s="98"/>
    </row>
    <row r="48" spans="1:17" ht="15.75" x14ac:dyDescent="0.2">
      <c r="A48" s="17"/>
      <c r="B48" s="18"/>
      <c r="C48" s="87" t="str">
        <f>IF(B48="","",
IF(M48=$H$5,IFERROR(VLOOKUP(B48,'Baremos actuales'!A:E,5,FALSE),"No encontrado. Revisar código, fecha ejecución y/o contrato."),
IF(M48=$H$4,IFERROR(VLOOKUP(B48,'Baremos anteriores'!A:E,5,FALSE),"No encontrado. Revisar código, fecha ejecución y/o contrato."),
IF(M48=$H$3,IFERROR(VLOOKUP(B48,#REF!,5,FALSE),"No encontrado. Revisar código, fecha ejecución y/o contrato."),
IF(D48="","Código no encontrado",
IF(D48="ERROR","No encontrado. Revisar Código, fecha de ejecución y/o contrato.",
IF(D48="MATE",
IF(C47="DESCRIPCION","NO SE PUEDE COMENZAR SIN CÓDIGO DE TAREA",
IF(C47="","FALTA CÓDIGO DE TAREA",
CONCATENATE("          ",VLOOKUP(B48,'Maestro Materiales'!A:C,3,FALSE)))),IFERROR(VLOOKUP(B48,#REF!,5,FALSE),"No encontrado. Revisar código, fecha ejecución y/o contrato."))))))))</f>
        <v/>
      </c>
      <c r="D48" s="88" t="str">
        <f>IF(B48="","",
IFERROR(VLOOKUP(B48,'Maestro Materiales'!A:C,2,FALSE),
IFERROR(VLOOKUP(B48,'Baremos actuales'!A:B,2,FALSE),
IFERROR(VLOOKUP(B48,'Baremos anteriores'!A:B,2,FALSE),
""))))</f>
        <v/>
      </c>
      <c r="E48" s="9"/>
      <c r="F48" s="89" t="str">
        <f>IF(D48="MATE",
IF(E48="","¿Unidades?",""),
IF(D48="",IF(E48="","","¿Código?"),
IF(E48="","¿Unidades?",
IF(D48="TARE",
IF(M48=$H$3,IFERROR(VLOOKUP(B48,'Baremos actuales'!A:C,3,FALSE),0),
IF(M48=$H$4,IFERROR(VLOOKUP(B48,'Baremos anteriores'!A:C,3,FALSE),0),0))))))</f>
        <v/>
      </c>
      <c r="G48" s="7"/>
      <c r="H48" s="8"/>
      <c r="I48" s="8"/>
      <c r="J48" s="78" t="str">
        <f>IF($D48="","",
IF($E48="","",
IF($D48="MATE","",
IF(VLOOKUP($B48,'Baremos actuales'!A:D,4,FALSE)=J$9,$E48*$F48,IF(VLOOKUP($B48,'Baremos anteriores'!A:D,4,FALSE)="Sin Definir",$E48*$F48,"")))))</f>
        <v/>
      </c>
      <c r="K48" s="79" t="str">
        <f>IF($D48="","",
IF($E48="","",
IF($D48="MATE","",
IF(VLOOKUP($B48,'Baremos actuales'!$A:$D,4,FALSE)=K$9,$E48*$F48,IF(VLOOKUP($B48,'Baremos anteriores'!$A:$D,4,FALSE)="Desmonte",$E48*$F48,"")))))</f>
        <v/>
      </c>
      <c r="L48" s="80" t="str">
        <f>IF($D48="","",
IF($E48="","",
IF($D48="MATE","",
IF(VLOOKUP($B48,'Baremos actuales'!$A:$D,4,FALSE)=L$9,$E48*$F48,""))))</f>
        <v/>
      </c>
      <c r="M48" s="91" t="str">
        <f t="shared" si="0"/>
        <v/>
      </c>
      <c r="N48" s="96"/>
      <c r="O48" s="95"/>
      <c r="P48" s="96"/>
      <c r="Q48" s="98"/>
    </row>
    <row r="49" spans="1:17" ht="15.75" x14ac:dyDescent="0.2">
      <c r="A49" s="17"/>
      <c r="B49" s="18"/>
      <c r="C49" s="87" t="str">
        <f>IF(B49="","",
IF(M49=$H$5,IFERROR(VLOOKUP(B49,'Baremos actuales'!A:E,5,FALSE),"No encontrado. Revisar código, fecha ejecución y/o contrato."),
IF(M49=$H$4,IFERROR(VLOOKUP(B49,'Baremos anteriores'!A:E,5,FALSE),"No encontrado. Revisar código, fecha ejecución y/o contrato."),
IF(M49=$H$3,IFERROR(VLOOKUP(B49,#REF!,5,FALSE),"No encontrado. Revisar código, fecha ejecución y/o contrato."),
IF(D49="","Código no encontrado",
IF(D49="ERROR","No encontrado. Revisar Código, fecha de ejecución y/o contrato.",
IF(D49="MATE",
IF(C48="DESCRIPCION","NO SE PUEDE COMENZAR SIN CÓDIGO DE TAREA",
IF(C48="","FALTA CÓDIGO DE TAREA",
CONCATENATE("          ",VLOOKUP(B49,'Maestro Materiales'!A:C,3,FALSE)))),IFERROR(VLOOKUP(B49,#REF!,5,FALSE),"No encontrado. Revisar código, fecha ejecución y/o contrato."))))))))</f>
        <v/>
      </c>
      <c r="D49" s="88" t="str">
        <f>IF(B49="","",
IFERROR(VLOOKUP(B49,'Maestro Materiales'!A:C,2,FALSE),
IFERROR(VLOOKUP(B49,'Baremos actuales'!A:B,2,FALSE),
IFERROR(VLOOKUP(B49,'Baremos anteriores'!A:B,2,FALSE),
""))))</f>
        <v/>
      </c>
      <c r="E49" s="9"/>
      <c r="F49" s="89" t="str">
        <f>IF(D49="MATE",
IF(E49="","¿Unidades?",""),
IF(D49="",IF(E49="","","¿Código?"),
IF(E49="","¿Unidades?",
IF(D49="TARE",
IF(M49=$H$3,IFERROR(VLOOKUP(B49,'Baremos actuales'!A:C,3,FALSE),0),
IF(M49=$H$4,IFERROR(VLOOKUP(B49,'Baremos anteriores'!A:C,3,FALSE),0),0))))))</f>
        <v/>
      </c>
      <c r="G49" s="7"/>
      <c r="H49" s="8"/>
      <c r="I49" s="8"/>
      <c r="J49" s="78" t="str">
        <f>IF($D49="","",
IF($E49="","",
IF($D49="MATE","",
IF(VLOOKUP($B49,'Baremos actuales'!A:D,4,FALSE)=J$9,$E49*$F49,IF(VLOOKUP($B49,'Baremos anteriores'!A:D,4,FALSE)="Sin Definir",$E49*$F49,"")))))</f>
        <v/>
      </c>
      <c r="K49" s="79" t="str">
        <f>IF($D49="","",
IF($E49="","",
IF($D49="MATE","",
IF(VLOOKUP($B49,'Baremos actuales'!$A:$D,4,FALSE)=K$9,$E49*$F49,IF(VLOOKUP($B49,'Baremos anteriores'!$A:$D,4,FALSE)="Desmonte",$E49*$F49,"")))))</f>
        <v/>
      </c>
      <c r="L49" s="80" t="str">
        <f>IF($D49="","",
IF($E49="","",
IF($D49="MATE","",
IF(VLOOKUP($B49,'Baremos actuales'!$A:$D,4,FALSE)=L$9,$E49*$F49,""))))</f>
        <v/>
      </c>
      <c r="M49" s="91" t="str">
        <f t="shared" si="0"/>
        <v/>
      </c>
      <c r="N49" s="96"/>
      <c r="O49" s="95"/>
      <c r="P49" s="96"/>
      <c r="Q49" s="98"/>
    </row>
    <row r="50" spans="1:17" ht="15.75" x14ac:dyDescent="0.2">
      <c r="A50" s="17"/>
      <c r="B50" s="18"/>
      <c r="C50" s="87" t="str">
        <f>IF(B50="","",
IF(M50=$H$5,IFERROR(VLOOKUP(B50,'Baremos actuales'!A:E,5,FALSE),"No encontrado. Revisar código, fecha ejecución y/o contrato."),
IF(M50=$H$4,IFERROR(VLOOKUP(B50,'Baremos anteriores'!A:E,5,FALSE),"No encontrado. Revisar código, fecha ejecución y/o contrato."),
IF(M50=$H$3,IFERROR(VLOOKUP(B50,#REF!,5,FALSE),"No encontrado. Revisar código, fecha ejecución y/o contrato."),
IF(D50="","Código no encontrado",
IF(D50="ERROR","No encontrado. Revisar Código, fecha de ejecución y/o contrato.",
IF(D50="MATE",
IF(C49="DESCRIPCION","NO SE PUEDE COMENZAR SIN CÓDIGO DE TAREA",
IF(C49="","FALTA CÓDIGO DE TAREA",
CONCATENATE("          ",VLOOKUP(B50,'Maestro Materiales'!A:C,3,FALSE)))),IFERROR(VLOOKUP(B50,#REF!,5,FALSE),"No encontrado. Revisar código, fecha ejecución y/o contrato."))))))))</f>
        <v/>
      </c>
      <c r="D50" s="88" t="str">
        <f>IF(B50="","",
IFERROR(VLOOKUP(B50,'Maestro Materiales'!A:C,2,FALSE),
IFERROR(VLOOKUP(B50,'Baremos actuales'!A:B,2,FALSE),
IFERROR(VLOOKUP(B50,'Baremos anteriores'!A:B,2,FALSE),
""))))</f>
        <v/>
      </c>
      <c r="E50" s="9"/>
      <c r="F50" s="89" t="str">
        <f>IF(D50="MATE",
IF(E50="","¿Unidades?",""),
IF(D50="",IF(E50="","","¿Código?"),
IF(E50="","¿Unidades?",
IF(D50="TARE",
IF(M50=$H$3,IFERROR(VLOOKUP(B50,'Baremos actuales'!A:C,3,FALSE),0),
IF(M50=$H$4,IFERROR(VLOOKUP(B50,'Baremos anteriores'!A:C,3,FALSE),0),0))))))</f>
        <v/>
      </c>
      <c r="G50" s="7"/>
      <c r="H50" s="8"/>
      <c r="I50" s="8"/>
      <c r="J50" s="78" t="str">
        <f>IF($D50="","",
IF($E50="","",
IF($D50="MATE","",
IF(VLOOKUP($B50,'Baremos actuales'!A:D,4,FALSE)=J$9,$E50*$F50,IF(VLOOKUP($B50,'Baremos anteriores'!A:D,4,FALSE)="Sin Definir",$E50*$F50,"")))))</f>
        <v/>
      </c>
      <c r="K50" s="79" t="str">
        <f>IF($D50="","",
IF($E50="","",
IF($D50="MATE","",
IF(VLOOKUP($B50,'Baremos actuales'!$A:$D,4,FALSE)=K$9,$E50*$F50,IF(VLOOKUP($B50,'Baremos anteriores'!$A:$D,4,FALSE)="Desmonte",$E50*$F50,"")))))</f>
        <v/>
      </c>
      <c r="L50" s="80" t="str">
        <f>IF($D50="","",
IF($E50="","",
IF($D50="MATE","",
IF(VLOOKUP($B50,'Baremos actuales'!$A:$D,4,FALSE)=L$9,$E50*$F50,""))))</f>
        <v/>
      </c>
      <c r="M50" s="91" t="str">
        <f t="shared" si="0"/>
        <v/>
      </c>
      <c r="N50" s="96"/>
      <c r="O50" s="95"/>
      <c r="P50" s="96"/>
      <c r="Q50" s="98"/>
    </row>
    <row r="51" spans="1:17" ht="15.75" x14ac:dyDescent="0.2">
      <c r="A51" s="17"/>
      <c r="B51" s="18"/>
      <c r="C51" s="87" t="str">
        <f>IF(B51="","",
IF(M51=$H$5,IFERROR(VLOOKUP(B51,'Baremos actuales'!A:E,5,FALSE),"No encontrado. Revisar código, fecha ejecución y/o contrato."),
IF(M51=$H$4,IFERROR(VLOOKUP(B51,'Baremos anteriores'!A:E,5,FALSE),"No encontrado. Revisar código, fecha ejecución y/o contrato."),
IF(M51=$H$3,IFERROR(VLOOKUP(B51,#REF!,5,FALSE),"No encontrado. Revisar código, fecha ejecución y/o contrato."),
IF(D51="","Código no encontrado",
IF(D51="ERROR","No encontrado. Revisar Código, fecha de ejecución y/o contrato.",
IF(D51="MATE",
IF(C50="DESCRIPCION","NO SE PUEDE COMENZAR SIN CÓDIGO DE TAREA",
IF(C50="","FALTA CÓDIGO DE TAREA",
CONCATENATE("          ",VLOOKUP(B51,'Maestro Materiales'!A:C,3,FALSE)))),IFERROR(VLOOKUP(B51,#REF!,5,FALSE),"No encontrado. Revisar código, fecha ejecución y/o contrato."))))))))</f>
        <v/>
      </c>
      <c r="D51" s="88" t="str">
        <f>IF(B51="","",
IFERROR(VLOOKUP(B51,'Maestro Materiales'!A:C,2,FALSE),
IFERROR(VLOOKUP(B51,'Baremos actuales'!A:B,2,FALSE),
IFERROR(VLOOKUP(B51,'Baremos anteriores'!A:B,2,FALSE),
""))))</f>
        <v/>
      </c>
      <c r="E51" s="9"/>
      <c r="F51" s="89" t="str">
        <f>IF(D51="MATE",
IF(E51="","¿Unidades?",""),
IF(D51="",IF(E51="","","¿Código?"),
IF(E51="","¿Unidades?",
IF(D51="TARE",
IF(M51=$H$3,IFERROR(VLOOKUP(B51,'Baremos actuales'!A:C,3,FALSE),0),
IF(M51=$H$4,IFERROR(VLOOKUP(B51,'Baremos anteriores'!A:C,3,FALSE),0),0))))))</f>
        <v/>
      </c>
      <c r="G51" s="7"/>
      <c r="H51" s="8"/>
      <c r="I51" s="8"/>
      <c r="J51" s="78" t="str">
        <f>IF($D51="","",
IF($E51="","",
IF($D51="MATE","",
IF(VLOOKUP($B51,'Baremos actuales'!A:D,4,FALSE)=J$9,$E51*$F51,IF(VLOOKUP($B51,'Baremos anteriores'!A:D,4,FALSE)="Sin Definir",$E51*$F51,"")))))</f>
        <v/>
      </c>
      <c r="K51" s="79" t="str">
        <f>IF($D51="","",
IF($E51="","",
IF($D51="MATE","",
IF(VLOOKUP($B51,'Baremos actuales'!$A:$D,4,FALSE)=K$9,$E51*$F51,IF(VLOOKUP($B51,'Baremos anteriores'!$A:$D,4,FALSE)="Desmonte",$E51*$F51,"")))))</f>
        <v/>
      </c>
      <c r="L51" s="80" t="str">
        <f>IF($D51="","",
IF($E51="","",
IF($D51="MATE","",
IF(VLOOKUP($B51,'Baremos actuales'!$A:$D,4,FALSE)=L$9,$E51*$F51,""))))</f>
        <v/>
      </c>
      <c r="M51" s="91" t="str">
        <f t="shared" si="0"/>
        <v/>
      </c>
      <c r="N51" s="96"/>
      <c r="O51" s="95"/>
      <c r="P51" s="96"/>
      <c r="Q51" s="98"/>
    </row>
    <row r="52" spans="1:17" ht="15.75" x14ac:dyDescent="0.2">
      <c r="A52" s="17"/>
      <c r="B52" s="18"/>
      <c r="C52" s="87" t="str">
        <f>IF(B52="","",
IF(M52=$H$5,IFERROR(VLOOKUP(B52,'Baremos actuales'!A:E,5,FALSE),"No encontrado. Revisar código, fecha ejecución y/o contrato."),
IF(M52=$H$4,IFERROR(VLOOKUP(B52,'Baremos anteriores'!A:E,5,FALSE),"No encontrado. Revisar código, fecha ejecución y/o contrato."),
IF(M52=$H$3,IFERROR(VLOOKUP(B52,#REF!,5,FALSE),"No encontrado. Revisar código, fecha ejecución y/o contrato."),
IF(D52="","Código no encontrado",
IF(D52="ERROR","No encontrado. Revisar Código, fecha de ejecución y/o contrato.",
IF(D52="MATE",
IF(C51="DESCRIPCION","NO SE PUEDE COMENZAR SIN CÓDIGO DE TAREA",
IF(C51="","FALTA CÓDIGO DE TAREA",
CONCATENATE("          ",VLOOKUP(B52,'Maestro Materiales'!A:C,3,FALSE)))),IFERROR(VLOOKUP(B52,#REF!,5,FALSE),"No encontrado. Revisar código, fecha ejecución y/o contrato."))))))))</f>
        <v/>
      </c>
      <c r="D52" s="88" t="str">
        <f>IF(B52="","",
IFERROR(VLOOKUP(B52,'Maestro Materiales'!A:C,2,FALSE),
IFERROR(VLOOKUP(B52,'Baremos actuales'!A:B,2,FALSE),
IFERROR(VLOOKUP(B52,'Baremos anteriores'!A:B,2,FALSE),
""))))</f>
        <v/>
      </c>
      <c r="E52" s="9"/>
      <c r="F52" s="89" t="str">
        <f>IF(D52="MATE",
IF(E52="","¿Unidades?",""),
IF(D52="",IF(E52="","","¿Código?"),
IF(E52="","¿Unidades?",
IF(D52="TARE",
IF(M52=$H$3,IFERROR(VLOOKUP(B52,'Baremos actuales'!A:C,3,FALSE),0),
IF(M52=$H$4,IFERROR(VLOOKUP(B52,'Baremos anteriores'!A:C,3,FALSE),0),0))))))</f>
        <v/>
      </c>
      <c r="G52" s="7"/>
      <c r="H52" s="8"/>
      <c r="I52" s="8"/>
      <c r="J52" s="78" t="str">
        <f>IF($D52="","",
IF($E52="","",
IF($D52="MATE","",
IF(VLOOKUP($B52,'Baremos actuales'!A:D,4,FALSE)=J$9,$E52*$F52,IF(VLOOKUP($B52,'Baremos anteriores'!A:D,4,FALSE)="Sin Definir",$E52*$F52,"")))))</f>
        <v/>
      </c>
      <c r="K52" s="79" t="str">
        <f>IF($D52="","",
IF($E52="","",
IF($D52="MATE","",
IF(VLOOKUP($B52,'Baremos actuales'!$A:$D,4,FALSE)=K$9,$E52*$F52,IF(VLOOKUP($B52,'Baremos anteriores'!$A:$D,4,FALSE)="Desmonte",$E52*$F52,"")))))</f>
        <v/>
      </c>
      <c r="L52" s="80" t="str">
        <f>IF($D52="","",
IF($E52="","",
IF($D52="MATE","",
IF(VLOOKUP($B52,'Baremos actuales'!$A:$D,4,FALSE)=L$9,$E52*$F52,""))))</f>
        <v/>
      </c>
      <c r="M52" s="91" t="str">
        <f t="shared" si="0"/>
        <v/>
      </c>
      <c r="N52" s="96"/>
      <c r="O52" s="95"/>
      <c r="P52" s="96"/>
      <c r="Q52" s="98"/>
    </row>
    <row r="53" spans="1:17" ht="15.75" x14ac:dyDescent="0.2">
      <c r="A53" s="17"/>
      <c r="B53" s="18"/>
      <c r="C53" s="87" t="str">
        <f>IF(B53="","",
IF(M53=$H$5,IFERROR(VLOOKUP(B53,'Baremos actuales'!A:E,5,FALSE),"No encontrado. Revisar código, fecha ejecución y/o contrato."),
IF(M53=$H$4,IFERROR(VLOOKUP(B53,'Baremos anteriores'!A:E,5,FALSE),"No encontrado. Revisar código, fecha ejecución y/o contrato."),
IF(M53=$H$3,IFERROR(VLOOKUP(B53,#REF!,5,FALSE),"No encontrado. Revisar código, fecha ejecución y/o contrato."),
IF(D53="","Código no encontrado",
IF(D53="ERROR","No encontrado. Revisar Código, fecha de ejecución y/o contrato.",
IF(D53="MATE",
IF(C52="DESCRIPCION","NO SE PUEDE COMENZAR SIN CÓDIGO DE TAREA",
IF(C52="","FALTA CÓDIGO DE TAREA",
CONCATENATE("          ",VLOOKUP(B53,'Maestro Materiales'!A:C,3,FALSE)))),IFERROR(VLOOKUP(B53,#REF!,5,FALSE),"No encontrado. Revisar código, fecha ejecución y/o contrato."))))))))</f>
        <v/>
      </c>
      <c r="D53" s="88" t="str">
        <f>IF(B53="","",
IFERROR(VLOOKUP(B53,'Maestro Materiales'!A:C,2,FALSE),
IFERROR(VLOOKUP(B53,'Baremos actuales'!A:B,2,FALSE),
IFERROR(VLOOKUP(B53,'Baremos anteriores'!A:B,2,FALSE),
""))))</f>
        <v/>
      </c>
      <c r="E53" s="9"/>
      <c r="F53" s="89" t="str">
        <f>IF(D53="MATE",
IF(E53="","¿Unidades?",""),
IF(D53="",IF(E53="","","¿Código?"),
IF(E53="","¿Unidades?",
IF(D53="TARE",
IF(M53=$H$3,IFERROR(VLOOKUP(B53,'Baremos actuales'!A:C,3,FALSE),0),
IF(M53=$H$4,IFERROR(VLOOKUP(B53,'Baremos anteriores'!A:C,3,FALSE),0),0))))))</f>
        <v/>
      </c>
      <c r="G53" s="7"/>
      <c r="H53" s="8"/>
      <c r="I53" s="8"/>
      <c r="J53" s="78" t="str">
        <f>IF($D53="","",
IF($E53="","",
IF($D53="MATE","",
IF(VLOOKUP($B53,'Baremos actuales'!A:D,4,FALSE)=J$9,$E53*$F53,IF(VLOOKUP($B53,'Baremos anteriores'!A:D,4,FALSE)="Sin Definir",$E53*$F53,"")))))</f>
        <v/>
      </c>
      <c r="K53" s="79" t="str">
        <f>IF($D53="","",
IF($E53="","",
IF($D53="MATE","",
IF(VLOOKUP($B53,'Baremos actuales'!$A:$D,4,FALSE)=K$9,$E53*$F53,IF(VLOOKUP($B53,'Baremos anteriores'!$A:$D,4,FALSE)="Desmonte",$E53*$F53,"")))))</f>
        <v/>
      </c>
      <c r="L53" s="80" t="str">
        <f>IF($D53="","",
IF($E53="","",
IF($D53="MATE","",
IF(VLOOKUP($B53,'Baremos actuales'!$A:$D,4,FALSE)=L$9,$E53*$F53,""))))</f>
        <v/>
      </c>
      <c r="M53" s="91" t="str">
        <f t="shared" si="0"/>
        <v/>
      </c>
      <c r="N53" s="96"/>
      <c r="O53" s="95"/>
      <c r="P53" s="96"/>
      <c r="Q53" s="98"/>
    </row>
    <row r="54" spans="1:17" ht="15.75" x14ac:dyDescent="0.2">
      <c r="A54" s="17"/>
      <c r="B54" s="18"/>
      <c r="C54" s="87" t="str">
        <f>IF(B54="","",
IF(M54=$H$5,IFERROR(VLOOKUP(B54,'Baremos actuales'!A:E,5,FALSE),"No encontrado. Revisar código, fecha ejecución y/o contrato."),
IF(M54=$H$4,IFERROR(VLOOKUP(B54,'Baremos anteriores'!A:E,5,FALSE),"No encontrado. Revisar código, fecha ejecución y/o contrato."),
IF(M54=$H$3,IFERROR(VLOOKUP(B54,#REF!,5,FALSE),"No encontrado. Revisar código, fecha ejecución y/o contrato."),
IF(D54="","Código no encontrado",
IF(D54="ERROR","No encontrado. Revisar Código, fecha de ejecución y/o contrato.",
IF(D54="MATE",
IF(C53="DESCRIPCION","NO SE PUEDE COMENZAR SIN CÓDIGO DE TAREA",
IF(C53="","FALTA CÓDIGO DE TAREA",
CONCATENATE("          ",VLOOKUP(B54,'Maestro Materiales'!A:C,3,FALSE)))),IFERROR(VLOOKUP(B54,#REF!,5,FALSE),"No encontrado. Revisar código, fecha ejecución y/o contrato."))))))))</f>
        <v/>
      </c>
      <c r="D54" s="88" t="str">
        <f>IF(B54="","",
IFERROR(VLOOKUP(B54,'Maestro Materiales'!A:C,2,FALSE),
IFERROR(VLOOKUP(B54,'Baremos actuales'!A:B,2,FALSE),
IFERROR(VLOOKUP(B54,'Baremos anteriores'!A:B,2,FALSE),
""))))</f>
        <v/>
      </c>
      <c r="E54" s="9"/>
      <c r="F54" s="89" t="str">
        <f>IF(D54="MATE",
IF(E54="","¿Unidades?",""),
IF(D54="",IF(E54="","","¿Código?"),
IF(E54="","¿Unidades?",
IF(D54="TARE",
IF(M54=$H$3,IFERROR(VLOOKUP(B54,'Baremos actuales'!A:C,3,FALSE),0),
IF(M54=$H$4,IFERROR(VLOOKUP(B54,'Baremos anteriores'!A:C,3,FALSE),0),0))))))</f>
        <v/>
      </c>
      <c r="G54" s="7"/>
      <c r="H54" s="8"/>
      <c r="I54" s="8"/>
      <c r="J54" s="78" t="str">
        <f>IF($D54="","",
IF($E54="","",
IF($D54="MATE","",
IF(VLOOKUP($B54,'Baremos actuales'!A:D,4,FALSE)=J$9,$E54*$F54,IF(VLOOKUP($B54,'Baremos anteriores'!A:D,4,FALSE)="Sin Definir",$E54*$F54,"")))))</f>
        <v/>
      </c>
      <c r="K54" s="79" t="str">
        <f>IF($D54="","",
IF($E54="","",
IF($D54="MATE","",
IF(VLOOKUP($B54,'Baremos actuales'!$A:$D,4,FALSE)=K$9,$E54*$F54,IF(VLOOKUP($B54,'Baremos anteriores'!$A:$D,4,FALSE)="Desmonte",$E54*$F54,"")))))</f>
        <v/>
      </c>
      <c r="L54" s="80" t="str">
        <f>IF($D54="","",
IF($E54="","",
IF($D54="MATE","",
IF(VLOOKUP($B54,'Baremos actuales'!$A:$D,4,FALSE)=L$9,$E54*$F54,""))))</f>
        <v/>
      </c>
      <c r="M54" s="91" t="str">
        <f t="shared" si="0"/>
        <v/>
      </c>
      <c r="N54" s="96"/>
      <c r="O54" s="95"/>
      <c r="P54" s="96"/>
      <c r="Q54" s="98"/>
    </row>
    <row r="55" spans="1:17" ht="15.75" x14ac:dyDescent="0.2">
      <c r="A55" s="17"/>
      <c r="B55" s="18"/>
      <c r="C55" s="87" t="str">
        <f>IF(B55="","",
IF(M55=$H$5,IFERROR(VLOOKUP(B55,'Baremos actuales'!A:E,5,FALSE),"No encontrado. Revisar código, fecha ejecución y/o contrato."),
IF(M55=$H$4,IFERROR(VLOOKUP(B55,'Baremos anteriores'!A:E,5,FALSE),"No encontrado. Revisar código, fecha ejecución y/o contrato."),
IF(M55=$H$3,IFERROR(VLOOKUP(B55,#REF!,5,FALSE),"No encontrado. Revisar código, fecha ejecución y/o contrato."),
IF(D55="","Código no encontrado",
IF(D55="ERROR","No encontrado. Revisar Código, fecha de ejecución y/o contrato.",
IF(D55="MATE",
IF(C54="DESCRIPCION","NO SE PUEDE COMENZAR SIN CÓDIGO DE TAREA",
IF(C54="","FALTA CÓDIGO DE TAREA",
CONCATENATE("          ",VLOOKUP(B55,'Maestro Materiales'!A:C,3,FALSE)))),IFERROR(VLOOKUP(B55,#REF!,5,FALSE),"No encontrado. Revisar código, fecha ejecución y/o contrato."))))))))</f>
        <v/>
      </c>
      <c r="D55" s="88" t="str">
        <f>IF(B55="","",
IFERROR(VLOOKUP(B55,'Maestro Materiales'!A:C,2,FALSE),
IFERROR(VLOOKUP(B55,'Baremos actuales'!A:B,2,FALSE),
IFERROR(VLOOKUP(B55,'Baremos anteriores'!A:B,2,FALSE),
""))))</f>
        <v/>
      </c>
      <c r="E55" s="9"/>
      <c r="F55" s="89" t="str">
        <f>IF(D55="MATE",
IF(E55="","¿Unidades?",""),
IF(D55="",IF(E55="","","¿Código?"),
IF(E55="","¿Unidades?",
IF(D55="TARE",
IF(M55=$H$3,IFERROR(VLOOKUP(B55,'Baremos actuales'!A:C,3,FALSE),0),
IF(M55=$H$4,IFERROR(VLOOKUP(B55,'Baremos anteriores'!A:C,3,FALSE),0),0))))))</f>
        <v/>
      </c>
      <c r="G55" s="7"/>
      <c r="H55" s="8"/>
      <c r="I55" s="8"/>
      <c r="J55" s="78" t="str">
        <f>IF($D55="","",
IF($E55="","",
IF($D55="MATE","",
IF(VLOOKUP($B55,'Baremos actuales'!A:D,4,FALSE)=J$9,$E55*$F55,IF(VLOOKUP($B55,'Baremos anteriores'!A:D,4,FALSE)="Sin Definir",$E55*$F55,"")))))</f>
        <v/>
      </c>
      <c r="K55" s="79" t="str">
        <f>IF($D55="","",
IF($E55="","",
IF($D55="MATE","",
IF(VLOOKUP($B55,'Baremos actuales'!$A:$D,4,FALSE)=K$9,$E55*$F55,IF(VLOOKUP($B55,'Baremos anteriores'!$A:$D,4,FALSE)="Desmonte",$E55*$F55,"")))))</f>
        <v/>
      </c>
      <c r="L55" s="80" t="str">
        <f>IF($D55="","",
IF($E55="","",
IF($D55="MATE","",
IF(VLOOKUP($B55,'Baremos actuales'!$A:$D,4,FALSE)=L$9,$E55*$F55,""))))</f>
        <v/>
      </c>
      <c r="M55" s="91" t="str">
        <f t="shared" si="0"/>
        <v/>
      </c>
      <c r="N55" s="96"/>
      <c r="O55" s="95"/>
      <c r="P55" s="96"/>
      <c r="Q55" s="98"/>
    </row>
    <row r="56" spans="1:17" ht="15.75" x14ac:dyDescent="0.2">
      <c r="A56" s="17"/>
      <c r="B56" s="18"/>
      <c r="C56" s="87" t="str">
        <f>IF(B56="","",
IF(M56=$H$5,IFERROR(VLOOKUP(B56,'Baremos actuales'!A:E,5,FALSE),"No encontrado. Revisar código, fecha ejecución y/o contrato."),
IF(M56=$H$4,IFERROR(VLOOKUP(B56,'Baremos anteriores'!A:E,5,FALSE),"No encontrado. Revisar código, fecha ejecución y/o contrato."),
IF(M56=$H$3,IFERROR(VLOOKUP(B56,#REF!,5,FALSE),"No encontrado. Revisar código, fecha ejecución y/o contrato."),
IF(D56="","Código no encontrado",
IF(D56="ERROR","No encontrado. Revisar Código, fecha de ejecución y/o contrato.",
IF(D56="MATE",
IF(C55="DESCRIPCION","NO SE PUEDE COMENZAR SIN CÓDIGO DE TAREA",
IF(C55="","FALTA CÓDIGO DE TAREA",
CONCATENATE("          ",VLOOKUP(B56,'Maestro Materiales'!A:C,3,FALSE)))),IFERROR(VLOOKUP(B56,#REF!,5,FALSE),"No encontrado. Revisar código, fecha ejecución y/o contrato."))))))))</f>
        <v/>
      </c>
      <c r="D56" s="88" t="str">
        <f>IF(B56="","",
IFERROR(VLOOKUP(B56,'Maestro Materiales'!A:C,2,FALSE),
IFERROR(VLOOKUP(B56,'Baremos actuales'!A:B,2,FALSE),
IFERROR(VLOOKUP(B56,'Baremos anteriores'!A:B,2,FALSE),
""))))</f>
        <v/>
      </c>
      <c r="E56" s="9"/>
      <c r="F56" s="89" t="str">
        <f>IF(D56="MATE",
IF(E56="","¿Unidades?",""),
IF(D56="",IF(E56="","","¿Código?"),
IF(E56="","¿Unidades?",
IF(D56="TARE",
IF(M56=$H$3,IFERROR(VLOOKUP(B56,'Baremos actuales'!A:C,3,FALSE),0),
IF(M56=$H$4,IFERROR(VLOOKUP(B56,'Baremos anteriores'!A:C,3,FALSE),0),0))))))</f>
        <v/>
      </c>
      <c r="G56" s="7"/>
      <c r="H56" s="8"/>
      <c r="I56" s="8"/>
      <c r="J56" s="78" t="str">
        <f>IF($D56="","",
IF($E56="","",
IF($D56="MATE","",
IF(VLOOKUP($B56,'Baremos actuales'!A:D,4,FALSE)=J$9,$E56*$F56,IF(VLOOKUP($B56,'Baremos anteriores'!A:D,4,FALSE)="Sin Definir",$E56*$F56,"")))))</f>
        <v/>
      </c>
      <c r="K56" s="79" t="str">
        <f>IF($D56="","",
IF($E56="","",
IF($D56="MATE","",
IF(VLOOKUP($B56,'Baremos actuales'!$A:$D,4,FALSE)=K$9,$E56*$F56,IF(VLOOKUP($B56,'Baremos anteriores'!$A:$D,4,FALSE)="Desmonte",$E56*$F56,"")))))</f>
        <v/>
      </c>
      <c r="L56" s="80" t="str">
        <f>IF($D56="","",
IF($E56="","",
IF($D56="MATE","",
IF(VLOOKUP($B56,'Baremos actuales'!$A:$D,4,FALSE)=L$9,$E56*$F56,""))))</f>
        <v/>
      </c>
      <c r="M56" s="91" t="str">
        <f t="shared" si="0"/>
        <v/>
      </c>
      <c r="N56" s="96"/>
      <c r="O56" s="95"/>
      <c r="P56" s="96"/>
      <c r="Q56" s="98"/>
    </row>
    <row r="57" spans="1:17" ht="15.75" x14ac:dyDescent="0.2">
      <c r="A57" s="17"/>
      <c r="B57" s="18"/>
      <c r="C57" s="87" t="str">
        <f>IF(B57="","",
IF(M57=$H$5,IFERROR(VLOOKUP(B57,'Baremos actuales'!A:E,5,FALSE),"No encontrado. Revisar código, fecha ejecución y/o contrato."),
IF(M57=$H$4,IFERROR(VLOOKUP(B57,'Baremos anteriores'!A:E,5,FALSE),"No encontrado. Revisar código, fecha ejecución y/o contrato."),
IF(M57=$H$3,IFERROR(VLOOKUP(B57,#REF!,5,FALSE),"No encontrado. Revisar código, fecha ejecución y/o contrato."),
IF(D57="","Código no encontrado",
IF(D57="ERROR","No encontrado. Revisar Código, fecha de ejecución y/o contrato.",
IF(D57="MATE",
IF(C56="DESCRIPCION","NO SE PUEDE COMENZAR SIN CÓDIGO DE TAREA",
IF(C56="","FALTA CÓDIGO DE TAREA",
CONCATENATE("          ",VLOOKUP(B57,'Maestro Materiales'!A:C,3,FALSE)))),IFERROR(VLOOKUP(B57,#REF!,5,FALSE),"No encontrado. Revisar código, fecha ejecución y/o contrato."))))))))</f>
        <v/>
      </c>
      <c r="D57" s="88" t="str">
        <f>IF(B57="","",
IFERROR(VLOOKUP(B57,'Maestro Materiales'!A:C,2,FALSE),
IFERROR(VLOOKUP(B57,'Baremos actuales'!A:B,2,FALSE),
IFERROR(VLOOKUP(B57,'Baremos anteriores'!A:B,2,FALSE),
""))))</f>
        <v/>
      </c>
      <c r="E57" s="9"/>
      <c r="F57" s="89" t="str">
        <f>IF(D57="MATE",
IF(E57="","¿Unidades?",""),
IF(D57="",IF(E57="","","¿Código?"),
IF(E57="","¿Unidades?",
IF(D57="TARE",
IF(M57=$H$3,IFERROR(VLOOKUP(B57,'Baremos actuales'!A:C,3,FALSE),0),
IF(M57=$H$4,IFERROR(VLOOKUP(B57,'Baremos anteriores'!A:C,3,FALSE),0),0))))))</f>
        <v/>
      </c>
      <c r="G57" s="7"/>
      <c r="H57" s="8"/>
      <c r="I57" s="8"/>
      <c r="J57" s="78" t="str">
        <f>IF($D57="","",
IF($E57="","",
IF($D57="MATE","",
IF(VLOOKUP($B57,'Baremos actuales'!A:D,4,FALSE)=J$9,$E57*$F57,IF(VLOOKUP($B57,'Baremos anteriores'!A:D,4,FALSE)="Sin Definir",$E57*$F57,"")))))</f>
        <v/>
      </c>
      <c r="K57" s="79" t="str">
        <f>IF($D57="","",
IF($E57="","",
IF($D57="MATE","",
IF(VLOOKUP($B57,'Baremos actuales'!$A:$D,4,FALSE)=K$9,$E57*$F57,IF(VLOOKUP($B57,'Baremos anteriores'!$A:$D,4,FALSE)="Desmonte",$E57*$F57,"")))))</f>
        <v/>
      </c>
      <c r="L57" s="80" t="str">
        <f>IF($D57="","",
IF($E57="","",
IF($D57="MATE","",
IF(VLOOKUP($B57,'Baremos actuales'!$A:$D,4,FALSE)=L$9,$E57*$F57,""))))</f>
        <v/>
      </c>
      <c r="M57" s="91" t="str">
        <f t="shared" si="0"/>
        <v/>
      </c>
      <c r="N57" s="96"/>
      <c r="O57" s="95"/>
      <c r="P57" s="96"/>
      <c r="Q57" s="98"/>
    </row>
    <row r="58" spans="1:17" ht="15.75" x14ac:dyDescent="0.2">
      <c r="A58" s="17"/>
      <c r="B58" s="18"/>
      <c r="C58" s="87" t="str">
        <f>IF(B58="","",
IF(M58=$H$5,IFERROR(VLOOKUP(B58,'Baremos actuales'!A:E,5,FALSE),"No encontrado. Revisar código, fecha ejecución y/o contrato."),
IF(M58=$H$4,IFERROR(VLOOKUP(B58,'Baremos anteriores'!A:E,5,FALSE),"No encontrado. Revisar código, fecha ejecución y/o contrato."),
IF(M58=$H$3,IFERROR(VLOOKUP(B58,#REF!,5,FALSE),"No encontrado. Revisar código, fecha ejecución y/o contrato."),
IF(D58="","Código no encontrado",
IF(D58="ERROR","No encontrado. Revisar Código, fecha de ejecución y/o contrato.",
IF(D58="MATE",
IF(C57="DESCRIPCION","NO SE PUEDE COMENZAR SIN CÓDIGO DE TAREA",
IF(C57="","FALTA CÓDIGO DE TAREA",
CONCATENATE("          ",VLOOKUP(B58,'Maestro Materiales'!A:C,3,FALSE)))),IFERROR(VLOOKUP(B58,#REF!,5,FALSE),"No encontrado. Revisar código, fecha ejecución y/o contrato."))))))))</f>
        <v/>
      </c>
      <c r="D58" s="88" t="str">
        <f>IF(B58="","",
IFERROR(VLOOKUP(B58,'Maestro Materiales'!A:C,2,FALSE),
IFERROR(VLOOKUP(B58,'Baremos actuales'!A:B,2,FALSE),
IFERROR(VLOOKUP(B58,'Baremos anteriores'!A:B,2,FALSE),
""))))</f>
        <v/>
      </c>
      <c r="E58" s="9"/>
      <c r="F58" s="89" t="str">
        <f>IF(D58="MATE",
IF(E58="","¿Unidades?",""),
IF(D58="",IF(E58="","","¿Código?"),
IF(E58="","¿Unidades?",
IF(D58="TARE",
IF(M58=$H$3,IFERROR(VLOOKUP(B58,'Baremos actuales'!A:C,3,FALSE),0),
IF(M58=$H$4,IFERROR(VLOOKUP(B58,'Baremos anteriores'!A:C,3,FALSE),0),0))))))</f>
        <v/>
      </c>
      <c r="G58" s="7"/>
      <c r="H58" s="8"/>
      <c r="I58" s="8"/>
      <c r="J58" s="78" t="str">
        <f>IF($D58="","",
IF($E58="","",
IF($D58="MATE","",
IF(VLOOKUP($B58,'Baremos actuales'!A:D,4,FALSE)=J$9,$E58*$F58,IF(VLOOKUP($B58,'Baremos anteriores'!A:D,4,FALSE)="Sin Definir",$E58*$F58,"")))))</f>
        <v/>
      </c>
      <c r="K58" s="79" t="str">
        <f>IF($D58="","",
IF($E58="","",
IF($D58="MATE","",
IF(VLOOKUP($B58,'Baremos actuales'!$A:$D,4,FALSE)=K$9,$E58*$F58,IF(VLOOKUP($B58,'Baremos anteriores'!$A:$D,4,FALSE)="Desmonte",$E58*$F58,"")))))</f>
        <v/>
      </c>
      <c r="L58" s="80" t="str">
        <f>IF($D58="","",
IF($E58="","",
IF($D58="MATE","",
IF(VLOOKUP($B58,'Baremos actuales'!$A:$D,4,FALSE)=L$9,$E58*$F58,""))))</f>
        <v/>
      </c>
      <c r="M58" s="91" t="str">
        <f t="shared" si="0"/>
        <v/>
      </c>
      <c r="N58" s="96"/>
      <c r="O58" s="95"/>
      <c r="P58" s="96"/>
      <c r="Q58" s="98"/>
    </row>
    <row r="59" spans="1:17" ht="15.75" x14ac:dyDescent="0.2">
      <c r="A59" s="17"/>
      <c r="B59" s="18"/>
      <c r="C59" s="87" t="str">
        <f>IF(B59="","",
IF(M59=$H$5,IFERROR(VLOOKUP(B59,'Baremos actuales'!A:E,5,FALSE),"No encontrado. Revisar código, fecha ejecución y/o contrato."),
IF(M59=$H$4,IFERROR(VLOOKUP(B59,'Baremos anteriores'!A:E,5,FALSE),"No encontrado. Revisar código, fecha ejecución y/o contrato."),
IF(M59=$H$3,IFERROR(VLOOKUP(B59,#REF!,5,FALSE),"No encontrado. Revisar código, fecha ejecución y/o contrato."),
IF(D59="","Código no encontrado",
IF(D59="ERROR","No encontrado. Revisar Código, fecha de ejecución y/o contrato.",
IF(D59="MATE",
IF(C58="DESCRIPCION","NO SE PUEDE COMENZAR SIN CÓDIGO DE TAREA",
IF(C58="","FALTA CÓDIGO DE TAREA",
CONCATENATE("          ",VLOOKUP(B59,'Maestro Materiales'!A:C,3,FALSE)))),IFERROR(VLOOKUP(B59,#REF!,5,FALSE),"No encontrado. Revisar código, fecha ejecución y/o contrato."))))))))</f>
        <v/>
      </c>
      <c r="D59" s="88" t="str">
        <f>IF(B59="","",
IFERROR(VLOOKUP(B59,'Maestro Materiales'!A:C,2,FALSE),
IFERROR(VLOOKUP(B59,'Baremos actuales'!A:B,2,FALSE),
IFERROR(VLOOKUP(B59,'Baremos anteriores'!A:B,2,FALSE),
""))))</f>
        <v/>
      </c>
      <c r="E59" s="9"/>
      <c r="F59" s="89" t="str">
        <f>IF(D59="MATE",
IF(E59="","¿Unidades?",""),
IF(D59="",IF(E59="","","¿Código?"),
IF(E59="","¿Unidades?",
IF(D59="TARE",
IF(M59=$H$3,IFERROR(VLOOKUP(B59,'Baremos actuales'!A:C,3,FALSE),0),
IF(M59=$H$4,IFERROR(VLOOKUP(B59,'Baremos anteriores'!A:C,3,FALSE),0),0))))))</f>
        <v/>
      </c>
      <c r="G59" s="7"/>
      <c r="H59" s="8"/>
      <c r="I59" s="8"/>
      <c r="J59" s="78" t="str">
        <f>IF($D59="","",
IF($E59="","",
IF($D59="MATE","",
IF(VLOOKUP($B59,'Baremos actuales'!A:D,4,FALSE)=J$9,$E59*$F59,IF(VLOOKUP($B59,'Baremos anteriores'!A:D,4,FALSE)="Sin Definir",$E59*$F59,"")))))</f>
        <v/>
      </c>
      <c r="K59" s="79" t="str">
        <f>IF($D59="","",
IF($E59="","",
IF($D59="MATE","",
IF(VLOOKUP($B59,'Baremos actuales'!$A:$D,4,FALSE)=K$9,$E59*$F59,IF(VLOOKUP($B59,'Baremos anteriores'!$A:$D,4,FALSE)="Desmonte",$E59*$F59,"")))))</f>
        <v/>
      </c>
      <c r="L59" s="80" t="str">
        <f>IF($D59="","",
IF($E59="","",
IF($D59="MATE","",
IF(VLOOKUP($B59,'Baremos actuales'!$A:$D,4,FALSE)=L$9,$E59*$F59,""))))</f>
        <v/>
      </c>
      <c r="M59" s="91" t="str">
        <f t="shared" si="0"/>
        <v/>
      </c>
      <c r="N59" s="96"/>
      <c r="O59" s="95"/>
      <c r="P59" s="96"/>
      <c r="Q59" s="98"/>
    </row>
    <row r="60" spans="1:17" ht="15.75" x14ac:dyDescent="0.2">
      <c r="A60" s="17"/>
      <c r="B60" s="18"/>
      <c r="C60" s="87" t="str">
        <f>IF(B60="","",
IF(M60=$H$5,IFERROR(VLOOKUP(B60,'Baremos actuales'!A:E,5,FALSE),"No encontrado. Revisar código, fecha ejecución y/o contrato."),
IF(M60=$H$4,IFERROR(VLOOKUP(B60,'Baremos anteriores'!A:E,5,FALSE),"No encontrado. Revisar código, fecha ejecución y/o contrato."),
IF(M60=$H$3,IFERROR(VLOOKUP(B60,#REF!,5,FALSE),"No encontrado. Revisar código, fecha ejecución y/o contrato."),
IF(D60="","Código no encontrado",
IF(D60="ERROR","No encontrado. Revisar Código, fecha de ejecución y/o contrato.",
IF(D60="MATE",
IF(C59="DESCRIPCION","NO SE PUEDE COMENZAR SIN CÓDIGO DE TAREA",
IF(C59="","FALTA CÓDIGO DE TAREA",
CONCATENATE("          ",VLOOKUP(B60,'Maestro Materiales'!A:C,3,FALSE)))),IFERROR(VLOOKUP(B60,#REF!,5,FALSE),"No encontrado. Revisar código, fecha ejecución y/o contrato."))))))))</f>
        <v/>
      </c>
      <c r="D60" s="88" t="str">
        <f>IF(B60="","",
IFERROR(VLOOKUP(B60,'Maestro Materiales'!A:C,2,FALSE),
IFERROR(VLOOKUP(B60,'Baremos actuales'!A:B,2,FALSE),
IFERROR(VLOOKUP(B60,'Baremos anteriores'!A:B,2,FALSE),
""))))</f>
        <v/>
      </c>
      <c r="E60" s="9"/>
      <c r="F60" s="89" t="str">
        <f>IF(D60="MATE",
IF(E60="","¿Unidades?",""),
IF(D60="",IF(E60="","","¿Código?"),
IF(E60="","¿Unidades?",
IF(D60="TARE",
IF(M60=$H$3,IFERROR(VLOOKUP(B60,'Baremos actuales'!A:C,3,FALSE),0),
IF(M60=$H$4,IFERROR(VLOOKUP(B60,'Baremos anteriores'!A:C,3,FALSE),0),0))))))</f>
        <v/>
      </c>
      <c r="G60" s="7"/>
      <c r="H60" s="8"/>
      <c r="I60" s="8"/>
      <c r="J60" s="78" t="str">
        <f>IF($D60="","",
IF($E60="","",
IF($D60="MATE","",
IF(VLOOKUP($B60,'Baremos actuales'!A:D,4,FALSE)=J$9,$E60*$F60,IF(VLOOKUP($B60,'Baremos anteriores'!A:D,4,FALSE)="Sin Definir",$E60*$F60,"")))))</f>
        <v/>
      </c>
      <c r="K60" s="79" t="str">
        <f>IF($D60="","",
IF($E60="","",
IF($D60="MATE","",
IF(VLOOKUP($B60,'Baremos actuales'!$A:$D,4,FALSE)=K$9,$E60*$F60,IF(VLOOKUP($B60,'Baremos anteriores'!$A:$D,4,FALSE)="Desmonte",$E60*$F60,"")))))</f>
        <v/>
      </c>
      <c r="L60" s="80" t="str">
        <f>IF($D60="","",
IF($E60="","",
IF($D60="MATE","",
IF(VLOOKUP($B60,'Baremos actuales'!$A:$D,4,FALSE)=L$9,$E60*$F60,""))))</f>
        <v/>
      </c>
      <c r="M60" s="91" t="str">
        <f t="shared" si="0"/>
        <v/>
      </c>
      <c r="N60" s="96"/>
      <c r="O60" s="95"/>
      <c r="P60" s="96"/>
      <c r="Q60" s="98"/>
    </row>
    <row r="61" spans="1:17" ht="15.75" x14ac:dyDescent="0.2">
      <c r="A61" s="17"/>
      <c r="B61" s="18"/>
      <c r="C61" s="87" t="str">
        <f>IF(B61="","",
IF(M61=$H$5,IFERROR(VLOOKUP(B61,'Baremos actuales'!A:E,5,FALSE),"No encontrado. Revisar código, fecha ejecución y/o contrato."),
IF(M61=$H$4,IFERROR(VLOOKUP(B61,'Baremos anteriores'!A:E,5,FALSE),"No encontrado. Revisar código, fecha ejecución y/o contrato."),
IF(M61=$H$3,IFERROR(VLOOKUP(B61,#REF!,5,FALSE),"No encontrado. Revisar código, fecha ejecución y/o contrato."),
IF(D61="","Código no encontrado",
IF(D61="ERROR","No encontrado. Revisar Código, fecha de ejecución y/o contrato.",
IF(D61="MATE",
IF(C60="DESCRIPCION","NO SE PUEDE COMENZAR SIN CÓDIGO DE TAREA",
IF(C60="","FALTA CÓDIGO DE TAREA",
CONCATENATE("          ",VLOOKUP(B61,'Maestro Materiales'!A:C,3,FALSE)))),IFERROR(VLOOKUP(B61,#REF!,5,FALSE),"No encontrado. Revisar código, fecha ejecución y/o contrato."))))))))</f>
        <v/>
      </c>
      <c r="D61" s="88" t="str">
        <f>IF(B61="","",
IFERROR(VLOOKUP(B61,'Maestro Materiales'!A:C,2,FALSE),
IFERROR(VLOOKUP(B61,'Baremos actuales'!A:B,2,FALSE),
IFERROR(VLOOKUP(B61,'Baremos anteriores'!A:B,2,FALSE),
""))))</f>
        <v/>
      </c>
      <c r="E61" s="9"/>
      <c r="F61" s="89" t="str">
        <f>IF(D61="MATE",
IF(E61="","¿Unidades?",""),
IF(D61="",IF(E61="","","¿Código?"),
IF(E61="","¿Unidades?",
IF(D61="TARE",
IF(M61=$H$3,IFERROR(VLOOKUP(B61,'Baremos actuales'!A:C,3,FALSE),0),
IF(M61=$H$4,IFERROR(VLOOKUP(B61,'Baremos anteriores'!A:C,3,FALSE),0),0))))))</f>
        <v/>
      </c>
      <c r="G61" s="7"/>
      <c r="H61" s="8"/>
      <c r="I61" s="8"/>
      <c r="J61" s="78" t="str">
        <f>IF($D61="","",
IF($E61="","",
IF($D61="MATE","",
IF(VLOOKUP($B61,'Baremos actuales'!A:D,4,FALSE)=J$9,$E61*$F61,IF(VLOOKUP($B61,'Baremos anteriores'!A:D,4,FALSE)="Sin Definir",$E61*$F61,"")))))</f>
        <v/>
      </c>
      <c r="K61" s="79" t="str">
        <f>IF($D61="","",
IF($E61="","",
IF($D61="MATE","",
IF(VLOOKUP($B61,'Baremos actuales'!$A:$D,4,FALSE)=K$9,$E61*$F61,IF(VLOOKUP($B61,'Baremos anteriores'!$A:$D,4,FALSE)="Desmonte",$E61*$F61,"")))))</f>
        <v/>
      </c>
      <c r="L61" s="80" t="str">
        <f>IF($D61="","",
IF($E61="","",
IF($D61="MATE","",
IF(VLOOKUP($B61,'Baremos actuales'!$A:$D,4,FALSE)=L$9,$E61*$F61,""))))</f>
        <v/>
      </c>
      <c r="M61" s="91" t="str">
        <f t="shared" si="0"/>
        <v/>
      </c>
      <c r="N61" s="96"/>
      <c r="O61" s="95"/>
      <c r="P61" s="96"/>
      <c r="Q61" s="98"/>
    </row>
    <row r="62" spans="1:17" ht="15.75" x14ac:dyDescent="0.2">
      <c r="A62" s="17"/>
      <c r="B62" s="18"/>
      <c r="C62" s="87" t="str">
        <f>IF(B62="","",
IF(M62=$H$5,IFERROR(VLOOKUP(B62,'Baremos actuales'!A:E,5,FALSE),"No encontrado. Revisar código, fecha ejecución y/o contrato."),
IF(M62=$H$4,IFERROR(VLOOKUP(B62,'Baremos anteriores'!A:E,5,FALSE),"No encontrado. Revisar código, fecha ejecución y/o contrato."),
IF(M62=$H$3,IFERROR(VLOOKUP(B62,#REF!,5,FALSE),"No encontrado. Revisar código, fecha ejecución y/o contrato."),
IF(D62="","Código no encontrado",
IF(D62="ERROR","No encontrado. Revisar Código, fecha de ejecución y/o contrato.",
IF(D62="MATE",
IF(C61="DESCRIPCION","NO SE PUEDE COMENZAR SIN CÓDIGO DE TAREA",
IF(C61="","FALTA CÓDIGO DE TAREA",
CONCATENATE("          ",VLOOKUP(B62,'Maestro Materiales'!A:C,3,FALSE)))),IFERROR(VLOOKUP(B62,#REF!,5,FALSE),"No encontrado. Revisar código, fecha ejecución y/o contrato."))))))))</f>
        <v/>
      </c>
      <c r="D62" s="88" t="str">
        <f>IF(B62="","",
IFERROR(VLOOKUP(B62,'Maestro Materiales'!A:C,2,FALSE),
IFERROR(VLOOKUP(B62,'Baremos actuales'!A:B,2,FALSE),
IFERROR(VLOOKUP(B62,'Baremos anteriores'!A:B,2,FALSE),
""))))</f>
        <v/>
      </c>
      <c r="E62" s="9"/>
      <c r="F62" s="89" t="str">
        <f>IF(D62="MATE",
IF(E62="","¿Unidades?",""),
IF(D62="",IF(E62="","","¿Código?"),
IF(E62="","¿Unidades?",
IF(D62="TARE",
IF(M62=$H$3,IFERROR(VLOOKUP(B62,'Baremos actuales'!A:C,3,FALSE),0),
IF(M62=$H$4,IFERROR(VLOOKUP(B62,'Baremos anteriores'!A:C,3,FALSE),0),0))))))</f>
        <v/>
      </c>
      <c r="G62" s="7"/>
      <c r="H62" s="8"/>
      <c r="I62" s="8"/>
      <c r="J62" s="78" t="str">
        <f>IF($D62="","",
IF($E62="","",
IF($D62="MATE","",
IF(VLOOKUP($B62,'Baremos actuales'!A:D,4,FALSE)=J$9,$E62*$F62,IF(VLOOKUP($B62,'Baremos anteriores'!A:D,4,FALSE)="Sin Definir",$E62*$F62,"")))))</f>
        <v/>
      </c>
      <c r="K62" s="79" t="str">
        <f>IF($D62="","",
IF($E62="","",
IF($D62="MATE","",
IF(VLOOKUP($B62,'Baremos actuales'!$A:$D,4,FALSE)=K$9,$E62*$F62,IF(VLOOKUP($B62,'Baremos anteriores'!$A:$D,4,FALSE)="Desmonte",$E62*$F62,"")))))</f>
        <v/>
      </c>
      <c r="L62" s="80" t="str">
        <f>IF($D62="","",
IF($E62="","",
IF($D62="MATE","",
IF(VLOOKUP($B62,'Baremos actuales'!$A:$D,4,FALSE)=L$9,$E62*$F62,""))))</f>
        <v/>
      </c>
      <c r="M62" s="91" t="str">
        <f t="shared" si="0"/>
        <v/>
      </c>
      <c r="N62" s="96"/>
      <c r="O62" s="95"/>
      <c r="P62" s="96"/>
      <c r="Q62" s="98"/>
    </row>
    <row r="63" spans="1:17" ht="15.75" x14ac:dyDescent="0.2">
      <c r="A63" s="17"/>
      <c r="B63" s="18"/>
      <c r="C63" s="87" t="str">
        <f>IF(B63="","",
IF(M63=$H$5,IFERROR(VLOOKUP(B63,'Baremos actuales'!A:E,5,FALSE),"No encontrado. Revisar código, fecha ejecución y/o contrato."),
IF(M63=$H$4,IFERROR(VLOOKUP(B63,'Baremos anteriores'!A:E,5,FALSE),"No encontrado. Revisar código, fecha ejecución y/o contrato."),
IF(M63=$H$3,IFERROR(VLOOKUP(B63,#REF!,5,FALSE),"No encontrado. Revisar código, fecha ejecución y/o contrato."),
IF(D63="","Código no encontrado",
IF(D63="ERROR","No encontrado. Revisar Código, fecha de ejecución y/o contrato.",
IF(D63="MATE",
IF(C62="DESCRIPCION","NO SE PUEDE COMENZAR SIN CÓDIGO DE TAREA",
IF(C62="","FALTA CÓDIGO DE TAREA",
CONCATENATE("          ",VLOOKUP(B63,'Maestro Materiales'!A:C,3,FALSE)))),IFERROR(VLOOKUP(B63,#REF!,5,FALSE),"No encontrado. Revisar código, fecha ejecución y/o contrato."))))))))</f>
        <v/>
      </c>
      <c r="D63" s="88" t="str">
        <f>IF(B63="","",
IFERROR(VLOOKUP(B63,'Maestro Materiales'!A:C,2,FALSE),
IFERROR(VLOOKUP(B63,'Baremos actuales'!A:B,2,FALSE),
IFERROR(VLOOKUP(B63,'Baremos anteriores'!A:B,2,FALSE),
""))))</f>
        <v/>
      </c>
      <c r="E63" s="9"/>
      <c r="F63" s="89" t="str">
        <f>IF(D63="MATE",
IF(E63="","¿Unidades?",""),
IF(D63="",IF(E63="","","¿Código?"),
IF(E63="","¿Unidades?",
IF(D63="TARE",
IF(M63=$H$3,IFERROR(VLOOKUP(B63,'Baremos actuales'!A:C,3,FALSE),0),
IF(M63=$H$4,IFERROR(VLOOKUP(B63,'Baremos anteriores'!A:C,3,FALSE),0),0))))))</f>
        <v/>
      </c>
      <c r="G63" s="7"/>
      <c r="H63" s="8"/>
      <c r="I63" s="8"/>
      <c r="J63" s="78" t="str">
        <f>IF($D63="","",
IF($E63="","",
IF($D63="MATE","",
IF(VLOOKUP($B63,'Baremos actuales'!A:D,4,FALSE)=J$9,$E63*$F63,IF(VLOOKUP($B63,'Baremos anteriores'!A:D,4,FALSE)="Sin Definir",$E63*$F63,"")))))</f>
        <v/>
      </c>
      <c r="K63" s="79" t="str">
        <f>IF($D63="","",
IF($E63="","",
IF($D63="MATE","",
IF(VLOOKUP($B63,'Baremos actuales'!$A:$D,4,FALSE)=K$9,$E63*$F63,IF(VLOOKUP($B63,'Baremos anteriores'!$A:$D,4,FALSE)="Desmonte",$E63*$F63,"")))))</f>
        <v/>
      </c>
      <c r="L63" s="80" t="str">
        <f>IF($D63="","",
IF($E63="","",
IF($D63="MATE","",
IF(VLOOKUP($B63,'Baremos actuales'!$A:$D,4,FALSE)=L$9,$E63*$F63,""))))</f>
        <v/>
      </c>
      <c r="M63" s="91" t="str">
        <f t="shared" si="0"/>
        <v/>
      </c>
      <c r="N63" s="96"/>
      <c r="O63" s="95"/>
      <c r="P63" s="96"/>
      <c r="Q63" s="98"/>
    </row>
    <row r="64" spans="1:17" ht="15.75" x14ac:dyDescent="0.2">
      <c r="A64" s="17"/>
      <c r="B64" s="18"/>
      <c r="C64" s="87" t="str">
        <f>IF(B64="","",
IF(M64=$H$5,IFERROR(VLOOKUP(B64,'Baremos actuales'!A:E,5,FALSE),"No encontrado. Revisar código, fecha ejecución y/o contrato."),
IF(M64=$H$4,IFERROR(VLOOKUP(B64,'Baremos anteriores'!A:E,5,FALSE),"No encontrado. Revisar código, fecha ejecución y/o contrato."),
IF(M64=$H$3,IFERROR(VLOOKUP(B64,#REF!,5,FALSE),"No encontrado. Revisar código, fecha ejecución y/o contrato."),
IF(D64="","Código no encontrado",
IF(D64="ERROR","No encontrado. Revisar Código, fecha de ejecución y/o contrato.",
IF(D64="MATE",
IF(C63="DESCRIPCION","NO SE PUEDE COMENZAR SIN CÓDIGO DE TAREA",
IF(C63="","FALTA CÓDIGO DE TAREA",
CONCATENATE("          ",VLOOKUP(B64,'Maestro Materiales'!A:C,3,FALSE)))),IFERROR(VLOOKUP(B64,#REF!,5,FALSE),"No encontrado. Revisar código, fecha ejecución y/o contrato."))))))))</f>
        <v/>
      </c>
      <c r="D64" s="88" t="str">
        <f>IF(B64="","",
IFERROR(VLOOKUP(B64,'Maestro Materiales'!A:C,2,FALSE),
IFERROR(VLOOKUP(B64,'Baremos actuales'!A:B,2,FALSE),
IFERROR(VLOOKUP(B64,'Baremos anteriores'!A:B,2,FALSE),
""))))</f>
        <v/>
      </c>
      <c r="E64" s="9"/>
      <c r="F64" s="89" t="str">
        <f>IF(D64="MATE",
IF(E64="","¿Unidades?",""),
IF(D64="",IF(E64="","","¿Código?"),
IF(E64="","¿Unidades?",
IF(D64="TARE",
IF(M64=$H$3,IFERROR(VLOOKUP(B64,'Baremos actuales'!A:C,3,FALSE),0),
IF(M64=$H$4,IFERROR(VLOOKUP(B64,'Baremos anteriores'!A:C,3,FALSE),0),0))))))</f>
        <v/>
      </c>
      <c r="G64" s="7"/>
      <c r="H64" s="8"/>
      <c r="I64" s="8"/>
      <c r="J64" s="78" t="str">
        <f>IF($D64="","",
IF($E64="","",
IF($D64="MATE","",
IF(VLOOKUP($B64,'Baremos actuales'!A:D,4,FALSE)=J$9,$E64*$F64,IF(VLOOKUP($B64,'Baremos anteriores'!A:D,4,FALSE)="Sin Definir",$E64*$F64,"")))))</f>
        <v/>
      </c>
      <c r="K64" s="79" t="str">
        <f>IF($D64="","",
IF($E64="","",
IF($D64="MATE","",
IF(VLOOKUP($B64,'Baremos actuales'!$A:$D,4,FALSE)=K$9,$E64*$F64,IF(VLOOKUP($B64,'Baremos anteriores'!$A:$D,4,FALSE)="Desmonte",$E64*$F64,"")))))</f>
        <v/>
      </c>
      <c r="L64" s="80" t="str">
        <f>IF($D64="","",
IF($E64="","",
IF($D64="MATE","",
IF(VLOOKUP($B64,'Baremos actuales'!$A:$D,4,FALSE)=L$9,$E64*$F64,""))))</f>
        <v/>
      </c>
      <c r="M64" s="91" t="str">
        <f t="shared" si="0"/>
        <v/>
      </c>
      <c r="N64" s="96"/>
      <c r="O64" s="95"/>
      <c r="P64" s="96"/>
      <c r="Q64" s="98"/>
    </row>
    <row r="65" spans="1:17" ht="15.75" x14ac:dyDescent="0.2">
      <c r="A65" s="17"/>
      <c r="B65" s="18"/>
      <c r="C65" s="87" t="str">
        <f>IF(B65="","",
IF(M65=$H$5,IFERROR(VLOOKUP(B65,'Baremos actuales'!A:E,5,FALSE),"No encontrado. Revisar código, fecha ejecución y/o contrato."),
IF(M65=$H$4,IFERROR(VLOOKUP(B65,'Baremos anteriores'!A:E,5,FALSE),"No encontrado. Revisar código, fecha ejecución y/o contrato."),
IF(M65=$H$3,IFERROR(VLOOKUP(B65,#REF!,5,FALSE),"No encontrado. Revisar código, fecha ejecución y/o contrato."),
IF(D65="","Código no encontrado",
IF(D65="ERROR","No encontrado. Revisar Código, fecha de ejecución y/o contrato.",
IF(D65="MATE",
IF(C64="DESCRIPCION","NO SE PUEDE COMENZAR SIN CÓDIGO DE TAREA",
IF(C64="","FALTA CÓDIGO DE TAREA",
CONCATENATE("          ",VLOOKUP(B65,'Maestro Materiales'!A:C,3,FALSE)))),IFERROR(VLOOKUP(B65,#REF!,5,FALSE),"No encontrado. Revisar código, fecha ejecución y/o contrato."))))))))</f>
        <v/>
      </c>
      <c r="D65" s="88" t="str">
        <f>IF(B65="","",
IFERROR(VLOOKUP(B65,'Maestro Materiales'!A:C,2,FALSE),
IFERROR(VLOOKUP(B65,'Baremos actuales'!A:B,2,FALSE),
IFERROR(VLOOKUP(B65,'Baremos anteriores'!A:B,2,FALSE),
""))))</f>
        <v/>
      </c>
      <c r="E65" s="9"/>
      <c r="F65" s="89" t="str">
        <f>IF(D65="MATE",
IF(E65="","¿Unidades?",""),
IF(D65="",IF(E65="","","¿Código?"),
IF(E65="","¿Unidades?",
IF(D65="TARE",
IF(M65=$H$3,IFERROR(VLOOKUP(B65,'Baremos actuales'!A:C,3,FALSE),0),
IF(M65=$H$4,IFERROR(VLOOKUP(B65,'Baremos anteriores'!A:C,3,FALSE),0),0))))))</f>
        <v/>
      </c>
      <c r="G65" s="7"/>
      <c r="H65" s="8"/>
      <c r="I65" s="8"/>
      <c r="J65" s="78" t="str">
        <f>IF($D65="","",
IF($E65="","",
IF($D65="MATE","",
IF(VLOOKUP($B65,'Baremos actuales'!A:D,4,FALSE)=J$9,$E65*$F65,IF(VLOOKUP($B65,'Baremos anteriores'!A:D,4,FALSE)="Sin Definir",$E65*$F65,"")))))</f>
        <v/>
      </c>
      <c r="K65" s="79" t="str">
        <f>IF($D65="","",
IF($E65="","",
IF($D65="MATE","",
IF(VLOOKUP($B65,'Baremos actuales'!$A:$D,4,FALSE)=K$9,$E65*$F65,IF(VLOOKUP($B65,'Baremos anteriores'!$A:$D,4,FALSE)="Desmonte",$E65*$F65,"")))))</f>
        <v/>
      </c>
      <c r="L65" s="80" t="str">
        <f>IF($D65="","",
IF($E65="","",
IF($D65="MATE","",
IF(VLOOKUP($B65,'Baremos actuales'!$A:$D,4,FALSE)=L$9,$E65*$F65,""))))</f>
        <v/>
      </c>
      <c r="M65" s="91" t="str">
        <f t="shared" si="0"/>
        <v/>
      </c>
      <c r="N65" s="96"/>
      <c r="O65" s="95"/>
      <c r="P65" s="96"/>
      <c r="Q65" s="98"/>
    </row>
    <row r="66" spans="1:17" ht="15.75" x14ac:dyDescent="0.2">
      <c r="A66" s="17"/>
      <c r="B66" s="18"/>
      <c r="C66" s="87" t="str">
        <f>IF(B66="","",
IF(M66=$H$5,IFERROR(VLOOKUP(B66,'Baremos actuales'!A:E,5,FALSE),"No encontrado. Revisar código, fecha ejecución y/o contrato."),
IF(M66=$H$4,IFERROR(VLOOKUP(B66,'Baremos anteriores'!A:E,5,FALSE),"No encontrado. Revisar código, fecha ejecución y/o contrato."),
IF(M66=$H$3,IFERROR(VLOOKUP(B66,#REF!,5,FALSE),"No encontrado. Revisar código, fecha ejecución y/o contrato."),
IF(D66="","Código no encontrado",
IF(D66="ERROR","No encontrado. Revisar Código, fecha de ejecución y/o contrato.",
IF(D66="MATE",
IF(C65="DESCRIPCION","NO SE PUEDE COMENZAR SIN CÓDIGO DE TAREA",
IF(C65="","FALTA CÓDIGO DE TAREA",
CONCATENATE("          ",VLOOKUP(B66,'Maestro Materiales'!A:C,3,FALSE)))),IFERROR(VLOOKUP(B66,#REF!,5,FALSE),"No encontrado. Revisar código, fecha ejecución y/o contrato."))))))))</f>
        <v/>
      </c>
      <c r="D66" s="88" t="str">
        <f>IF(B66="","",
IFERROR(VLOOKUP(B66,'Maestro Materiales'!A:C,2,FALSE),
IFERROR(VLOOKUP(B66,'Baremos actuales'!A:B,2,FALSE),
IFERROR(VLOOKUP(B66,'Baremos anteriores'!A:B,2,FALSE),
""))))</f>
        <v/>
      </c>
      <c r="E66" s="9"/>
      <c r="F66" s="89" t="str">
        <f>IF(D66="MATE",
IF(E66="","¿Unidades?",""),
IF(D66="",IF(E66="","","¿Código?"),
IF(E66="","¿Unidades?",
IF(D66="TARE",
IF(M66=$H$3,IFERROR(VLOOKUP(B66,'Baremos actuales'!A:C,3,FALSE),0),
IF(M66=$H$4,IFERROR(VLOOKUP(B66,'Baremos anteriores'!A:C,3,FALSE),0),0))))))</f>
        <v/>
      </c>
      <c r="G66" s="7"/>
      <c r="H66" s="8"/>
      <c r="I66" s="8"/>
      <c r="J66" s="78" t="str">
        <f>IF($D66="","",
IF($E66="","",
IF($D66="MATE","",
IF(VLOOKUP($B66,'Baremos actuales'!A:D,4,FALSE)=J$9,$E66*$F66,IF(VLOOKUP($B66,'Baremos anteriores'!A:D,4,FALSE)="Sin Definir",$E66*$F66,"")))))</f>
        <v/>
      </c>
      <c r="K66" s="79" t="str">
        <f>IF($D66="","",
IF($E66="","",
IF($D66="MATE","",
IF(VLOOKUP($B66,'Baremos actuales'!$A:$D,4,FALSE)=K$9,$E66*$F66,IF(VLOOKUP($B66,'Baremos anteriores'!$A:$D,4,FALSE)="Desmonte",$E66*$F66,"")))))</f>
        <v/>
      </c>
      <c r="L66" s="80" t="str">
        <f>IF($D66="","",
IF($E66="","",
IF($D66="MATE","",
IF(VLOOKUP($B66,'Baremos actuales'!$A:$D,4,FALSE)=L$9,$E66*$F66,""))))</f>
        <v/>
      </c>
      <c r="M66" s="91" t="str">
        <f t="shared" si="0"/>
        <v/>
      </c>
      <c r="N66" s="96"/>
      <c r="O66" s="95"/>
      <c r="P66" s="96"/>
      <c r="Q66" s="98"/>
    </row>
    <row r="67" spans="1:17" ht="15.75" x14ac:dyDescent="0.2">
      <c r="A67" s="17"/>
      <c r="B67" s="18"/>
      <c r="C67" s="87" t="str">
        <f>IF(B67="","",
IF(M67=$H$5,IFERROR(VLOOKUP(B67,'Baremos actuales'!A:E,5,FALSE),"No encontrado. Revisar código, fecha ejecución y/o contrato."),
IF(M67=$H$4,IFERROR(VLOOKUP(B67,'Baremos anteriores'!A:E,5,FALSE),"No encontrado. Revisar código, fecha ejecución y/o contrato."),
IF(M67=$H$3,IFERROR(VLOOKUP(B67,#REF!,5,FALSE),"No encontrado. Revisar código, fecha ejecución y/o contrato."),
IF(D67="","Código no encontrado",
IF(D67="ERROR","No encontrado. Revisar Código, fecha de ejecución y/o contrato.",
IF(D67="MATE",
IF(C66="DESCRIPCION","NO SE PUEDE COMENZAR SIN CÓDIGO DE TAREA",
IF(C66="","FALTA CÓDIGO DE TAREA",
CONCATENATE("          ",VLOOKUP(B67,'Maestro Materiales'!A:C,3,FALSE)))),IFERROR(VLOOKUP(B67,#REF!,5,FALSE),"No encontrado. Revisar código, fecha ejecución y/o contrato."))))))))</f>
        <v/>
      </c>
      <c r="D67" s="88" t="str">
        <f>IF(B67="","",
IFERROR(VLOOKUP(B67,'Maestro Materiales'!A:C,2,FALSE),
IFERROR(VLOOKUP(B67,'Baremos actuales'!A:B,2,FALSE),
IFERROR(VLOOKUP(B67,'Baremos anteriores'!A:B,2,FALSE),
""))))</f>
        <v/>
      </c>
      <c r="E67" s="9"/>
      <c r="F67" s="89" t="str">
        <f>IF(D67="MATE",
IF(E67="","¿Unidades?",""),
IF(D67="",IF(E67="","","¿Código?"),
IF(E67="","¿Unidades?",
IF(D67="TARE",
IF(M67=$H$3,IFERROR(VLOOKUP(B67,'Baremos actuales'!A:C,3,FALSE),0),
IF(M67=$H$4,IFERROR(VLOOKUP(B67,'Baremos anteriores'!A:C,3,FALSE),0),0))))))</f>
        <v/>
      </c>
      <c r="G67" s="7"/>
      <c r="H67" s="8"/>
      <c r="I67" s="8"/>
      <c r="J67" s="78" t="str">
        <f>IF($D67="","",
IF($E67="","",
IF($D67="MATE","",
IF(VLOOKUP($B67,'Baremos actuales'!A:D,4,FALSE)=J$9,$E67*$F67,IF(VLOOKUP($B67,'Baremos anteriores'!A:D,4,FALSE)="Sin Definir",$E67*$F67,"")))))</f>
        <v/>
      </c>
      <c r="K67" s="79" t="str">
        <f>IF($D67="","",
IF($E67="","",
IF($D67="MATE","",
IF(VLOOKUP($B67,'Baremos actuales'!$A:$D,4,FALSE)=K$9,$E67*$F67,IF(VLOOKUP($B67,'Baremos anteriores'!$A:$D,4,FALSE)="Desmonte",$E67*$F67,"")))))</f>
        <v/>
      </c>
      <c r="L67" s="80" t="str">
        <f>IF($D67="","",
IF($E67="","",
IF($D67="MATE","",
IF(VLOOKUP($B67,'Baremos actuales'!$A:$D,4,FALSE)=L$9,$E67*$F67,""))))</f>
        <v/>
      </c>
      <c r="M67" s="91" t="str">
        <f t="shared" si="0"/>
        <v/>
      </c>
      <c r="N67" s="96"/>
      <c r="O67" s="95"/>
      <c r="P67" s="96"/>
      <c r="Q67" s="98"/>
    </row>
    <row r="68" spans="1:17" ht="15.75" x14ac:dyDescent="0.2">
      <c r="A68" s="17"/>
      <c r="B68" s="18"/>
      <c r="C68" s="87" t="str">
        <f>IF(B68="","",
IF(M68=$H$5,IFERROR(VLOOKUP(B68,'Baremos actuales'!A:E,5,FALSE),"No encontrado. Revisar código, fecha ejecución y/o contrato."),
IF(M68=$H$4,IFERROR(VLOOKUP(B68,'Baremos anteriores'!A:E,5,FALSE),"No encontrado. Revisar código, fecha ejecución y/o contrato."),
IF(M68=$H$3,IFERROR(VLOOKUP(B68,#REF!,5,FALSE),"No encontrado. Revisar código, fecha ejecución y/o contrato."),
IF(D68="","Código no encontrado",
IF(D68="ERROR","No encontrado. Revisar Código, fecha de ejecución y/o contrato.",
IF(D68="MATE",
IF(C67="DESCRIPCION","NO SE PUEDE COMENZAR SIN CÓDIGO DE TAREA",
IF(C67="","FALTA CÓDIGO DE TAREA",
CONCATENATE("          ",VLOOKUP(B68,'Maestro Materiales'!A:C,3,FALSE)))),IFERROR(VLOOKUP(B68,#REF!,5,FALSE),"No encontrado. Revisar código, fecha ejecución y/o contrato."))))))))</f>
        <v/>
      </c>
      <c r="D68" s="88" t="str">
        <f>IF(B68="","",
IFERROR(VLOOKUP(B68,'Maestro Materiales'!A:C,2,FALSE),
IFERROR(VLOOKUP(B68,'Baremos actuales'!A:B,2,FALSE),
IFERROR(VLOOKUP(B68,'Baremos anteriores'!A:B,2,FALSE),
""))))</f>
        <v/>
      </c>
      <c r="E68" s="9"/>
      <c r="F68" s="89" t="str">
        <f>IF(D68="MATE",
IF(E68="","¿Unidades?",""),
IF(D68="",IF(E68="","","¿Código?"),
IF(E68="","¿Unidades?",
IF(D68="TARE",
IF(M68=$H$3,IFERROR(VLOOKUP(B68,'Baremos actuales'!A:C,3,FALSE),0),
IF(M68=$H$4,IFERROR(VLOOKUP(B68,'Baremos anteriores'!A:C,3,FALSE),0),0))))))</f>
        <v/>
      </c>
      <c r="G68" s="7"/>
      <c r="H68" s="8"/>
      <c r="I68" s="8"/>
      <c r="J68" s="78" t="str">
        <f>IF($D68="","",
IF($E68="","",
IF($D68="MATE","",
IF(VLOOKUP($B68,'Baremos actuales'!A:D,4,FALSE)=J$9,$E68*$F68,IF(VLOOKUP($B68,'Baremos anteriores'!A:D,4,FALSE)="Sin Definir",$E68*$F68,"")))))</f>
        <v/>
      </c>
      <c r="K68" s="79" t="str">
        <f>IF($D68="","",
IF($E68="","",
IF($D68="MATE","",
IF(VLOOKUP($B68,'Baremos actuales'!$A:$D,4,FALSE)=K$9,$E68*$F68,IF(VLOOKUP($B68,'Baremos anteriores'!$A:$D,4,FALSE)="Desmonte",$E68*$F68,"")))))</f>
        <v/>
      </c>
      <c r="L68" s="80" t="str">
        <f>IF($D68="","",
IF($E68="","",
IF($D68="MATE","",
IF(VLOOKUP($B68,'Baremos actuales'!$A:$D,4,FALSE)=L$9,$E68*$F68,""))))</f>
        <v/>
      </c>
      <c r="M68" s="91" t="str">
        <f t="shared" si="0"/>
        <v/>
      </c>
      <c r="N68" s="96"/>
      <c r="O68" s="95"/>
      <c r="P68" s="96"/>
      <c r="Q68" s="98"/>
    </row>
    <row r="69" spans="1:17" ht="15.75" x14ac:dyDescent="0.2">
      <c r="A69" s="17"/>
      <c r="B69" s="18"/>
      <c r="C69" s="87" t="str">
        <f>IF(B69="","",
IF(M69=$H$5,IFERROR(VLOOKUP(B69,'Baremos actuales'!A:E,5,FALSE),"No encontrado. Revisar código, fecha ejecución y/o contrato."),
IF(M69=$H$4,IFERROR(VLOOKUP(B69,'Baremos anteriores'!A:E,5,FALSE),"No encontrado. Revisar código, fecha ejecución y/o contrato."),
IF(M69=$H$3,IFERROR(VLOOKUP(B69,#REF!,5,FALSE),"No encontrado. Revisar código, fecha ejecución y/o contrato."),
IF(D69="","Código no encontrado",
IF(D69="ERROR","No encontrado. Revisar Código, fecha de ejecución y/o contrato.",
IF(D69="MATE",
IF(C68="DESCRIPCION","NO SE PUEDE COMENZAR SIN CÓDIGO DE TAREA",
IF(C68="","FALTA CÓDIGO DE TAREA",
CONCATENATE("          ",VLOOKUP(B69,'Maestro Materiales'!A:C,3,FALSE)))),IFERROR(VLOOKUP(B69,#REF!,5,FALSE),"No encontrado. Revisar código, fecha ejecución y/o contrato."))))))))</f>
        <v/>
      </c>
      <c r="D69" s="88" t="str">
        <f>IF(B69="","",
IFERROR(VLOOKUP(B69,'Maestro Materiales'!A:C,2,FALSE),
IFERROR(VLOOKUP(B69,'Baremos actuales'!A:B,2,FALSE),
IFERROR(VLOOKUP(B69,'Baremos anteriores'!A:B,2,FALSE),
""))))</f>
        <v/>
      </c>
      <c r="E69" s="9"/>
      <c r="F69" s="89" t="str">
        <f>IF(D69="MATE",
IF(E69="","¿Unidades?",""),
IF(D69="",IF(E69="","","¿Código?"),
IF(E69="","¿Unidades?",
IF(D69="TARE",
IF(M69=$H$3,IFERROR(VLOOKUP(B69,'Baremos actuales'!A:C,3,FALSE),0),
IF(M69=$H$4,IFERROR(VLOOKUP(B69,'Baremos anteriores'!A:C,3,FALSE),0),0))))))</f>
        <v/>
      </c>
      <c r="G69" s="7"/>
      <c r="H69" s="8"/>
      <c r="I69" s="8"/>
      <c r="J69" s="78" t="str">
        <f>IF($D69="","",
IF($E69="","",
IF($D69="MATE","",
IF(VLOOKUP($B69,'Baremos actuales'!A:D,4,FALSE)=J$9,$E69*$F69,IF(VLOOKUP($B69,'Baremos anteriores'!A:D,4,FALSE)="Sin Definir",$E69*$F69,"")))))</f>
        <v/>
      </c>
      <c r="K69" s="79" t="str">
        <f>IF($D69="","",
IF($E69="","",
IF($D69="MATE","",
IF(VLOOKUP($B69,'Baremos actuales'!$A:$D,4,FALSE)=K$9,$E69*$F69,IF(VLOOKUP($B69,'Baremos anteriores'!$A:$D,4,FALSE)="Desmonte",$E69*$F69,"")))))</f>
        <v/>
      </c>
      <c r="L69" s="80" t="str">
        <f>IF($D69="","",
IF($E69="","",
IF($D69="MATE","",
IF(VLOOKUP($B69,'Baremos actuales'!$A:$D,4,FALSE)=L$9,$E69*$F69,""))))</f>
        <v/>
      </c>
      <c r="M69" s="91" t="str">
        <f t="shared" si="0"/>
        <v/>
      </c>
      <c r="N69" s="96"/>
      <c r="O69" s="95"/>
      <c r="P69" s="96"/>
      <c r="Q69" s="98"/>
    </row>
    <row r="70" spans="1:17" ht="15.75" x14ac:dyDescent="0.2">
      <c r="A70" s="17"/>
      <c r="B70" s="18"/>
      <c r="C70" s="87" t="str">
        <f>IF(B70="","",
IF(M70=$H$5,IFERROR(VLOOKUP(B70,'Baremos actuales'!A:E,5,FALSE),"No encontrado. Revisar código, fecha ejecución y/o contrato."),
IF(M70=$H$4,IFERROR(VLOOKUP(B70,'Baremos anteriores'!A:E,5,FALSE),"No encontrado. Revisar código, fecha ejecución y/o contrato."),
IF(M70=$H$3,IFERROR(VLOOKUP(B70,#REF!,5,FALSE),"No encontrado. Revisar código, fecha ejecución y/o contrato."),
IF(D70="","Código no encontrado",
IF(D70="ERROR","No encontrado. Revisar Código, fecha de ejecución y/o contrato.",
IF(D70="MATE",
IF(C69="DESCRIPCION","NO SE PUEDE COMENZAR SIN CÓDIGO DE TAREA",
IF(C69="","FALTA CÓDIGO DE TAREA",
CONCATENATE("          ",VLOOKUP(B70,'Maestro Materiales'!A:C,3,FALSE)))),IFERROR(VLOOKUP(B70,#REF!,5,FALSE),"No encontrado. Revisar código, fecha ejecución y/o contrato."))))))))</f>
        <v/>
      </c>
      <c r="D70" s="88" t="str">
        <f>IF(B70="","",
IFERROR(VLOOKUP(B70,'Maestro Materiales'!A:C,2,FALSE),
IFERROR(VLOOKUP(B70,'Baremos actuales'!A:B,2,FALSE),
IFERROR(VLOOKUP(B70,'Baremos anteriores'!A:B,2,FALSE),
""))))</f>
        <v/>
      </c>
      <c r="E70" s="9"/>
      <c r="F70" s="89" t="str">
        <f>IF(D70="MATE",
IF(E70="","¿Unidades?",""),
IF(D70="",IF(E70="","","¿Código?"),
IF(E70="","¿Unidades?",
IF(D70="TARE",
IF(M70=$H$3,IFERROR(VLOOKUP(B70,'Baremos actuales'!A:C,3,FALSE),0),
IF(M70=$H$4,IFERROR(VLOOKUP(B70,'Baremos anteriores'!A:C,3,FALSE),0),0))))))</f>
        <v/>
      </c>
      <c r="G70" s="7"/>
      <c r="H70" s="8"/>
      <c r="I70" s="8"/>
      <c r="J70" s="78" t="str">
        <f>IF($D70="","",
IF($E70="","",
IF($D70="MATE","",
IF(VLOOKUP($B70,'Baremos actuales'!A:D,4,FALSE)=J$9,$E70*$F70,IF(VLOOKUP($B70,'Baremos anteriores'!A:D,4,FALSE)="Sin Definir",$E70*$F70,"")))))</f>
        <v/>
      </c>
      <c r="K70" s="79" t="str">
        <f>IF($D70="","",
IF($E70="","",
IF($D70="MATE","",
IF(VLOOKUP($B70,'Baremos actuales'!$A:$D,4,FALSE)=K$9,$E70*$F70,IF(VLOOKUP($B70,'Baremos anteriores'!$A:$D,4,FALSE)="Desmonte",$E70*$F70,"")))))</f>
        <v/>
      </c>
      <c r="L70" s="80" t="str">
        <f>IF($D70="","",
IF($E70="","",
IF($D70="MATE","",
IF(VLOOKUP($B70,'Baremos actuales'!$A:$D,4,FALSE)=L$9,$E70*$F70,""))))</f>
        <v/>
      </c>
      <c r="M70" s="91" t="str">
        <f t="shared" si="0"/>
        <v/>
      </c>
      <c r="N70" s="96"/>
      <c r="O70" s="95"/>
      <c r="P70" s="96"/>
      <c r="Q70" s="98"/>
    </row>
    <row r="71" spans="1:17" ht="15.75" x14ac:dyDescent="0.2">
      <c r="A71" s="17"/>
      <c r="B71" s="18"/>
      <c r="C71" s="87" t="str">
        <f>IF(B71="","",
IF(M71=$H$5,IFERROR(VLOOKUP(B71,'Baremos actuales'!A:E,5,FALSE),"No encontrado. Revisar código, fecha ejecución y/o contrato."),
IF(M71=$H$4,IFERROR(VLOOKUP(B71,'Baremos anteriores'!A:E,5,FALSE),"No encontrado. Revisar código, fecha ejecución y/o contrato."),
IF(M71=$H$3,IFERROR(VLOOKUP(B71,#REF!,5,FALSE),"No encontrado. Revisar código, fecha ejecución y/o contrato."),
IF(D71="","Código no encontrado",
IF(D71="ERROR","No encontrado. Revisar Código, fecha de ejecución y/o contrato.",
IF(D71="MATE",
IF(C70="DESCRIPCION","NO SE PUEDE COMENZAR SIN CÓDIGO DE TAREA",
IF(C70="","FALTA CÓDIGO DE TAREA",
CONCATENATE("          ",VLOOKUP(B71,'Maestro Materiales'!A:C,3,FALSE)))),IFERROR(VLOOKUP(B71,#REF!,5,FALSE),"No encontrado. Revisar código, fecha ejecución y/o contrato."))))))))</f>
        <v/>
      </c>
      <c r="D71" s="88" t="str">
        <f>IF(B71="","",
IFERROR(VLOOKUP(B71,'Maestro Materiales'!A:C,2,FALSE),
IFERROR(VLOOKUP(B71,'Baremos actuales'!A:B,2,FALSE),
IFERROR(VLOOKUP(B71,'Baremos anteriores'!A:B,2,FALSE),
""))))</f>
        <v/>
      </c>
      <c r="E71" s="9"/>
      <c r="F71" s="89" t="str">
        <f>IF(D71="MATE",
IF(E71="","¿Unidades?",""),
IF(D71="",IF(E71="","","¿Código?"),
IF(E71="","¿Unidades?",
IF(D71="TARE",
IF(M71=$H$3,IFERROR(VLOOKUP(B71,'Baremos actuales'!A:C,3,FALSE),0),
IF(M71=$H$4,IFERROR(VLOOKUP(B71,'Baremos anteriores'!A:C,3,FALSE),0),0))))))</f>
        <v/>
      </c>
      <c r="G71" s="7"/>
      <c r="H71" s="8"/>
      <c r="I71" s="8"/>
      <c r="J71" s="78" t="str">
        <f>IF($D71="","",
IF($E71="","",
IF($D71="MATE","",
IF(VLOOKUP($B71,'Baremos actuales'!A:D,4,FALSE)=J$9,$E71*$F71,IF(VLOOKUP($B71,'Baremos anteriores'!A:D,4,FALSE)="Sin Definir",$E71*$F71,"")))))</f>
        <v/>
      </c>
      <c r="K71" s="79" t="str">
        <f>IF($D71="","",
IF($E71="","",
IF($D71="MATE","",
IF(VLOOKUP($B71,'Baremos actuales'!$A:$D,4,FALSE)=K$9,$E71*$F71,IF(VLOOKUP($B71,'Baremos anteriores'!$A:$D,4,FALSE)="Desmonte",$E71*$F71,"")))))</f>
        <v/>
      </c>
      <c r="L71" s="80" t="str">
        <f>IF($D71="","",
IF($E71="","",
IF($D71="MATE","",
IF(VLOOKUP($B71,'Baremos actuales'!$A:$D,4,FALSE)=L$9,$E71*$F71,""))))</f>
        <v/>
      </c>
      <c r="M71" s="91" t="str">
        <f t="shared" si="0"/>
        <v/>
      </c>
      <c r="N71" s="96"/>
      <c r="O71" s="95"/>
      <c r="P71" s="96"/>
      <c r="Q71" s="98"/>
    </row>
    <row r="72" spans="1:17" ht="15.75" x14ac:dyDescent="0.2">
      <c r="A72" s="17"/>
      <c r="B72" s="18"/>
      <c r="C72" s="87" t="str">
        <f>IF(B72="","",
IF(M72=$H$5,IFERROR(VLOOKUP(B72,'Baremos actuales'!A:E,5,FALSE),"No encontrado. Revisar código, fecha ejecución y/o contrato."),
IF(M72=$H$4,IFERROR(VLOOKUP(B72,'Baremos anteriores'!A:E,5,FALSE),"No encontrado. Revisar código, fecha ejecución y/o contrato."),
IF(M72=$H$3,IFERROR(VLOOKUP(B72,#REF!,5,FALSE),"No encontrado. Revisar código, fecha ejecución y/o contrato."),
IF(D72="","Código no encontrado",
IF(D72="ERROR","No encontrado. Revisar Código, fecha de ejecución y/o contrato.",
IF(D72="MATE",
IF(C71="DESCRIPCION","NO SE PUEDE COMENZAR SIN CÓDIGO DE TAREA",
IF(C71="","FALTA CÓDIGO DE TAREA",
CONCATENATE("          ",VLOOKUP(B72,'Maestro Materiales'!A:C,3,FALSE)))),IFERROR(VLOOKUP(B72,#REF!,5,FALSE),"No encontrado. Revisar código, fecha ejecución y/o contrato."))))))))</f>
        <v/>
      </c>
      <c r="D72" s="88" t="str">
        <f>IF(B72="","",
IFERROR(VLOOKUP(B72,'Maestro Materiales'!A:C,2,FALSE),
IFERROR(VLOOKUP(B72,'Baremos actuales'!A:B,2,FALSE),
IFERROR(VLOOKUP(B72,'Baremos anteriores'!A:B,2,FALSE),
""))))</f>
        <v/>
      </c>
      <c r="E72" s="9"/>
      <c r="F72" s="89" t="str">
        <f>IF(D72="MATE",
IF(E72="","¿Unidades?",""),
IF(D72="",IF(E72="","","¿Código?"),
IF(E72="","¿Unidades?",
IF(D72="TARE",
IF(M72=$H$3,IFERROR(VLOOKUP(B72,'Baremos actuales'!A:C,3,FALSE),0),
IF(M72=$H$4,IFERROR(VLOOKUP(B72,'Baremos anteriores'!A:C,3,FALSE),0),0))))))</f>
        <v/>
      </c>
      <c r="G72" s="7"/>
      <c r="H72" s="8"/>
      <c r="I72" s="8"/>
      <c r="J72" s="78" t="str">
        <f>IF($D72="","",
IF($E72="","",
IF($D72="MATE","",
IF(VLOOKUP($B72,'Baremos actuales'!A:D,4,FALSE)=J$9,$E72*$F72,IF(VLOOKUP($B72,'Baremos anteriores'!A:D,4,FALSE)="Sin Definir",$E72*$F72,"")))))</f>
        <v/>
      </c>
      <c r="K72" s="79" t="str">
        <f>IF($D72="","",
IF($E72="","",
IF($D72="MATE","",
IF(VLOOKUP($B72,'Baremos actuales'!$A:$D,4,FALSE)=K$9,$E72*$F72,IF(VLOOKUP($B72,'Baremos anteriores'!$A:$D,4,FALSE)="Desmonte",$E72*$F72,"")))))</f>
        <v/>
      </c>
      <c r="L72" s="80" t="str">
        <f>IF($D72="","",
IF($E72="","",
IF($D72="MATE","",
IF(VLOOKUP($B72,'Baremos actuales'!$A:$D,4,FALSE)=L$9,$E72*$F72,""))))</f>
        <v/>
      </c>
      <c r="M72" s="91" t="str">
        <f t="shared" si="0"/>
        <v/>
      </c>
      <c r="N72" s="96"/>
      <c r="O72" s="95"/>
      <c r="P72" s="96"/>
      <c r="Q72" s="98"/>
    </row>
    <row r="73" spans="1:17" ht="15.75" x14ac:dyDescent="0.2">
      <c r="A73" s="17"/>
      <c r="B73" s="18"/>
      <c r="C73" s="87" t="str">
        <f>IF(B73="","",
IF(M73=$H$5,IFERROR(VLOOKUP(B73,'Baremos actuales'!A:E,5,FALSE),"No encontrado. Revisar código, fecha ejecución y/o contrato."),
IF(M73=$H$4,IFERROR(VLOOKUP(B73,'Baremos anteriores'!A:E,5,FALSE),"No encontrado. Revisar código, fecha ejecución y/o contrato."),
IF(M73=$H$3,IFERROR(VLOOKUP(B73,#REF!,5,FALSE),"No encontrado. Revisar código, fecha ejecución y/o contrato."),
IF(D73="","Código no encontrado",
IF(D73="ERROR","No encontrado. Revisar Código, fecha de ejecución y/o contrato.",
IF(D73="MATE",
IF(C72="DESCRIPCION","NO SE PUEDE COMENZAR SIN CÓDIGO DE TAREA",
IF(C72="","FALTA CÓDIGO DE TAREA",
CONCATENATE("          ",VLOOKUP(B73,'Maestro Materiales'!A:C,3,FALSE)))),IFERROR(VLOOKUP(B73,#REF!,5,FALSE),"No encontrado. Revisar código, fecha ejecución y/o contrato."))))))))</f>
        <v/>
      </c>
      <c r="D73" s="88" t="str">
        <f>IF(B73="","",
IFERROR(VLOOKUP(B73,'Maestro Materiales'!A:C,2,FALSE),
IFERROR(VLOOKUP(B73,'Baremos actuales'!A:B,2,FALSE),
IFERROR(VLOOKUP(B73,'Baremos anteriores'!A:B,2,FALSE),
""))))</f>
        <v/>
      </c>
      <c r="E73" s="9"/>
      <c r="F73" s="89" t="str">
        <f>IF(D73="MATE",
IF(E73="","¿Unidades?",""),
IF(D73="",IF(E73="","","¿Código?"),
IF(E73="","¿Unidades?",
IF(D73="TARE",
IF(M73=$H$3,IFERROR(VLOOKUP(B73,'Baremos actuales'!A:C,3,FALSE),0),
IF(M73=$H$4,IFERROR(VLOOKUP(B73,'Baremos anteriores'!A:C,3,FALSE),0),0))))))</f>
        <v/>
      </c>
      <c r="G73" s="7"/>
      <c r="H73" s="8"/>
      <c r="I73" s="8"/>
      <c r="J73" s="78" t="str">
        <f>IF($D73="","",
IF($E73="","",
IF($D73="MATE","",
IF(VLOOKUP($B73,'Baremos actuales'!A:D,4,FALSE)=J$9,$E73*$F73,IF(VLOOKUP($B73,'Baremos anteriores'!A:D,4,FALSE)="Sin Definir",$E73*$F73,"")))))</f>
        <v/>
      </c>
      <c r="K73" s="79" t="str">
        <f>IF($D73="","",
IF($E73="","",
IF($D73="MATE","",
IF(VLOOKUP($B73,'Baremos actuales'!$A:$D,4,FALSE)=K$9,$E73*$F73,IF(VLOOKUP($B73,'Baremos anteriores'!$A:$D,4,FALSE)="Desmonte",$E73*$F73,"")))))</f>
        <v/>
      </c>
      <c r="L73" s="80" t="str">
        <f>IF($D73="","",
IF($E73="","",
IF($D73="MATE","",
IF(VLOOKUP($B73,'Baremos actuales'!$A:$D,4,FALSE)=L$9,$E73*$F73,""))))</f>
        <v/>
      </c>
      <c r="M73" s="91" t="str">
        <f t="shared" si="0"/>
        <v/>
      </c>
      <c r="N73" s="96"/>
      <c r="O73" s="95"/>
      <c r="P73" s="96"/>
      <c r="Q73" s="98"/>
    </row>
    <row r="74" spans="1:17" ht="15.75" x14ac:dyDescent="0.2">
      <c r="A74" s="17"/>
      <c r="B74" s="18"/>
      <c r="C74" s="87" t="str">
        <f>IF(B74="","",
IF(M74=$H$5,IFERROR(VLOOKUP(B74,'Baremos actuales'!A:E,5,FALSE),"No encontrado. Revisar código, fecha ejecución y/o contrato."),
IF(M74=$H$4,IFERROR(VLOOKUP(B74,'Baremos anteriores'!A:E,5,FALSE),"No encontrado. Revisar código, fecha ejecución y/o contrato."),
IF(M74=$H$3,IFERROR(VLOOKUP(B74,#REF!,5,FALSE),"No encontrado. Revisar código, fecha ejecución y/o contrato."),
IF(D74="","Código no encontrado",
IF(D74="ERROR","No encontrado. Revisar Código, fecha de ejecución y/o contrato.",
IF(D74="MATE",
IF(C73="DESCRIPCION","NO SE PUEDE COMENZAR SIN CÓDIGO DE TAREA",
IF(C73="","FALTA CÓDIGO DE TAREA",
CONCATENATE("          ",VLOOKUP(B74,'Maestro Materiales'!A:C,3,FALSE)))),IFERROR(VLOOKUP(B74,#REF!,5,FALSE),"No encontrado. Revisar código, fecha ejecución y/o contrato."))))))))</f>
        <v/>
      </c>
      <c r="D74" s="88" t="str">
        <f>IF(B74="","",
IFERROR(VLOOKUP(B74,'Maestro Materiales'!A:C,2,FALSE),
IFERROR(VLOOKUP(B74,'Baremos actuales'!A:B,2,FALSE),
IFERROR(VLOOKUP(B74,'Baremos anteriores'!A:B,2,FALSE),
""))))</f>
        <v/>
      </c>
      <c r="E74" s="9"/>
      <c r="F74" s="89" t="str">
        <f>IF(D74="MATE",
IF(E74="","¿Unidades?",""),
IF(D74="",IF(E74="","","¿Código?"),
IF(E74="","¿Unidades?",
IF(D74="TARE",
IF(M74=$H$3,IFERROR(VLOOKUP(B74,'Baremos actuales'!A:C,3,FALSE),0),
IF(M74=$H$4,IFERROR(VLOOKUP(B74,'Baremos anteriores'!A:C,3,FALSE),0),0))))))</f>
        <v/>
      </c>
      <c r="G74" s="7"/>
      <c r="H74" s="8"/>
      <c r="I74" s="8"/>
      <c r="J74" s="78" t="str">
        <f>IF($D74="","",
IF($E74="","",
IF($D74="MATE","",
IF(VLOOKUP($B74,'Baremos actuales'!A:D,4,FALSE)=J$9,$E74*$F74,IF(VLOOKUP($B74,'Baremos anteriores'!A:D,4,FALSE)="Sin Definir",$E74*$F74,"")))))</f>
        <v/>
      </c>
      <c r="K74" s="79" t="str">
        <f>IF($D74="","",
IF($E74="","",
IF($D74="MATE","",
IF(VLOOKUP($B74,'Baremos actuales'!$A:$D,4,FALSE)=K$9,$E74*$F74,IF(VLOOKUP($B74,'Baremos anteriores'!$A:$D,4,FALSE)="Desmonte",$E74*$F74,"")))))</f>
        <v/>
      </c>
      <c r="L74" s="80" t="str">
        <f>IF($D74="","",
IF($E74="","",
IF($D74="MATE","",
IF(VLOOKUP($B74,'Baremos actuales'!$A:$D,4,FALSE)=L$9,$E74*$F74,""))))</f>
        <v/>
      </c>
      <c r="M74" s="91" t="str">
        <f t="shared" si="0"/>
        <v/>
      </c>
      <c r="N74" s="96"/>
      <c r="O74" s="95"/>
      <c r="P74" s="96"/>
      <c r="Q74" s="98"/>
    </row>
    <row r="75" spans="1:17" ht="15.75" x14ac:dyDescent="0.2">
      <c r="A75" s="17"/>
      <c r="B75" s="18"/>
      <c r="C75" s="87" t="str">
        <f>IF(B75="","",
IF(M75=$H$5,IFERROR(VLOOKUP(B75,'Baremos actuales'!A:E,5,FALSE),"No encontrado. Revisar código, fecha ejecución y/o contrato."),
IF(M75=$H$4,IFERROR(VLOOKUP(B75,'Baremos anteriores'!A:E,5,FALSE),"No encontrado. Revisar código, fecha ejecución y/o contrato."),
IF(M75=$H$3,IFERROR(VLOOKUP(B75,#REF!,5,FALSE),"No encontrado. Revisar código, fecha ejecución y/o contrato."),
IF(D75="","Código no encontrado",
IF(D75="ERROR","No encontrado. Revisar Código, fecha de ejecución y/o contrato.",
IF(D75="MATE",
IF(C74="DESCRIPCION","NO SE PUEDE COMENZAR SIN CÓDIGO DE TAREA",
IF(C74="","FALTA CÓDIGO DE TAREA",
CONCATENATE("          ",VLOOKUP(B75,'Maestro Materiales'!A:C,3,FALSE)))),IFERROR(VLOOKUP(B75,#REF!,5,FALSE),"No encontrado. Revisar código, fecha ejecución y/o contrato."))))))))</f>
        <v/>
      </c>
      <c r="D75" s="88" t="str">
        <f>IF(B75="","",
IFERROR(VLOOKUP(B75,'Maestro Materiales'!A:C,2,FALSE),
IFERROR(VLOOKUP(B75,'Baremos actuales'!A:B,2,FALSE),
IFERROR(VLOOKUP(B75,'Baremos anteriores'!A:B,2,FALSE),
""))))</f>
        <v/>
      </c>
      <c r="E75" s="9"/>
      <c r="F75" s="89" t="str">
        <f>IF(D75="MATE",
IF(E75="","¿Unidades?",""),
IF(D75="",IF(E75="","","¿Código?"),
IF(E75="","¿Unidades?",
IF(D75="TARE",
IF(M75=$H$3,IFERROR(VLOOKUP(B75,'Baremos actuales'!A:C,3,FALSE),0),
IF(M75=$H$4,IFERROR(VLOOKUP(B75,'Baremos anteriores'!A:C,3,FALSE),0),0))))))</f>
        <v/>
      </c>
      <c r="G75" s="7"/>
      <c r="H75" s="8"/>
      <c r="I75" s="8"/>
      <c r="J75" s="78" t="str">
        <f>IF($D75="","",
IF($E75="","",
IF($D75="MATE","",
IF(VLOOKUP($B75,'Baremos actuales'!A:D,4,FALSE)=J$9,$E75*$F75,IF(VLOOKUP($B75,'Baremos anteriores'!A:D,4,FALSE)="Sin Definir",$E75*$F75,"")))))</f>
        <v/>
      </c>
      <c r="K75" s="79" t="str">
        <f>IF($D75="","",
IF($E75="","",
IF($D75="MATE","",
IF(VLOOKUP($B75,'Baremos actuales'!$A:$D,4,FALSE)=K$9,$E75*$F75,IF(VLOOKUP($B75,'Baremos anteriores'!$A:$D,4,FALSE)="Desmonte",$E75*$F75,"")))))</f>
        <v/>
      </c>
      <c r="L75" s="80" t="str">
        <f>IF($D75="","",
IF($E75="","",
IF($D75="MATE","",
IF(VLOOKUP($B75,'Baremos actuales'!$A:$D,4,FALSE)=L$9,$E75*$F75,""))))</f>
        <v/>
      </c>
      <c r="M75" s="91" t="str">
        <f t="shared" ref="M75:M138" si="1">IF(D75="MATE","Materiales",IF(B75="","",
IF($Q$1="O","Obsoleto",$F$2)))</f>
        <v/>
      </c>
      <c r="N75" s="96"/>
      <c r="O75" s="95"/>
      <c r="P75" s="96"/>
      <c r="Q75" s="98"/>
    </row>
    <row r="76" spans="1:17" ht="15.75" x14ac:dyDescent="0.2">
      <c r="A76" s="17"/>
      <c r="B76" s="18"/>
      <c r="C76" s="87" t="str">
        <f>IF(B76="","",
IF(M76=$H$5,IFERROR(VLOOKUP(B76,'Baremos actuales'!A:E,5,FALSE),"No encontrado. Revisar código, fecha ejecución y/o contrato."),
IF(M76=$H$4,IFERROR(VLOOKUP(B76,'Baremos anteriores'!A:E,5,FALSE),"No encontrado. Revisar código, fecha ejecución y/o contrato."),
IF(M76=$H$3,IFERROR(VLOOKUP(B76,#REF!,5,FALSE),"No encontrado. Revisar código, fecha ejecución y/o contrato."),
IF(D76="","Código no encontrado",
IF(D76="ERROR","No encontrado. Revisar Código, fecha de ejecución y/o contrato.",
IF(D76="MATE",
IF(C75="DESCRIPCION","NO SE PUEDE COMENZAR SIN CÓDIGO DE TAREA",
IF(C75="","FALTA CÓDIGO DE TAREA",
CONCATENATE("          ",VLOOKUP(B76,'Maestro Materiales'!A:C,3,FALSE)))),IFERROR(VLOOKUP(B76,#REF!,5,FALSE),"No encontrado. Revisar código, fecha ejecución y/o contrato."))))))))</f>
        <v/>
      </c>
      <c r="D76" s="88" t="str">
        <f>IF(B76="","",
IFERROR(VLOOKUP(B76,'Maestro Materiales'!A:C,2,FALSE),
IFERROR(VLOOKUP(B76,'Baremos actuales'!A:B,2,FALSE),
IFERROR(VLOOKUP(B76,'Baremos anteriores'!A:B,2,FALSE),
""))))</f>
        <v/>
      </c>
      <c r="E76" s="9"/>
      <c r="F76" s="89" t="str">
        <f>IF(D76="MATE",
IF(E76="","¿Unidades?",""),
IF(D76="",IF(E76="","","¿Código?"),
IF(E76="","¿Unidades?",
IF(D76="TARE",
IF(M76=$H$3,IFERROR(VLOOKUP(B76,'Baremos actuales'!A:C,3,FALSE),0),
IF(M76=$H$4,IFERROR(VLOOKUP(B76,'Baremos anteriores'!A:C,3,FALSE),0),0))))))</f>
        <v/>
      </c>
      <c r="G76" s="7"/>
      <c r="H76" s="8"/>
      <c r="I76" s="8"/>
      <c r="J76" s="78" t="str">
        <f>IF($D76="","",
IF($E76="","",
IF($D76="MATE","",
IF(VLOOKUP($B76,'Baremos actuales'!A:D,4,FALSE)=J$9,$E76*$F76,IF(VLOOKUP($B76,'Baremos anteriores'!A:D,4,FALSE)="Sin Definir",$E76*$F76,"")))))</f>
        <v/>
      </c>
      <c r="K76" s="79" t="str">
        <f>IF($D76="","",
IF($E76="","",
IF($D76="MATE","",
IF(VLOOKUP($B76,'Baremos actuales'!$A:$D,4,FALSE)=K$9,$E76*$F76,IF(VLOOKUP($B76,'Baremos anteriores'!$A:$D,4,FALSE)="Desmonte",$E76*$F76,"")))))</f>
        <v/>
      </c>
      <c r="L76" s="80" t="str">
        <f>IF($D76="","",
IF($E76="","",
IF($D76="MATE","",
IF(VLOOKUP($B76,'Baremos actuales'!$A:$D,4,FALSE)=L$9,$E76*$F76,""))))</f>
        <v/>
      </c>
      <c r="M76" s="91" t="str">
        <f t="shared" si="1"/>
        <v/>
      </c>
      <c r="N76" s="96"/>
      <c r="O76" s="95"/>
      <c r="P76" s="96"/>
      <c r="Q76" s="98"/>
    </row>
    <row r="77" spans="1:17" ht="15.75" x14ac:dyDescent="0.2">
      <c r="A77" s="17"/>
      <c r="B77" s="18"/>
      <c r="C77" s="87" t="str">
        <f>IF(B77="","",
IF(M77=$H$5,IFERROR(VLOOKUP(B77,'Baremos actuales'!A:E,5,FALSE),"No encontrado. Revisar código, fecha ejecución y/o contrato."),
IF(M77=$H$4,IFERROR(VLOOKUP(B77,'Baremos anteriores'!A:E,5,FALSE),"No encontrado. Revisar código, fecha ejecución y/o contrato."),
IF(M77=$H$3,IFERROR(VLOOKUP(B77,#REF!,5,FALSE),"No encontrado. Revisar código, fecha ejecución y/o contrato."),
IF(D77="","Código no encontrado",
IF(D77="ERROR","No encontrado. Revisar Código, fecha de ejecución y/o contrato.",
IF(D77="MATE",
IF(C76="DESCRIPCION","NO SE PUEDE COMENZAR SIN CÓDIGO DE TAREA",
IF(C76="","FALTA CÓDIGO DE TAREA",
CONCATENATE("          ",VLOOKUP(B77,'Maestro Materiales'!A:C,3,FALSE)))),IFERROR(VLOOKUP(B77,#REF!,5,FALSE),"No encontrado. Revisar código, fecha ejecución y/o contrato."))))))))</f>
        <v/>
      </c>
      <c r="D77" s="88" t="str">
        <f>IF(B77="","",
IFERROR(VLOOKUP(B77,'Maestro Materiales'!A:C,2,FALSE),
IFERROR(VLOOKUP(B77,'Baremos actuales'!A:B,2,FALSE),
IFERROR(VLOOKUP(B77,'Baremos anteriores'!A:B,2,FALSE),
""))))</f>
        <v/>
      </c>
      <c r="E77" s="9"/>
      <c r="F77" s="89" t="str">
        <f>IF(D77="MATE",
IF(E77="","¿Unidades?",""),
IF(D77="",IF(E77="","","¿Código?"),
IF(E77="","¿Unidades?",
IF(D77="TARE",
IF(M77=$H$3,IFERROR(VLOOKUP(B77,'Baremos actuales'!A:C,3,FALSE),0),
IF(M77=$H$4,IFERROR(VLOOKUP(B77,'Baremos anteriores'!A:C,3,FALSE),0),0))))))</f>
        <v/>
      </c>
      <c r="G77" s="7"/>
      <c r="H77" s="8"/>
      <c r="I77" s="8"/>
      <c r="J77" s="78" t="str">
        <f>IF($D77="","",
IF($E77="","",
IF($D77="MATE","",
IF(VLOOKUP($B77,'Baremos actuales'!A:D,4,FALSE)=J$9,$E77*$F77,IF(VLOOKUP($B77,'Baremos anteriores'!A:D,4,FALSE)="Sin Definir",$E77*$F77,"")))))</f>
        <v/>
      </c>
      <c r="K77" s="79" t="str">
        <f>IF($D77="","",
IF($E77="","",
IF($D77="MATE","",
IF(VLOOKUP($B77,'Baremos actuales'!$A:$D,4,FALSE)=K$9,$E77*$F77,IF(VLOOKUP($B77,'Baremos anteriores'!$A:$D,4,FALSE)="Desmonte",$E77*$F77,"")))))</f>
        <v/>
      </c>
      <c r="L77" s="80" t="str">
        <f>IF($D77="","",
IF($E77="","",
IF($D77="MATE","",
IF(VLOOKUP($B77,'Baremos actuales'!$A:$D,4,FALSE)=L$9,$E77*$F77,""))))</f>
        <v/>
      </c>
      <c r="M77" s="91" t="str">
        <f t="shared" si="1"/>
        <v/>
      </c>
      <c r="N77" s="96"/>
      <c r="O77" s="95"/>
      <c r="P77" s="96"/>
      <c r="Q77" s="98"/>
    </row>
    <row r="78" spans="1:17" ht="15.75" x14ac:dyDescent="0.2">
      <c r="A78" s="17"/>
      <c r="B78" s="18"/>
      <c r="C78" s="87" t="str">
        <f>IF(B78="","",
IF(M78=$H$5,IFERROR(VLOOKUP(B78,'Baremos actuales'!A:E,5,FALSE),"No encontrado. Revisar código, fecha ejecución y/o contrato."),
IF(M78=$H$4,IFERROR(VLOOKUP(B78,'Baremos anteriores'!A:E,5,FALSE),"No encontrado. Revisar código, fecha ejecución y/o contrato."),
IF(M78=$H$3,IFERROR(VLOOKUP(B78,#REF!,5,FALSE),"No encontrado. Revisar código, fecha ejecución y/o contrato."),
IF(D78="","Código no encontrado",
IF(D78="ERROR","No encontrado. Revisar Código, fecha de ejecución y/o contrato.",
IF(D78="MATE",
IF(C77="DESCRIPCION","NO SE PUEDE COMENZAR SIN CÓDIGO DE TAREA",
IF(C77="","FALTA CÓDIGO DE TAREA",
CONCATENATE("          ",VLOOKUP(B78,'Maestro Materiales'!A:C,3,FALSE)))),IFERROR(VLOOKUP(B78,#REF!,5,FALSE),"No encontrado. Revisar código, fecha ejecución y/o contrato."))))))))</f>
        <v/>
      </c>
      <c r="D78" s="88" t="str">
        <f>IF(B78="","",
IFERROR(VLOOKUP(B78,'Maestro Materiales'!A:C,2,FALSE),
IFERROR(VLOOKUP(B78,'Baremos actuales'!A:B,2,FALSE),
IFERROR(VLOOKUP(B78,'Baremos anteriores'!A:B,2,FALSE),
""))))</f>
        <v/>
      </c>
      <c r="E78" s="9"/>
      <c r="F78" s="89" t="str">
        <f>IF(D78="MATE",
IF(E78="","¿Unidades?",""),
IF(D78="",IF(E78="","","¿Código?"),
IF(E78="","¿Unidades?",
IF(D78="TARE",
IF(M78=$H$3,IFERROR(VLOOKUP(B78,'Baremos actuales'!A:C,3,FALSE),0),
IF(M78=$H$4,IFERROR(VLOOKUP(B78,'Baremos anteriores'!A:C,3,FALSE),0),0))))))</f>
        <v/>
      </c>
      <c r="G78" s="7"/>
      <c r="H78" s="8"/>
      <c r="I78" s="8"/>
      <c r="J78" s="78" t="str">
        <f>IF($D78="","",
IF($E78="","",
IF($D78="MATE","",
IF(VLOOKUP($B78,'Baremos actuales'!A:D,4,FALSE)=J$9,$E78*$F78,IF(VLOOKUP($B78,'Baremos anteriores'!A:D,4,FALSE)="Sin Definir",$E78*$F78,"")))))</f>
        <v/>
      </c>
      <c r="K78" s="79" t="str">
        <f>IF($D78="","",
IF($E78="","",
IF($D78="MATE","",
IF(VLOOKUP($B78,'Baremos actuales'!$A:$D,4,FALSE)=K$9,$E78*$F78,IF(VLOOKUP($B78,'Baremos anteriores'!$A:$D,4,FALSE)="Desmonte",$E78*$F78,"")))))</f>
        <v/>
      </c>
      <c r="L78" s="80" t="str">
        <f>IF($D78="","",
IF($E78="","",
IF($D78="MATE","",
IF(VLOOKUP($B78,'Baremos actuales'!$A:$D,4,FALSE)=L$9,$E78*$F78,""))))</f>
        <v/>
      </c>
      <c r="M78" s="91" t="str">
        <f t="shared" si="1"/>
        <v/>
      </c>
      <c r="N78" s="96"/>
      <c r="O78" s="95"/>
      <c r="P78" s="96"/>
      <c r="Q78" s="98"/>
    </row>
    <row r="79" spans="1:17" ht="15.75" x14ac:dyDescent="0.2">
      <c r="A79" s="17"/>
      <c r="B79" s="18"/>
      <c r="C79" s="87" t="str">
        <f>IF(B79="","",
IF(M79=$H$5,IFERROR(VLOOKUP(B79,'Baremos actuales'!A:E,5,FALSE),"No encontrado. Revisar código, fecha ejecución y/o contrato."),
IF(M79=$H$4,IFERROR(VLOOKUP(B79,'Baremos anteriores'!A:E,5,FALSE),"No encontrado. Revisar código, fecha ejecución y/o contrato."),
IF(M79=$H$3,IFERROR(VLOOKUP(B79,#REF!,5,FALSE),"No encontrado. Revisar código, fecha ejecución y/o contrato."),
IF(D79="","Código no encontrado",
IF(D79="ERROR","No encontrado. Revisar Código, fecha de ejecución y/o contrato.",
IF(D79="MATE",
IF(C78="DESCRIPCION","NO SE PUEDE COMENZAR SIN CÓDIGO DE TAREA",
IF(C78="","FALTA CÓDIGO DE TAREA",
CONCATENATE("          ",VLOOKUP(B79,'Maestro Materiales'!A:C,3,FALSE)))),IFERROR(VLOOKUP(B79,#REF!,5,FALSE),"No encontrado. Revisar código, fecha ejecución y/o contrato."))))))))</f>
        <v/>
      </c>
      <c r="D79" s="88" t="str">
        <f>IF(B79="","",
IFERROR(VLOOKUP(B79,'Maestro Materiales'!A:C,2,FALSE),
IFERROR(VLOOKUP(B79,'Baremos actuales'!A:B,2,FALSE),
IFERROR(VLOOKUP(B79,'Baremos anteriores'!A:B,2,FALSE),
""))))</f>
        <v/>
      </c>
      <c r="E79" s="9"/>
      <c r="F79" s="89" t="str">
        <f>IF(D79="MATE",
IF(E79="","¿Unidades?",""),
IF(D79="",IF(E79="","","¿Código?"),
IF(E79="","¿Unidades?",
IF(D79="TARE",
IF(M79=$H$3,IFERROR(VLOOKUP(B79,'Baremos actuales'!A:C,3,FALSE),0),
IF(M79=$H$4,IFERROR(VLOOKUP(B79,'Baremos anteriores'!A:C,3,FALSE),0),0))))))</f>
        <v/>
      </c>
      <c r="G79" s="7"/>
      <c r="H79" s="8"/>
      <c r="I79" s="8"/>
      <c r="J79" s="78" t="str">
        <f>IF($D79="","",
IF($E79="","",
IF($D79="MATE","",
IF(VLOOKUP($B79,'Baremos actuales'!A:D,4,FALSE)=J$9,$E79*$F79,IF(VLOOKUP($B79,'Baremos anteriores'!A:D,4,FALSE)="Sin Definir",$E79*$F79,"")))))</f>
        <v/>
      </c>
      <c r="K79" s="79" t="str">
        <f>IF($D79="","",
IF($E79="","",
IF($D79="MATE","",
IF(VLOOKUP($B79,'Baremos actuales'!$A:$D,4,FALSE)=K$9,$E79*$F79,IF(VLOOKUP($B79,'Baremos anteriores'!$A:$D,4,FALSE)="Desmonte",$E79*$F79,"")))))</f>
        <v/>
      </c>
      <c r="L79" s="80" t="str">
        <f>IF($D79="","",
IF($E79="","",
IF($D79="MATE","",
IF(VLOOKUP($B79,'Baremos actuales'!$A:$D,4,FALSE)=L$9,$E79*$F79,""))))</f>
        <v/>
      </c>
      <c r="M79" s="91" t="str">
        <f t="shared" si="1"/>
        <v/>
      </c>
      <c r="N79" s="96"/>
      <c r="O79" s="95"/>
      <c r="P79" s="96"/>
      <c r="Q79" s="98"/>
    </row>
    <row r="80" spans="1:17" ht="15.75" x14ac:dyDescent="0.2">
      <c r="A80" s="17"/>
      <c r="B80" s="18"/>
      <c r="C80" s="87" t="str">
        <f>IF(B80="","",
IF(M80=$H$5,IFERROR(VLOOKUP(B80,'Baremos actuales'!A:E,5,FALSE),"No encontrado. Revisar código, fecha ejecución y/o contrato."),
IF(M80=$H$4,IFERROR(VLOOKUP(B80,'Baremos anteriores'!A:E,5,FALSE),"No encontrado. Revisar código, fecha ejecución y/o contrato."),
IF(M80=$H$3,IFERROR(VLOOKUP(B80,#REF!,5,FALSE),"No encontrado. Revisar código, fecha ejecución y/o contrato."),
IF(D80="","Código no encontrado",
IF(D80="ERROR","No encontrado. Revisar Código, fecha de ejecución y/o contrato.",
IF(D80="MATE",
IF(C79="DESCRIPCION","NO SE PUEDE COMENZAR SIN CÓDIGO DE TAREA",
IF(C79="","FALTA CÓDIGO DE TAREA",
CONCATENATE("          ",VLOOKUP(B80,'Maestro Materiales'!A:C,3,FALSE)))),IFERROR(VLOOKUP(B80,#REF!,5,FALSE),"No encontrado. Revisar código, fecha ejecución y/o contrato."))))))))</f>
        <v/>
      </c>
      <c r="D80" s="88" t="str">
        <f>IF(B80="","",
IFERROR(VLOOKUP(B80,'Maestro Materiales'!A:C,2,FALSE),
IFERROR(VLOOKUP(B80,'Baremos actuales'!A:B,2,FALSE),
IFERROR(VLOOKUP(B80,'Baremos anteriores'!A:B,2,FALSE),
""))))</f>
        <v/>
      </c>
      <c r="E80" s="9"/>
      <c r="F80" s="89" t="str">
        <f>IF(D80="MATE",
IF(E80="","¿Unidades?",""),
IF(D80="",IF(E80="","","¿Código?"),
IF(E80="","¿Unidades?",
IF(D80="TARE",
IF(M80=$H$3,IFERROR(VLOOKUP(B80,'Baremos actuales'!A:C,3,FALSE),0),
IF(M80=$H$4,IFERROR(VLOOKUP(B80,'Baremos anteriores'!A:C,3,FALSE),0),0))))))</f>
        <v/>
      </c>
      <c r="G80" s="7"/>
      <c r="H80" s="8"/>
      <c r="I80" s="8"/>
      <c r="J80" s="78" t="str">
        <f>IF($D80="","",
IF($E80="","",
IF($D80="MATE","",
IF(VLOOKUP($B80,'Baremos actuales'!A:D,4,FALSE)=J$9,$E80*$F80,IF(VLOOKUP($B80,'Baremos anteriores'!A:D,4,FALSE)="Sin Definir",$E80*$F80,"")))))</f>
        <v/>
      </c>
      <c r="K80" s="79" t="str">
        <f>IF($D80="","",
IF($E80="","",
IF($D80="MATE","",
IF(VLOOKUP($B80,'Baremos actuales'!$A:$D,4,FALSE)=K$9,$E80*$F80,IF(VLOOKUP($B80,'Baremos anteriores'!$A:$D,4,FALSE)="Desmonte",$E80*$F80,"")))))</f>
        <v/>
      </c>
      <c r="L80" s="80" t="str">
        <f>IF($D80="","",
IF($E80="","",
IF($D80="MATE","",
IF(VLOOKUP($B80,'Baremos actuales'!$A:$D,4,FALSE)=L$9,$E80*$F80,""))))</f>
        <v/>
      </c>
      <c r="M80" s="91" t="str">
        <f t="shared" si="1"/>
        <v/>
      </c>
      <c r="N80" s="96"/>
      <c r="O80" s="95"/>
      <c r="P80" s="96"/>
      <c r="Q80" s="98"/>
    </row>
    <row r="81" spans="1:17" ht="15.75" x14ac:dyDescent="0.2">
      <c r="A81" s="17"/>
      <c r="B81" s="18"/>
      <c r="C81" s="87" t="str">
        <f>IF(B81="","",
IF(M81=$H$5,IFERROR(VLOOKUP(B81,'Baremos actuales'!A:E,5,FALSE),"No encontrado. Revisar código, fecha ejecución y/o contrato."),
IF(M81=$H$4,IFERROR(VLOOKUP(B81,'Baremos anteriores'!A:E,5,FALSE),"No encontrado. Revisar código, fecha ejecución y/o contrato."),
IF(M81=$H$3,IFERROR(VLOOKUP(B81,#REF!,5,FALSE),"No encontrado. Revisar código, fecha ejecución y/o contrato."),
IF(D81="","Código no encontrado",
IF(D81="ERROR","No encontrado. Revisar Código, fecha de ejecución y/o contrato.",
IF(D81="MATE",
IF(C80="DESCRIPCION","NO SE PUEDE COMENZAR SIN CÓDIGO DE TAREA",
IF(C80="","FALTA CÓDIGO DE TAREA",
CONCATENATE("          ",VLOOKUP(B81,'Maestro Materiales'!A:C,3,FALSE)))),IFERROR(VLOOKUP(B81,#REF!,5,FALSE),"No encontrado. Revisar código, fecha ejecución y/o contrato."))))))))</f>
        <v/>
      </c>
      <c r="D81" s="88" t="str">
        <f>IF(B81="","",
IFERROR(VLOOKUP(B81,'Maestro Materiales'!A:C,2,FALSE),
IFERROR(VLOOKUP(B81,'Baremos actuales'!A:B,2,FALSE),
IFERROR(VLOOKUP(B81,'Baremos anteriores'!A:B,2,FALSE),
""))))</f>
        <v/>
      </c>
      <c r="E81" s="9"/>
      <c r="F81" s="89" t="str">
        <f>IF(D81="MATE",
IF(E81="","¿Unidades?",""),
IF(D81="",IF(E81="","","¿Código?"),
IF(E81="","¿Unidades?",
IF(D81="TARE",
IF(M81=$H$3,IFERROR(VLOOKUP(B81,'Baremos actuales'!A:C,3,FALSE),0),
IF(M81=$H$4,IFERROR(VLOOKUP(B81,'Baremos anteriores'!A:C,3,FALSE),0),0))))))</f>
        <v/>
      </c>
      <c r="G81" s="7"/>
      <c r="H81" s="8"/>
      <c r="I81" s="8"/>
      <c r="J81" s="78" t="str">
        <f>IF($D81="","",
IF($E81="","",
IF($D81="MATE","",
IF(VLOOKUP($B81,'Baremos actuales'!A:D,4,FALSE)=J$9,$E81*$F81,IF(VLOOKUP($B81,'Baremos anteriores'!A:D,4,FALSE)="Sin Definir",$E81*$F81,"")))))</f>
        <v/>
      </c>
      <c r="K81" s="79" t="str">
        <f>IF($D81="","",
IF($E81="","",
IF($D81="MATE","",
IF(VLOOKUP($B81,'Baremos actuales'!$A:$D,4,FALSE)=K$9,$E81*$F81,IF(VLOOKUP($B81,'Baremos anteriores'!$A:$D,4,FALSE)="Desmonte",$E81*$F81,"")))))</f>
        <v/>
      </c>
      <c r="L81" s="80" t="str">
        <f>IF($D81="","",
IF($E81="","",
IF($D81="MATE","",
IF(VLOOKUP($B81,'Baremos actuales'!$A:$D,4,FALSE)=L$9,$E81*$F81,""))))</f>
        <v/>
      </c>
      <c r="M81" s="91" t="str">
        <f t="shared" si="1"/>
        <v/>
      </c>
      <c r="N81" s="96"/>
      <c r="O81" s="95"/>
      <c r="P81" s="96"/>
      <c r="Q81" s="98"/>
    </row>
    <row r="82" spans="1:17" ht="15.75" x14ac:dyDescent="0.2">
      <c r="A82" s="17"/>
      <c r="B82" s="18"/>
      <c r="C82" s="87" t="str">
        <f>IF(B82="","",
IF(M82=$H$5,IFERROR(VLOOKUP(B82,'Baremos actuales'!A:E,5,FALSE),"No encontrado. Revisar código, fecha ejecución y/o contrato."),
IF(M82=$H$4,IFERROR(VLOOKUP(B82,'Baremos anteriores'!A:E,5,FALSE),"No encontrado. Revisar código, fecha ejecución y/o contrato."),
IF(M82=$H$3,IFERROR(VLOOKUP(B82,#REF!,5,FALSE),"No encontrado. Revisar código, fecha ejecución y/o contrato."),
IF(D82="","Código no encontrado",
IF(D82="ERROR","No encontrado. Revisar Código, fecha de ejecución y/o contrato.",
IF(D82="MATE",
IF(C81="DESCRIPCION","NO SE PUEDE COMENZAR SIN CÓDIGO DE TAREA",
IF(C81="","FALTA CÓDIGO DE TAREA",
CONCATENATE("          ",VLOOKUP(B82,'Maestro Materiales'!A:C,3,FALSE)))),IFERROR(VLOOKUP(B82,#REF!,5,FALSE),"No encontrado. Revisar código, fecha ejecución y/o contrato."))))))))</f>
        <v/>
      </c>
      <c r="D82" s="88" t="str">
        <f>IF(B82="","",
IFERROR(VLOOKUP(B82,'Maestro Materiales'!A:C,2,FALSE),
IFERROR(VLOOKUP(B82,'Baremos actuales'!A:B,2,FALSE),
IFERROR(VLOOKUP(B82,'Baremos anteriores'!A:B,2,FALSE),
""))))</f>
        <v/>
      </c>
      <c r="E82" s="9"/>
      <c r="F82" s="89" t="str">
        <f>IF(D82="MATE",
IF(E82="","¿Unidades?",""),
IF(D82="",IF(E82="","","¿Código?"),
IF(E82="","¿Unidades?",
IF(D82="TARE",
IF(M82=$H$3,IFERROR(VLOOKUP(B82,'Baremos actuales'!A:C,3,FALSE),0),
IF(M82=$H$4,IFERROR(VLOOKUP(B82,'Baremos anteriores'!A:C,3,FALSE),0),0))))))</f>
        <v/>
      </c>
      <c r="G82" s="7"/>
      <c r="H82" s="8"/>
      <c r="I82" s="8"/>
      <c r="J82" s="78" t="str">
        <f>IF($D82="","",
IF($E82="","",
IF($D82="MATE","",
IF(VLOOKUP($B82,'Baremos actuales'!A:D,4,FALSE)=J$9,$E82*$F82,IF(VLOOKUP($B82,'Baremos anteriores'!A:D,4,FALSE)="Sin Definir",$E82*$F82,"")))))</f>
        <v/>
      </c>
      <c r="K82" s="79" t="str">
        <f>IF($D82="","",
IF($E82="","",
IF($D82="MATE","",
IF(VLOOKUP($B82,'Baremos actuales'!$A:$D,4,FALSE)=K$9,$E82*$F82,IF(VLOOKUP($B82,'Baremos anteriores'!$A:$D,4,FALSE)="Desmonte",$E82*$F82,"")))))</f>
        <v/>
      </c>
      <c r="L82" s="80" t="str">
        <f>IF($D82="","",
IF($E82="","",
IF($D82="MATE","",
IF(VLOOKUP($B82,'Baremos actuales'!$A:$D,4,FALSE)=L$9,$E82*$F82,""))))</f>
        <v/>
      </c>
      <c r="M82" s="91" t="str">
        <f t="shared" si="1"/>
        <v/>
      </c>
      <c r="N82" s="96"/>
      <c r="O82" s="95"/>
      <c r="P82" s="96"/>
      <c r="Q82" s="98"/>
    </row>
    <row r="83" spans="1:17" ht="15.75" x14ac:dyDescent="0.2">
      <c r="A83" s="17"/>
      <c r="B83" s="18"/>
      <c r="C83" s="87" t="str">
        <f>IF(B83="","",
IF(M83=$H$5,IFERROR(VLOOKUP(B83,'Baremos actuales'!A:E,5,FALSE),"No encontrado. Revisar código, fecha ejecución y/o contrato."),
IF(M83=$H$4,IFERROR(VLOOKUP(B83,'Baremos anteriores'!A:E,5,FALSE),"No encontrado. Revisar código, fecha ejecución y/o contrato."),
IF(M83=$H$3,IFERROR(VLOOKUP(B83,#REF!,5,FALSE),"No encontrado. Revisar código, fecha ejecución y/o contrato."),
IF(D83="","Código no encontrado",
IF(D83="ERROR","No encontrado. Revisar Código, fecha de ejecución y/o contrato.",
IF(D83="MATE",
IF(C82="DESCRIPCION","NO SE PUEDE COMENZAR SIN CÓDIGO DE TAREA",
IF(C82="","FALTA CÓDIGO DE TAREA",
CONCATENATE("          ",VLOOKUP(B83,'Maestro Materiales'!A:C,3,FALSE)))),IFERROR(VLOOKUP(B83,#REF!,5,FALSE),"No encontrado. Revisar código, fecha ejecución y/o contrato."))))))))</f>
        <v/>
      </c>
      <c r="D83" s="88" t="str">
        <f>IF(B83="","",
IFERROR(VLOOKUP(B83,'Maestro Materiales'!A:C,2,FALSE),
IFERROR(VLOOKUP(B83,'Baremos actuales'!A:B,2,FALSE),
IFERROR(VLOOKUP(B83,'Baremos anteriores'!A:B,2,FALSE),
""))))</f>
        <v/>
      </c>
      <c r="E83" s="9"/>
      <c r="F83" s="89" t="str">
        <f>IF(D83="MATE",
IF(E83="","¿Unidades?",""),
IF(D83="",IF(E83="","","¿Código?"),
IF(E83="","¿Unidades?",
IF(D83="TARE",
IF(M83=$H$3,IFERROR(VLOOKUP(B83,'Baremos actuales'!A:C,3,FALSE),0),
IF(M83=$H$4,IFERROR(VLOOKUP(B83,'Baremos anteriores'!A:C,3,FALSE),0),0))))))</f>
        <v/>
      </c>
      <c r="G83" s="7"/>
      <c r="H83" s="8"/>
      <c r="I83" s="8"/>
      <c r="J83" s="78" t="str">
        <f>IF($D83="","",
IF($E83="","",
IF($D83="MATE","",
IF(VLOOKUP($B83,'Baremos actuales'!A:D,4,FALSE)=J$9,$E83*$F83,IF(VLOOKUP($B83,'Baremos anteriores'!A:D,4,FALSE)="Sin Definir",$E83*$F83,"")))))</f>
        <v/>
      </c>
      <c r="K83" s="79" t="str">
        <f>IF($D83="","",
IF($E83="","",
IF($D83="MATE","",
IF(VLOOKUP($B83,'Baremos actuales'!$A:$D,4,FALSE)=K$9,$E83*$F83,IF(VLOOKUP($B83,'Baremos anteriores'!$A:$D,4,FALSE)="Desmonte",$E83*$F83,"")))))</f>
        <v/>
      </c>
      <c r="L83" s="80" t="str">
        <f>IF($D83="","",
IF($E83="","",
IF($D83="MATE","",
IF(VLOOKUP($B83,'Baremos actuales'!$A:$D,4,FALSE)=L$9,$E83*$F83,""))))</f>
        <v/>
      </c>
      <c r="M83" s="91" t="str">
        <f t="shared" si="1"/>
        <v/>
      </c>
      <c r="N83" s="96"/>
      <c r="O83" s="95"/>
      <c r="P83" s="96"/>
      <c r="Q83" s="98"/>
    </row>
    <row r="84" spans="1:17" ht="15.75" x14ac:dyDescent="0.2">
      <c r="A84" s="17"/>
      <c r="B84" s="18"/>
      <c r="C84" s="87" t="str">
        <f>IF(B84="","",
IF(M84=$H$5,IFERROR(VLOOKUP(B84,'Baremos actuales'!A:E,5,FALSE),"No encontrado. Revisar código, fecha ejecución y/o contrato."),
IF(M84=$H$4,IFERROR(VLOOKUP(B84,'Baremos anteriores'!A:E,5,FALSE),"No encontrado. Revisar código, fecha ejecución y/o contrato."),
IF(M84=$H$3,IFERROR(VLOOKUP(B84,#REF!,5,FALSE),"No encontrado. Revisar código, fecha ejecución y/o contrato."),
IF(D84="","Código no encontrado",
IF(D84="ERROR","No encontrado. Revisar Código, fecha de ejecución y/o contrato.",
IF(D84="MATE",
IF(C83="DESCRIPCION","NO SE PUEDE COMENZAR SIN CÓDIGO DE TAREA",
IF(C83="","FALTA CÓDIGO DE TAREA",
CONCATENATE("          ",VLOOKUP(B84,'Maestro Materiales'!A:C,3,FALSE)))),IFERROR(VLOOKUP(B84,#REF!,5,FALSE),"No encontrado. Revisar código, fecha ejecución y/o contrato."))))))))</f>
        <v/>
      </c>
      <c r="D84" s="88" t="str">
        <f>IF(B84="","",
IFERROR(VLOOKUP(B84,'Maestro Materiales'!A:C,2,FALSE),
IFERROR(VLOOKUP(B84,'Baremos actuales'!A:B,2,FALSE),
IFERROR(VLOOKUP(B84,'Baremos anteriores'!A:B,2,FALSE),
""))))</f>
        <v/>
      </c>
      <c r="E84" s="9"/>
      <c r="F84" s="89" t="str">
        <f>IF(D84="MATE",
IF(E84="","¿Unidades?",""),
IF(D84="",IF(E84="","","¿Código?"),
IF(E84="","¿Unidades?",
IF(D84="TARE",
IF(M84=$H$3,IFERROR(VLOOKUP(B84,'Baremos actuales'!A:C,3,FALSE),0),
IF(M84=$H$4,IFERROR(VLOOKUP(B84,'Baremos anteriores'!A:C,3,FALSE),0),0))))))</f>
        <v/>
      </c>
      <c r="G84" s="7"/>
      <c r="H84" s="8"/>
      <c r="I84" s="8"/>
      <c r="J84" s="78" t="str">
        <f>IF($D84="","",
IF($E84="","",
IF($D84="MATE","",
IF(VLOOKUP($B84,'Baremos actuales'!A:D,4,FALSE)=J$9,$E84*$F84,IF(VLOOKUP($B84,'Baremos anteriores'!A:D,4,FALSE)="Sin Definir",$E84*$F84,"")))))</f>
        <v/>
      </c>
      <c r="K84" s="79" t="str">
        <f>IF($D84="","",
IF($E84="","",
IF($D84="MATE","",
IF(VLOOKUP($B84,'Baremos actuales'!$A:$D,4,FALSE)=K$9,$E84*$F84,IF(VLOOKUP($B84,'Baremos anteriores'!$A:$D,4,FALSE)="Desmonte",$E84*$F84,"")))))</f>
        <v/>
      </c>
      <c r="L84" s="80" t="str">
        <f>IF($D84="","",
IF($E84="","",
IF($D84="MATE","",
IF(VLOOKUP($B84,'Baremos actuales'!$A:$D,4,FALSE)=L$9,$E84*$F84,""))))</f>
        <v/>
      </c>
      <c r="M84" s="91" t="str">
        <f t="shared" si="1"/>
        <v/>
      </c>
      <c r="N84" s="96"/>
      <c r="O84" s="95"/>
      <c r="P84" s="96"/>
      <c r="Q84" s="98"/>
    </row>
    <row r="85" spans="1:17" ht="15.75" x14ac:dyDescent="0.2">
      <c r="A85" s="17"/>
      <c r="B85" s="18"/>
      <c r="C85" s="87" t="str">
        <f>IF(B85="","",
IF(M85=$H$5,IFERROR(VLOOKUP(B85,'Baremos actuales'!A:E,5,FALSE),"No encontrado. Revisar código, fecha ejecución y/o contrato."),
IF(M85=$H$4,IFERROR(VLOOKUP(B85,'Baremos anteriores'!A:E,5,FALSE),"No encontrado. Revisar código, fecha ejecución y/o contrato."),
IF(M85=$H$3,IFERROR(VLOOKUP(B85,#REF!,5,FALSE),"No encontrado. Revisar código, fecha ejecución y/o contrato."),
IF(D85="","Código no encontrado",
IF(D85="ERROR","No encontrado. Revisar Código, fecha de ejecución y/o contrato.",
IF(D85="MATE",
IF(C84="DESCRIPCION","NO SE PUEDE COMENZAR SIN CÓDIGO DE TAREA",
IF(C84="","FALTA CÓDIGO DE TAREA",
CONCATENATE("          ",VLOOKUP(B85,'Maestro Materiales'!A:C,3,FALSE)))),IFERROR(VLOOKUP(B85,#REF!,5,FALSE),"No encontrado. Revisar código, fecha ejecución y/o contrato."))))))))</f>
        <v/>
      </c>
      <c r="D85" s="88" t="str">
        <f>IF(B85="","",
IFERROR(VLOOKUP(B85,'Maestro Materiales'!A:C,2,FALSE),
IFERROR(VLOOKUP(B85,'Baremos actuales'!A:B,2,FALSE),
IFERROR(VLOOKUP(B85,'Baremos anteriores'!A:B,2,FALSE),
""))))</f>
        <v/>
      </c>
      <c r="E85" s="9"/>
      <c r="F85" s="89" t="str">
        <f>IF(D85="MATE",
IF(E85="","¿Unidades?",""),
IF(D85="",IF(E85="","","¿Código?"),
IF(E85="","¿Unidades?",
IF(D85="TARE",
IF(M85=$H$3,IFERROR(VLOOKUP(B85,'Baremos actuales'!A:C,3,FALSE),0),
IF(M85=$H$4,IFERROR(VLOOKUP(B85,'Baremos anteriores'!A:C,3,FALSE),0),0))))))</f>
        <v/>
      </c>
      <c r="G85" s="7"/>
      <c r="H85" s="8"/>
      <c r="I85" s="8"/>
      <c r="J85" s="78" t="str">
        <f>IF($D85="","",
IF($E85="","",
IF($D85="MATE","",
IF(VLOOKUP($B85,'Baremos actuales'!A:D,4,FALSE)=J$9,$E85*$F85,IF(VLOOKUP($B85,'Baremos anteriores'!A:D,4,FALSE)="Sin Definir",$E85*$F85,"")))))</f>
        <v/>
      </c>
      <c r="K85" s="79" t="str">
        <f>IF($D85="","",
IF($E85="","",
IF($D85="MATE","",
IF(VLOOKUP($B85,'Baremos actuales'!$A:$D,4,FALSE)=K$9,$E85*$F85,IF(VLOOKUP($B85,'Baremos anteriores'!$A:$D,4,FALSE)="Desmonte",$E85*$F85,"")))))</f>
        <v/>
      </c>
      <c r="L85" s="80" t="str">
        <f>IF($D85="","",
IF($E85="","",
IF($D85="MATE","",
IF(VLOOKUP($B85,'Baremos actuales'!$A:$D,4,FALSE)=L$9,$E85*$F85,""))))</f>
        <v/>
      </c>
      <c r="M85" s="91" t="str">
        <f t="shared" si="1"/>
        <v/>
      </c>
      <c r="N85" s="96"/>
      <c r="O85" s="95"/>
      <c r="P85" s="96"/>
      <c r="Q85" s="98"/>
    </row>
    <row r="86" spans="1:17" ht="15.75" x14ac:dyDescent="0.2">
      <c r="A86" s="17"/>
      <c r="B86" s="18"/>
      <c r="C86" s="87" t="str">
        <f>IF(B86="","",
IF(M86=$H$5,IFERROR(VLOOKUP(B86,'Baremos actuales'!A:E,5,FALSE),"No encontrado. Revisar código, fecha ejecución y/o contrato."),
IF(M86=$H$4,IFERROR(VLOOKUP(B86,'Baremos anteriores'!A:E,5,FALSE),"No encontrado. Revisar código, fecha ejecución y/o contrato."),
IF(M86=$H$3,IFERROR(VLOOKUP(B86,#REF!,5,FALSE),"No encontrado. Revisar código, fecha ejecución y/o contrato."),
IF(D86="","Código no encontrado",
IF(D86="ERROR","No encontrado. Revisar Código, fecha de ejecución y/o contrato.",
IF(D86="MATE",
IF(C85="DESCRIPCION","NO SE PUEDE COMENZAR SIN CÓDIGO DE TAREA",
IF(C85="","FALTA CÓDIGO DE TAREA",
CONCATENATE("          ",VLOOKUP(B86,'Maestro Materiales'!A:C,3,FALSE)))),IFERROR(VLOOKUP(B86,#REF!,5,FALSE),"No encontrado. Revisar código, fecha ejecución y/o contrato."))))))))</f>
        <v/>
      </c>
      <c r="D86" s="88" t="str">
        <f>IF(B86="","",
IFERROR(VLOOKUP(B86,'Maestro Materiales'!A:C,2,FALSE),
IFERROR(VLOOKUP(B86,'Baremos actuales'!A:B,2,FALSE),
IFERROR(VLOOKUP(B86,'Baremos anteriores'!A:B,2,FALSE),
""))))</f>
        <v/>
      </c>
      <c r="E86" s="9"/>
      <c r="F86" s="89" t="str">
        <f>IF(D86="MATE",
IF(E86="","¿Unidades?",""),
IF(D86="",IF(E86="","","¿Código?"),
IF(E86="","¿Unidades?",
IF(D86="TARE",
IF(M86=$H$3,IFERROR(VLOOKUP(B86,'Baremos actuales'!A:C,3,FALSE),0),
IF(M86=$H$4,IFERROR(VLOOKUP(B86,'Baremos anteriores'!A:C,3,FALSE),0),0))))))</f>
        <v/>
      </c>
      <c r="G86" s="7"/>
      <c r="H86" s="8"/>
      <c r="I86" s="8"/>
      <c r="J86" s="78" t="str">
        <f>IF($D86="","",
IF($E86="","",
IF($D86="MATE","",
IF(VLOOKUP($B86,'Baremos actuales'!A:D,4,FALSE)=J$9,$E86*$F86,IF(VLOOKUP($B86,'Baremos anteriores'!A:D,4,FALSE)="Sin Definir",$E86*$F86,"")))))</f>
        <v/>
      </c>
      <c r="K86" s="79" t="str">
        <f>IF($D86="","",
IF($E86="","",
IF($D86="MATE","",
IF(VLOOKUP($B86,'Baremos actuales'!$A:$D,4,FALSE)=K$9,$E86*$F86,IF(VLOOKUP($B86,'Baremos anteriores'!$A:$D,4,FALSE)="Desmonte",$E86*$F86,"")))))</f>
        <v/>
      </c>
      <c r="L86" s="80" t="str">
        <f>IF($D86="","",
IF($E86="","",
IF($D86="MATE","",
IF(VLOOKUP($B86,'Baremos actuales'!$A:$D,4,FALSE)=L$9,$E86*$F86,""))))</f>
        <v/>
      </c>
      <c r="M86" s="91" t="str">
        <f t="shared" si="1"/>
        <v/>
      </c>
      <c r="N86" s="96"/>
      <c r="O86" s="95"/>
      <c r="P86" s="96"/>
      <c r="Q86" s="98"/>
    </row>
    <row r="87" spans="1:17" ht="15.75" x14ac:dyDescent="0.2">
      <c r="A87" s="17"/>
      <c r="B87" s="18"/>
      <c r="C87" s="87" t="str">
        <f>IF(B87="","",
IF(M87=$H$5,IFERROR(VLOOKUP(B87,'Baremos actuales'!A:E,5,FALSE),"No encontrado. Revisar código, fecha ejecución y/o contrato."),
IF(M87=$H$4,IFERROR(VLOOKUP(B87,'Baremos anteriores'!A:E,5,FALSE),"No encontrado. Revisar código, fecha ejecución y/o contrato."),
IF(M87=$H$3,IFERROR(VLOOKUP(B87,#REF!,5,FALSE),"No encontrado. Revisar código, fecha ejecución y/o contrato."),
IF(D87="","Código no encontrado",
IF(D87="ERROR","No encontrado. Revisar Código, fecha de ejecución y/o contrato.",
IF(D87="MATE",
IF(C86="DESCRIPCION","NO SE PUEDE COMENZAR SIN CÓDIGO DE TAREA",
IF(C86="","FALTA CÓDIGO DE TAREA",
CONCATENATE("          ",VLOOKUP(B87,'Maestro Materiales'!A:C,3,FALSE)))),IFERROR(VLOOKUP(B87,#REF!,5,FALSE),"No encontrado. Revisar código, fecha ejecución y/o contrato."))))))))</f>
        <v/>
      </c>
      <c r="D87" s="88" t="str">
        <f>IF(B87="","",
IFERROR(VLOOKUP(B87,'Maestro Materiales'!A:C,2,FALSE),
IFERROR(VLOOKUP(B87,'Baremos actuales'!A:B,2,FALSE),
IFERROR(VLOOKUP(B87,'Baremos anteriores'!A:B,2,FALSE),
""))))</f>
        <v/>
      </c>
      <c r="E87" s="9"/>
      <c r="F87" s="89" t="str">
        <f>IF(D87="MATE",
IF(E87="","¿Unidades?",""),
IF(D87="",IF(E87="","","¿Código?"),
IF(E87="","¿Unidades?",
IF(D87="TARE",
IF(M87=$H$3,IFERROR(VLOOKUP(B87,'Baremos actuales'!A:C,3,FALSE),0),
IF(M87=$H$4,IFERROR(VLOOKUP(B87,'Baremos anteriores'!A:C,3,FALSE),0),0))))))</f>
        <v/>
      </c>
      <c r="G87" s="7"/>
      <c r="H87" s="8"/>
      <c r="I87" s="8"/>
      <c r="J87" s="78" t="str">
        <f>IF($D87="","",
IF($E87="","",
IF($D87="MATE","",
IF(VLOOKUP($B87,'Baremos actuales'!A:D,4,FALSE)=J$9,$E87*$F87,IF(VLOOKUP($B87,'Baremos anteriores'!A:D,4,FALSE)="Sin Definir",$E87*$F87,"")))))</f>
        <v/>
      </c>
      <c r="K87" s="79" t="str">
        <f>IF($D87="","",
IF($E87="","",
IF($D87="MATE","",
IF(VLOOKUP($B87,'Baremos actuales'!$A:$D,4,FALSE)=K$9,$E87*$F87,IF(VLOOKUP($B87,'Baremos anteriores'!$A:$D,4,FALSE)="Desmonte",$E87*$F87,"")))))</f>
        <v/>
      </c>
      <c r="L87" s="80" t="str">
        <f>IF($D87="","",
IF($E87="","",
IF($D87="MATE","",
IF(VLOOKUP($B87,'Baremos actuales'!$A:$D,4,FALSE)=L$9,$E87*$F87,""))))</f>
        <v/>
      </c>
      <c r="M87" s="91" t="str">
        <f t="shared" si="1"/>
        <v/>
      </c>
      <c r="N87" s="96"/>
      <c r="O87" s="95"/>
      <c r="P87" s="96"/>
      <c r="Q87" s="98"/>
    </row>
    <row r="88" spans="1:17" ht="15.75" x14ac:dyDescent="0.2">
      <c r="A88" s="17"/>
      <c r="B88" s="18"/>
      <c r="C88" s="87" t="str">
        <f>IF(B88="","",
IF(M88=$H$5,IFERROR(VLOOKUP(B88,'Baremos actuales'!A:E,5,FALSE),"No encontrado. Revisar código, fecha ejecución y/o contrato."),
IF(M88=$H$4,IFERROR(VLOOKUP(B88,'Baremos anteriores'!A:E,5,FALSE),"No encontrado. Revisar código, fecha ejecución y/o contrato."),
IF(M88=$H$3,IFERROR(VLOOKUP(B88,#REF!,5,FALSE),"No encontrado. Revisar código, fecha ejecución y/o contrato."),
IF(D88="","Código no encontrado",
IF(D88="ERROR","No encontrado. Revisar Código, fecha de ejecución y/o contrato.",
IF(D88="MATE",
IF(C87="DESCRIPCION","NO SE PUEDE COMENZAR SIN CÓDIGO DE TAREA",
IF(C87="","FALTA CÓDIGO DE TAREA",
CONCATENATE("          ",VLOOKUP(B88,'Maestro Materiales'!A:C,3,FALSE)))),IFERROR(VLOOKUP(B88,#REF!,5,FALSE),"No encontrado. Revisar código, fecha ejecución y/o contrato."))))))))</f>
        <v/>
      </c>
      <c r="D88" s="88" t="str">
        <f>IF(B88="","",
IFERROR(VLOOKUP(B88,'Maestro Materiales'!A:C,2,FALSE),
IFERROR(VLOOKUP(B88,'Baremos actuales'!A:B,2,FALSE),
IFERROR(VLOOKUP(B88,'Baremos anteriores'!A:B,2,FALSE),
""))))</f>
        <v/>
      </c>
      <c r="E88" s="9"/>
      <c r="F88" s="89" t="str">
        <f>IF(D88="MATE",
IF(E88="","¿Unidades?",""),
IF(D88="",IF(E88="","","¿Código?"),
IF(E88="","¿Unidades?",
IF(D88="TARE",
IF(M88=$H$3,IFERROR(VLOOKUP(B88,'Baremos actuales'!A:C,3,FALSE),0),
IF(M88=$H$4,IFERROR(VLOOKUP(B88,'Baremos anteriores'!A:C,3,FALSE),0),0))))))</f>
        <v/>
      </c>
      <c r="G88" s="7"/>
      <c r="H88" s="8"/>
      <c r="I88" s="8"/>
      <c r="J88" s="78" t="str">
        <f>IF($D88="","",
IF($E88="","",
IF($D88="MATE","",
IF(VLOOKUP($B88,'Baremos actuales'!A:D,4,FALSE)=J$9,$E88*$F88,IF(VLOOKUP($B88,'Baremos anteriores'!A:D,4,FALSE)="Sin Definir",$E88*$F88,"")))))</f>
        <v/>
      </c>
      <c r="K88" s="79" t="str">
        <f>IF($D88="","",
IF($E88="","",
IF($D88="MATE","",
IF(VLOOKUP($B88,'Baremos actuales'!$A:$D,4,FALSE)=K$9,$E88*$F88,IF(VLOOKUP($B88,'Baremos anteriores'!$A:$D,4,FALSE)="Desmonte",$E88*$F88,"")))))</f>
        <v/>
      </c>
      <c r="L88" s="80" t="str">
        <f>IF($D88="","",
IF($E88="","",
IF($D88="MATE","",
IF(VLOOKUP($B88,'Baremos actuales'!$A:$D,4,FALSE)=L$9,$E88*$F88,""))))</f>
        <v/>
      </c>
      <c r="M88" s="91" t="str">
        <f t="shared" si="1"/>
        <v/>
      </c>
      <c r="N88" s="96"/>
      <c r="O88" s="95"/>
      <c r="P88" s="96"/>
      <c r="Q88" s="98"/>
    </row>
    <row r="89" spans="1:17" ht="15.75" x14ac:dyDescent="0.2">
      <c r="A89" s="17"/>
      <c r="B89" s="18"/>
      <c r="C89" s="87" t="str">
        <f>IF(B89="","",
IF(M89=$H$5,IFERROR(VLOOKUP(B89,'Baremos actuales'!A:E,5,FALSE),"No encontrado. Revisar código, fecha ejecución y/o contrato."),
IF(M89=$H$4,IFERROR(VLOOKUP(B89,'Baremos anteriores'!A:E,5,FALSE),"No encontrado. Revisar código, fecha ejecución y/o contrato."),
IF(M89=$H$3,IFERROR(VLOOKUP(B89,#REF!,5,FALSE),"No encontrado. Revisar código, fecha ejecución y/o contrato."),
IF(D89="","Código no encontrado",
IF(D89="ERROR","No encontrado. Revisar Código, fecha de ejecución y/o contrato.",
IF(D89="MATE",
IF(C88="DESCRIPCION","NO SE PUEDE COMENZAR SIN CÓDIGO DE TAREA",
IF(C88="","FALTA CÓDIGO DE TAREA",
CONCATENATE("          ",VLOOKUP(B89,'Maestro Materiales'!A:C,3,FALSE)))),IFERROR(VLOOKUP(B89,#REF!,5,FALSE),"No encontrado. Revisar código, fecha ejecución y/o contrato."))))))))</f>
        <v/>
      </c>
      <c r="D89" s="88" t="str">
        <f>IF(B89="","",
IFERROR(VLOOKUP(B89,'Maestro Materiales'!A:C,2,FALSE),
IFERROR(VLOOKUP(B89,'Baremos actuales'!A:B,2,FALSE),
IFERROR(VLOOKUP(B89,'Baremos anteriores'!A:B,2,FALSE),
""))))</f>
        <v/>
      </c>
      <c r="E89" s="9"/>
      <c r="F89" s="89" t="str">
        <f>IF(D89="MATE",
IF(E89="","¿Unidades?",""),
IF(D89="",IF(E89="","","¿Código?"),
IF(E89="","¿Unidades?",
IF(D89="TARE",
IF(M89=$H$3,IFERROR(VLOOKUP(B89,'Baremos actuales'!A:C,3,FALSE),0),
IF(M89=$H$4,IFERROR(VLOOKUP(B89,'Baremos anteriores'!A:C,3,FALSE),0),0))))))</f>
        <v/>
      </c>
      <c r="G89" s="7"/>
      <c r="H89" s="8"/>
      <c r="I89" s="8"/>
      <c r="J89" s="78" t="str">
        <f>IF($D89="","",
IF($E89="","",
IF($D89="MATE","",
IF(VLOOKUP($B89,'Baremos actuales'!A:D,4,FALSE)=J$9,$E89*$F89,IF(VLOOKUP($B89,'Baremos anteriores'!A:D,4,FALSE)="Sin Definir",$E89*$F89,"")))))</f>
        <v/>
      </c>
      <c r="K89" s="79" t="str">
        <f>IF($D89="","",
IF($E89="","",
IF($D89="MATE","",
IF(VLOOKUP($B89,'Baremos actuales'!$A:$D,4,FALSE)=K$9,$E89*$F89,IF(VLOOKUP($B89,'Baremos anteriores'!$A:$D,4,FALSE)="Desmonte",$E89*$F89,"")))))</f>
        <v/>
      </c>
      <c r="L89" s="80" t="str">
        <f>IF($D89="","",
IF($E89="","",
IF($D89="MATE","",
IF(VLOOKUP($B89,'Baremos actuales'!$A:$D,4,FALSE)=L$9,$E89*$F89,""))))</f>
        <v/>
      </c>
      <c r="M89" s="91" t="str">
        <f t="shared" si="1"/>
        <v/>
      </c>
      <c r="N89" s="96"/>
      <c r="O89" s="95"/>
      <c r="P89" s="96"/>
      <c r="Q89" s="98"/>
    </row>
    <row r="90" spans="1:17" ht="15.75" x14ac:dyDescent="0.2">
      <c r="A90" s="17"/>
      <c r="B90" s="18"/>
      <c r="C90" s="87" t="str">
        <f>IF(B90="","",
IF(M90=$H$5,IFERROR(VLOOKUP(B90,'Baremos actuales'!A:E,5,FALSE),"No encontrado. Revisar código, fecha ejecución y/o contrato."),
IF(M90=$H$4,IFERROR(VLOOKUP(B90,'Baremos anteriores'!A:E,5,FALSE),"No encontrado. Revisar código, fecha ejecución y/o contrato."),
IF(M90=$H$3,IFERROR(VLOOKUP(B90,#REF!,5,FALSE),"No encontrado. Revisar código, fecha ejecución y/o contrato."),
IF(D90="","Código no encontrado",
IF(D90="ERROR","No encontrado. Revisar Código, fecha de ejecución y/o contrato.",
IF(D90="MATE",
IF(C89="DESCRIPCION","NO SE PUEDE COMENZAR SIN CÓDIGO DE TAREA",
IF(C89="","FALTA CÓDIGO DE TAREA",
CONCATENATE("          ",VLOOKUP(B90,'Maestro Materiales'!A:C,3,FALSE)))),IFERROR(VLOOKUP(B90,#REF!,5,FALSE),"No encontrado. Revisar código, fecha ejecución y/o contrato."))))))))</f>
        <v/>
      </c>
      <c r="D90" s="88" t="str">
        <f>IF(B90="","",
IFERROR(VLOOKUP(B90,'Maestro Materiales'!A:C,2,FALSE),
IFERROR(VLOOKUP(B90,'Baremos actuales'!A:B,2,FALSE),
IFERROR(VLOOKUP(B90,'Baremos anteriores'!A:B,2,FALSE),
""))))</f>
        <v/>
      </c>
      <c r="E90" s="9"/>
      <c r="F90" s="89" t="str">
        <f>IF(D90="MATE",
IF(E90="","¿Unidades?",""),
IF(D90="",IF(E90="","","¿Código?"),
IF(E90="","¿Unidades?",
IF(D90="TARE",
IF(M90=$H$3,IFERROR(VLOOKUP(B90,'Baremos actuales'!A:C,3,FALSE),0),
IF(M90=$H$4,IFERROR(VLOOKUP(B90,'Baremos anteriores'!A:C,3,FALSE),0),0))))))</f>
        <v/>
      </c>
      <c r="G90" s="7"/>
      <c r="H90" s="8"/>
      <c r="I90" s="8"/>
      <c r="J90" s="78" t="str">
        <f>IF($D90="","",
IF($E90="","",
IF($D90="MATE","",
IF(VLOOKUP($B90,'Baremos actuales'!A:D,4,FALSE)=J$9,$E90*$F90,IF(VLOOKUP($B90,'Baremos anteriores'!A:D,4,FALSE)="Sin Definir",$E90*$F90,"")))))</f>
        <v/>
      </c>
      <c r="K90" s="79" t="str">
        <f>IF($D90="","",
IF($E90="","",
IF($D90="MATE","",
IF(VLOOKUP($B90,'Baremos actuales'!$A:$D,4,FALSE)=K$9,$E90*$F90,IF(VLOOKUP($B90,'Baremos anteriores'!$A:$D,4,FALSE)="Desmonte",$E90*$F90,"")))))</f>
        <v/>
      </c>
      <c r="L90" s="80" t="str">
        <f>IF($D90="","",
IF($E90="","",
IF($D90="MATE","",
IF(VLOOKUP($B90,'Baremos actuales'!$A:$D,4,FALSE)=L$9,$E90*$F90,""))))</f>
        <v/>
      </c>
      <c r="M90" s="91" t="str">
        <f t="shared" si="1"/>
        <v/>
      </c>
      <c r="N90" s="96"/>
      <c r="O90" s="95"/>
      <c r="P90" s="96"/>
      <c r="Q90" s="98"/>
    </row>
    <row r="91" spans="1:17" ht="15.75" x14ac:dyDescent="0.2">
      <c r="A91" s="17"/>
      <c r="B91" s="18"/>
      <c r="C91" s="87" t="str">
        <f>IF(B91="","",
IF(M91=$H$5,IFERROR(VLOOKUP(B91,'Baremos actuales'!A:E,5,FALSE),"No encontrado. Revisar código, fecha ejecución y/o contrato."),
IF(M91=$H$4,IFERROR(VLOOKUP(B91,'Baremos anteriores'!A:E,5,FALSE),"No encontrado. Revisar código, fecha ejecución y/o contrato."),
IF(M91=$H$3,IFERROR(VLOOKUP(B91,#REF!,5,FALSE),"No encontrado. Revisar código, fecha ejecución y/o contrato."),
IF(D91="","Código no encontrado",
IF(D91="ERROR","No encontrado. Revisar Código, fecha de ejecución y/o contrato.",
IF(D91="MATE",
IF(C90="DESCRIPCION","NO SE PUEDE COMENZAR SIN CÓDIGO DE TAREA",
IF(C90="","FALTA CÓDIGO DE TAREA",
CONCATENATE("          ",VLOOKUP(B91,'Maestro Materiales'!A:C,3,FALSE)))),IFERROR(VLOOKUP(B91,#REF!,5,FALSE),"No encontrado. Revisar código, fecha ejecución y/o contrato."))))))))</f>
        <v/>
      </c>
      <c r="D91" s="88" t="str">
        <f>IF(B91="","",
IFERROR(VLOOKUP(B91,'Maestro Materiales'!A:C,2,FALSE),
IFERROR(VLOOKUP(B91,'Baremos actuales'!A:B,2,FALSE),
IFERROR(VLOOKUP(B91,'Baremos anteriores'!A:B,2,FALSE),
""))))</f>
        <v/>
      </c>
      <c r="E91" s="9"/>
      <c r="F91" s="89" t="str">
        <f>IF(D91="MATE",
IF(E91="","¿Unidades?",""),
IF(D91="",IF(E91="","","¿Código?"),
IF(E91="","¿Unidades?",
IF(D91="TARE",
IF(M91=$H$3,IFERROR(VLOOKUP(B91,'Baremos actuales'!A:C,3,FALSE),0),
IF(M91=$H$4,IFERROR(VLOOKUP(B91,'Baremos anteriores'!A:C,3,FALSE),0),0))))))</f>
        <v/>
      </c>
      <c r="G91" s="7"/>
      <c r="H91" s="8"/>
      <c r="I91" s="8"/>
      <c r="J91" s="78" t="str">
        <f>IF($D91="","",
IF($E91="","",
IF($D91="MATE","",
IF(VLOOKUP($B91,'Baremos actuales'!A:D,4,FALSE)=J$9,$E91*$F91,IF(VLOOKUP($B91,'Baremos anteriores'!A:D,4,FALSE)="Sin Definir",$E91*$F91,"")))))</f>
        <v/>
      </c>
      <c r="K91" s="79" t="str">
        <f>IF($D91="","",
IF($E91="","",
IF($D91="MATE","",
IF(VLOOKUP($B91,'Baremos actuales'!$A:$D,4,FALSE)=K$9,$E91*$F91,IF(VLOOKUP($B91,'Baremos anteriores'!$A:$D,4,FALSE)="Desmonte",$E91*$F91,"")))))</f>
        <v/>
      </c>
      <c r="L91" s="80" t="str">
        <f>IF($D91="","",
IF($E91="","",
IF($D91="MATE","",
IF(VLOOKUP($B91,'Baremos actuales'!$A:$D,4,FALSE)=L$9,$E91*$F91,""))))</f>
        <v/>
      </c>
      <c r="M91" s="91" t="str">
        <f t="shared" si="1"/>
        <v/>
      </c>
      <c r="N91" s="96"/>
      <c r="O91" s="95"/>
      <c r="P91" s="96"/>
      <c r="Q91" s="98"/>
    </row>
    <row r="92" spans="1:17" ht="15.75" x14ac:dyDescent="0.2">
      <c r="A92" s="17"/>
      <c r="B92" s="18"/>
      <c r="C92" s="87" t="str">
        <f>IF(B92="","",
IF(M92=$H$5,IFERROR(VLOOKUP(B92,'Baremos actuales'!A:E,5,FALSE),"No encontrado. Revisar código, fecha ejecución y/o contrato."),
IF(M92=$H$4,IFERROR(VLOOKUP(B92,'Baremos anteriores'!A:E,5,FALSE),"No encontrado. Revisar código, fecha ejecución y/o contrato."),
IF(M92=$H$3,IFERROR(VLOOKUP(B92,#REF!,5,FALSE),"No encontrado. Revisar código, fecha ejecución y/o contrato."),
IF(D92="","Código no encontrado",
IF(D92="ERROR","No encontrado. Revisar Código, fecha de ejecución y/o contrato.",
IF(D92="MATE",
IF(C91="DESCRIPCION","NO SE PUEDE COMENZAR SIN CÓDIGO DE TAREA",
IF(C91="","FALTA CÓDIGO DE TAREA",
CONCATENATE("          ",VLOOKUP(B92,'Maestro Materiales'!A:C,3,FALSE)))),IFERROR(VLOOKUP(B92,#REF!,5,FALSE),"No encontrado. Revisar código, fecha ejecución y/o contrato."))))))))</f>
        <v/>
      </c>
      <c r="D92" s="88" t="str">
        <f>IF(B92="","",
IFERROR(VLOOKUP(B92,'Maestro Materiales'!A:C,2,FALSE),
IFERROR(VLOOKUP(B92,'Baremos actuales'!A:B,2,FALSE),
IFERROR(VLOOKUP(B92,'Baremos anteriores'!A:B,2,FALSE),
""))))</f>
        <v/>
      </c>
      <c r="E92" s="9"/>
      <c r="F92" s="89" t="str">
        <f>IF(D92="MATE",
IF(E92="","¿Unidades?",""),
IF(D92="",IF(E92="","","¿Código?"),
IF(E92="","¿Unidades?",
IF(D92="TARE",
IF(M92=$H$3,IFERROR(VLOOKUP(B92,'Baremos actuales'!A:C,3,FALSE),0),
IF(M92=$H$4,IFERROR(VLOOKUP(B92,'Baremos anteriores'!A:C,3,FALSE),0),0))))))</f>
        <v/>
      </c>
      <c r="G92" s="7"/>
      <c r="H92" s="8"/>
      <c r="I92" s="8"/>
      <c r="J92" s="78" t="str">
        <f>IF($D92="","",
IF($E92="","",
IF($D92="MATE","",
IF(VLOOKUP($B92,'Baremos actuales'!A:D,4,FALSE)=J$9,$E92*$F92,IF(VLOOKUP($B92,'Baremos anteriores'!A:D,4,FALSE)="Sin Definir",$E92*$F92,"")))))</f>
        <v/>
      </c>
      <c r="K92" s="79" t="str">
        <f>IF($D92="","",
IF($E92="","",
IF($D92="MATE","",
IF(VLOOKUP($B92,'Baremos actuales'!$A:$D,4,FALSE)=K$9,$E92*$F92,IF(VLOOKUP($B92,'Baremos anteriores'!$A:$D,4,FALSE)="Desmonte",$E92*$F92,"")))))</f>
        <v/>
      </c>
      <c r="L92" s="80" t="str">
        <f>IF($D92="","",
IF($E92="","",
IF($D92="MATE","",
IF(VLOOKUP($B92,'Baremos actuales'!$A:$D,4,FALSE)=L$9,$E92*$F92,""))))</f>
        <v/>
      </c>
      <c r="M92" s="91" t="str">
        <f t="shared" si="1"/>
        <v/>
      </c>
      <c r="N92" s="96"/>
      <c r="O92" s="95"/>
      <c r="P92" s="96"/>
      <c r="Q92" s="98"/>
    </row>
    <row r="93" spans="1:17" ht="15.75" x14ac:dyDescent="0.2">
      <c r="A93" s="17"/>
      <c r="B93" s="18"/>
      <c r="C93" s="87" t="str">
        <f>IF(B93="","",
IF(M93=$H$5,IFERROR(VLOOKUP(B93,'Baremos actuales'!A:E,5,FALSE),"No encontrado. Revisar código, fecha ejecución y/o contrato."),
IF(M93=$H$4,IFERROR(VLOOKUP(B93,'Baremos anteriores'!A:E,5,FALSE),"No encontrado. Revisar código, fecha ejecución y/o contrato."),
IF(M93=$H$3,IFERROR(VLOOKUP(B93,#REF!,5,FALSE),"No encontrado. Revisar código, fecha ejecución y/o contrato."),
IF(D93="","Código no encontrado",
IF(D93="ERROR","No encontrado. Revisar Código, fecha de ejecución y/o contrato.",
IF(D93="MATE",
IF(C92="DESCRIPCION","NO SE PUEDE COMENZAR SIN CÓDIGO DE TAREA",
IF(C92="","FALTA CÓDIGO DE TAREA",
CONCATENATE("          ",VLOOKUP(B93,'Maestro Materiales'!A:C,3,FALSE)))),IFERROR(VLOOKUP(B93,#REF!,5,FALSE),"No encontrado. Revisar código, fecha ejecución y/o contrato."))))))))</f>
        <v/>
      </c>
      <c r="D93" s="88" t="str">
        <f>IF(B93="","",
IFERROR(VLOOKUP(B93,'Maestro Materiales'!A:C,2,FALSE),
IFERROR(VLOOKUP(B93,'Baremos actuales'!A:B,2,FALSE),
IFERROR(VLOOKUP(B93,'Baremos anteriores'!A:B,2,FALSE),
""))))</f>
        <v/>
      </c>
      <c r="E93" s="9"/>
      <c r="F93" s="89" t="str">
        <f>IF(D93="MATE",
IF(E93="","¿Unidades?",""),
IF(D93="",IF(E93="","","¿Código?"),
IF(E93="","¿Unidades?",
IF(D93="TARE",
IF(M93=$H$3,IFERROR(VLOOKUP(B93,'Baremos actuales'!A:C,3,FALSE),0),
IF(M93=$H$4,IFERROR(VLOOKUP(B93,'Baremos anteriores'!A:C,3,FALSE),0),0))))))</f>
        <v/>
      </c>
      <c r="G93" s="7"/>
      <c r="H93" s="8"/>
      <c r="I93" s="8"/>
      <c r="J93" s="78" t="str">
        <f>IF($D93="","",
IF($E93="","",
IF($D93="MATE","",
IF(VLOOKUP($B93,'Baremos actuales'!A:D,4,FALSE)=J$9,$E93*$F93,IF(VLOOKUP($B93,'Baremos anteriores'!A:D,4,FALSE)="Sin Definir",$E93*$F93,"")))))</f>
        <v/>
      </c>
      <c r="K93" s="79" t="str">
        <f>IF($D93="","",
IF($E93="","",
IF($D93="MATE","",
IF(VLOOKUP($B93,'Baremos actuales'!$A:$D,4,FALSE)=K$9,$E93*$F93,IF(VLOOKUP($B93,'Baremos anteriores'!$A:$D,4,FALSE)="Desmonte",$E93*$F93,"")))))</f>
        <v/>
      </c>
      <c r="L93" s="80" t="str">
        <f>IF($D93="","",
IF($E93="","",
IF($D93="MATE","",
IF(VLOOKUP($B93,'Baremos actuales'!$A:$D,4,FALSE)=L$9,$E93*$F93,""))))</f>
        <v/>
      </c>
      <c r="M93" s="91" t="str">
        <f t="shared" si="1"/>
        <v/>
      </c>
      <c r="N93" s="96"/>
      <c r="O93" s="95"/>
      <c r="P93" s="96"/>
      <c r="Q93" s="98"/>
    </row>
    <row r="94" spans="1:17" ht="15.75" x14ac:dyDescent="0.2">
      <c r="A94" s="17"/>
      <c r="B94" s="18"/>
      <c r="C94" s="87" t="str">
        <f>IF(B94="","",
IF(M94=$H$5,IFERROR(VLOOKUP(B94,'Baremos actuales'!A:E,5,FALSE),"No encontrado. Revisar código, fecha ejecución y/o contrato."),
IF(M94=$H$4,IFERROR(VLOOKUP(B94,'Baremos anteriores'!A:E,5,FALSE),"No encontrado. Revisar código, fecha ejecución y/o contrato."),
IF(M94=$H$3,IFERROR(VLOOKUP(B94,#REF!,5,FALSE),"No encontrado. Revisar código, fecha ejecución y/o contrato."),
IF(D94="","Código no encontrado",
IF(D94="ERROR","No encontrado. Revisar Código, fecha de ejecución y/o contrato.",
IF(D94="MATE",
IF(C93="DESCRIPCION","NO SE PUEDE COMENZAR SIN CÓDIGO DE TAREA",
IF(C93="","FALTA CÓDIGO DE TAREA",
CONCATENATE("          ",VLOOKUP(B94,'Maestro Materiales'!A:C,3,FALSE)))),IFERROR(VLOOKUP(B94,#REF!,5,FALSE),"No encontrado. Revisar código, fecha ejecución y/o contrato."))))))))</f>
        <v/>
      </c>
      <c r="D94" s="88" t="str">
        <f>IF(B94="","",
IFERROR(VLOOKUP(B94,'Maestro Materiales'!A:C,2,FALSE),
IFERROR(VLOOKUP(B94,'Baremos actuales'!A:B,2,FALSE),
IFERROR(VLOOKUP(B94,'Baremos anteriores'!A:B,2,FALSE),
""))))</f>
        <v/>
      </c>
      <c r="E94" s="9"/>
      <c r="F94" s="89" t="str">
        <f>IF(D94="MATE",
IF(E94="","¿Unidades?",""),
IF(D94="",IF(E94="","","¿Código?"),
IF(E94="","¿Unidades?",
IF(D94="TARE",
IF(M94=$H$3,IFERROR(VLOOKUP(B94,'Baremos actuales'!A:C,3,FALSE),0),
IF(M94=$H$4,IFERROR(VLOOKUP(B94,'Baremos anteriores'!A:C,3,FALSE),0),0))))))</f>
        <v/>
      </c>
      <c r="G94" s="7"/>
      <c r="H94" s="8"/>
      <c r="I94" s="8"/>
      <c r="J94" s="78" t="str">
        <f>IF($D94="","",
IF($E94="","",
IF($D94="MATE","",
IF(VLOOKUP($B94,'Baremos actuales'!A:D,4,FALSE)=J$9,$E94*$F94,IF(VLOOKUP($B94,'Baremos anteriores'!A:D,4,FALSE)="Sin Definir",$E94*$F94,"")))))</f>
        <v/>
      </c>
      <c r="K94" s="79" t="str">
        <f>IF($D94="","",
IF($E94="","",
IF($D94="MATE","",
IF(VLOOKUP($B94,'Baremos actuales'!$A:$D,4,FALSE)=K$9,$E94*$F94,IF(VLOOKUP($B94,'Baremos anteriores'!$A:$D,4,FALSE)="Desmonte",$E94*$F94,"")))))</f>
        <v/>
      </c>
      <c r="L94" s="80" t="str">
        <f>IF($D94="","",
IF($E94="","",
IF($D94="MATE","",
IF(VLOOKUP($B94,'Baremos actuales'!$A:$D,4,FALSE)=L$9,$E94*$F94,""))))</f>
        <v/>
      </c>
      <c r="M94" s="91" t="str">
        <f t="shared" si="1"/>
        <v/>
      </c>
      <c r="N94" s="96"/>
      <c r="O94" s="95"/>
      <c r="P94" s="96"/>
      <c r="Q94" s="98"/>
    </row>
    <row r="95" spans="1:17" ht="15.75" x14ac:dyDescent="0.2">
      <c r="A95" s="17"/>
      <c r="B95" s="18"/>
      <c r="C95" s="87" t="str">
        <f>IF(B95="","",
IF(M95=$H$5,IFERROR(VLOOKUP(B95,'Baremos actuales'!A:E,5,FALSE),"No encontrado. Revisar código, fecha ejecución y/o contrato."),
IF(M95=$H$4,IFERROR(VLOOKUP(B95,'Baremos anteriores'!A:E,5,FALSE),"No encontrado. Revisar código, fecha ejecución y/o contrato."),
IF(M95=$H$3,IFERROR(VLOOKUP(B95,#REF!,5,FALSE),"No encontrado. Revisar código, fecha ejecución y/o contrato."),
IF(D95="","Código no encontrado",
IF(D95="ERROR","No encontrado. Revisar Código, fecha de ejecución y/o contrato.",
IF(D95="MATE",
IF(C94="DESCRIPCION","NO SE PUEDE COMENZAR SIN CÓDIGO DE TAREA",
IF(C94="","FALTA CÓDIGO DE TAREA",
CONCATENATE("          ",VLOOKUP(B95,'Maestro Materiales'!A:C,3,FALSE)))),IFERROR(VLOOKUP(B95,#REF!,5,FALSE),"No encontrado. Revisar código, fecha ejecución y/o contrato."))))))))</f>
        <v/>
      </c>
      <c r="D95" s="88" t="str">
        <f>IF(B95="","",
IFERROR(VLOOKUP(B95,'Maestro Materiales'!A:C,2,FALSE),
IFERROR(VLOOKUP(B95,'Baremos actuales'!A:B,2,FALSE),
IFERROR(VLOOKUP(B95,'Baremos anteriores'!A:B,2,FALSE),
""))))</f>
        <v/>
      </c>
      <c r="E95" s="9"/>
      <c r="F95" s="89" t="str">
        <f>IF(D95="MATE",
IF(E95="","¿Unidades?",""),
IF(D95="",IF(E95="","","¿Código?"),
IF(E95="","¿Unidades?",
IF(D95="TARE",
IF(M95=$H$3,IFERROR(VLOOKUP(B95,'Baremos actuales'!A:C,3,FALSE),0),
IF(M95=$H$4,IFERROR(VLOOKUP(B95,'Baremos anteriores'!A:C,3,FALSE),0),0))))))</f>
        <v/>
      </c>
      <c r="G95" s="7"/>
      <c r="H95" s="8"/>
      <c r="I95" s="8"/>
      <c r="J95" s="78" t="str">
        <f>IF($D95="","",
IF($E95="","",
IF($D95="MATE","",
IF(VLOOKUP($B95,'Baremos actuales'!A:D,4,FALSE)=J$9,$E95*$F95,IF(VLOOKUP($B95,'Baremos anteriores'!A:D,4,FALSE)="Sin Definir",$E95*$F95,"")))))</f>
        <v/>
      </c>
      <c r="K95" s="79" t="str">
        <f>IF($D95="","",
IF($E95="","",
IF($D95="MATE","",
IF(VLOOKUP($B95,'Baremos actuales'!$A:$D,4,FALSE)=K$9,$E95*$F95,IF(VLOOKUP($B95,'Baremos anteriores'!$A:$D,4,FALSE)="Desmonte",$E95*$F95,"")))))</f>
        <v/>
      </c>
      <c r="L95" s="80" t="str">
        <f>IF($D95="","",
IF($E95="","",
IF($D95="MATE","",
IF(VLOOKUP($B95,'Baremos actuales'!$A:$D,4,FALSE)=L$9,$E95*$F95,""))))</f>
        <v/>
      </c>
      <c r="M95" s="91" t="str">
        <f t="shared" si="1"/>
        <v/>
      </c>
      <c r="N95" s="96"/>
      <c r="O95" s="95"/>
      <c r="P95" s="96"/>
      <c r="Q95" s="98"/>
    </row>
    <row r="96" spans="1:17" ht="15.75" x14ac:dyDescent="0.2">
      <c r="A96" s="17"/>
      <c r="B96" s="18"/>
      <c r="C96" s="87" t="str">
        <f>IF(B96="","",
IF(M96=$H$5,IFERROR(VLOOKUP(B96,'Baremos actuales'!A:E,5,FALSE),"No encontrado. Revisar código, fecha ejecución y/o contrato."),
IF(M96=$H$4,IFERROR(VLOOKUP(B96,'Baremos anteriores'!A:E,5,FALSE),"No encontrado. Revisar código, fecha ejecución y/o contrato."),
IF(M96=$H$3,IFERROR(VLOOKUP(B96,#REF!,5,FALSE),"No encontrado. Revisar código, fecha ejecución y/o contrato."),
IF(D96="","Código no encontrado",
IF(D96="ERROR","No encontrado. Revisar Código, fecha de ejecución y/o contrato.",
IF(D96="MATE",
IF(C95="DESCRIPCION","NO SE PUEDE COMENZAR SIN CÓDIGO DE TAREA",
IF(C95="","FALTA CÓDIGO DE TAREA",
CONCATENATE("          ",VLOOKUP(B96,'Maestro Materiales'!A:C,3,FALSE)))),IFERROR(VLOOKUP(B96,#REF!,5,FALSE),"No encontrado. Revisar código, fecha ejecución y/o contrato."))))))))</f>
        <v/>
      </c>
      <c r="D96" s="88" t="str">
        <f>IF(B96="","",
IFERROR(VLOOKUP(B96,'Maestro Materiales'!A:C,2,FALSE),
IFERROR(VLOOKUP(B96,'Baremos actuales'!A:B,2,FALSE),
IFERROR(VLOOKUP(B96,'Baremos anteriores'!A:B,2,FALSE),
""))))</f>
        <v/>
      </c>
      <c r="E96" s="9"/>
      <c r="F96" s="89" t="str">
        <f>IF(D96="MATE",
IF(E96="","¿Unidades?",""),
IF(D96="",IF(E96="","","¿Código?"),
IF(E96="","¿Unidades?",
IF(D96="TARE",
IF(M96=$H$3,IFERROR(VLOOKUP(B96,'Baremos actuales'!A:C,3,FALSE),0),
IF(M96=$H$4,IFERROR(VLOOKUP(B96,'Baremos anteriores'!A:C,3,FALSE),0),0))))))</f>
        <v/>
      </c>
      <c r="G96" s="7"/>
      <c r="H96" s="8"/>
      <c r="I96" s="8"/>
      <c r="J96" s="78" t="str">
        <f>IF($D96="","",
IF($E96="","",
IF($D96="MATE","",
IF(VLOOKUP($B96,'Baremos actuales'!A:D,4,FALSE)=J$9,$E96*$F96,IF(VLOOKUP($B96,'Baremos anteriores'!A:D,4,FALSE)="Sin Definir",$E96*$F96,"")))))</f>
        <v/>
      </c>
      <c r="K96" s="79" t="str">
        <f>IF($D96="","",
IF($E96="","",
IF($D96="MATE","",
IF(VLOOKUP($B96,'Baremos actuales'!$A:$D,4,FALSE)=K$9,$E96*$F96,IF(VLOOKUP($B96,'Baremos anteriores'!$A:$D,4,FALSE)="Desmonte",$E96*$F96,"")))))</f>
        <v/>
      </c>
      <c r="L96" s="80" t="str">
        <f>IF($D96="","",
IF($E96="","",
IF($D96="MATE","",
IF(VLOOKUP($B96,'Baremos actuales'!$A:$D,4,FALSE)=L$9,$E96*$F96,""))))</f>
        <v/>
      </c>
      <c r="M96" s="91" t="str">
        <f t="shared" si="1"/>
        <v/>
      </c>
      <c r="N96" s="96"/>
      <c r="O96" s="95"/>
      <c r="P96" s="96"/>
      <c r="Q96" s="98"/>
    </row>
    <row r="97" spans="1:17" ht="15.75" x14ac:dyDescent="0.2">
      <c r="A97" s="17"/>
      <c r="B97" s="18"/>
      <c r="C97" s="87" t="str">
        <f>IF(B97="","",
IF(M97=$H$5,IFERROR(VLOOKUP(B97,'Baremos actuales'!A:E,5,FALSE),"No encontrado. Revisar código, fecha ejecución y/o contrato."),
IF(M97=$H$4,IFERROR(VLOOKUP(B97,'Baremos anteriores'!A:E,5,FALSE),"No encontrado. Revisar código, fecha ejecución y/o contrato."),
IF(M97=$H$3,IFERROR(VLOOKUP(B97,#REF!,5,FALSE),"No encontrado. Revisar código, fecha ejecución y/o contrato."),
IF(D97="","Código no encontrado",
IF(D97="ERROR","No encontrado. Revisar Código, fecha de ejecución y/o contrato.",
IF(D97="MATE",
IF(C96="DESCRIPCION","NO SE PUEDE COMENZAR SIN CÓDIGO DE TAREA",
IF(C96="","FALTA CÓDIGO DE TAREA",
CONCATENATE("          ",VLOOKUP(B97,'Maestro Materiales'!A:C,3,FALSE)))),IFERROR(VLOOKUP(B97,#REF!,5,FALSE),"No encontrado. Revisar código, fecha ejecución y/o contrato."))))))))</f>
        <v/>
      </c>
      <c r="D97" s="88" t="str">
        <f>IF(B97="","",
IFERROR(VLOOKUP(B97,'Maestro Materiales'!A:C,2,FALSE),
IFERROR(VLOOKUP(B97,'Baremos actuales'!A:B,2,FALSE),
IFERROR(VLOOKUP(B97,'Baremos anteriores'!A:B,2,FALSE),
""))))</f>
        <v/>
      </c>
      <c r="E97" s="9"/>
      <c r="F97" s="89" t="str">
        <f>IF(D97="MATE",
IF(E97="","¿Unidades?",""),
IF(D97="",IF(E97="","","¿Código?"),
IF(E97="","¿Unidades?",
IF(D97="TARE",
IF(M97=$H$3,IFERROR(VLOOKUP(B97,'Baremos actuales'!A:C,3,FALSE),0),
IF(M97=$H$4,IFERROR(VLOOKUP(B97,'Baremos anteriores'!A:C,3,FALSE),0),0))))))</f>
        <v/>
      </c>
      <c r="G97" s="7"/>
      <c r="H97" s="8"/>
      <c r="I97" s="8"/>
      <c r="J97" s="78" t="str">
        <f>IF($D97="","",
IF($E97="","",
IF($D97="MATE","",
IF(VLOOKUP($B97,'Baremos actuales'!A:D,4,FALSE)=J$9,$E97*$F97,IF(VLOOKUP($B97,'Baremos anteriores'!A:D,4,FALSE)="Sin Definir",$E97*$F97,"")))))</f>
        <v/>
      </c>
      <c r="K97" s="79" t="str">
        <f>IF($D97="","",
IF($E97="","",
IF($D97="MATE","",
IF(VLOOKUP($B97,'Baremos actuales'!$A:$D,4,FALSE)=K$9,$E97*$F97,IF(VLOOKUP($B97,'Baremos anteriores'!$A:$D,4,FALSE)="Desmonte",$E97*$F97,"")))))</f>
        <v/>
      </c>
      <c r="L97" s="80" t="str">
        <f>IF($D97="","",
IF($E97="","",
IF($D97="MATE","",
IF(VLOOKUP($B97,'Baremos actuales'!$A:$D,4,FALSE)=L$9,$E97*$F97,""))))</f>
        <v/>
      </c>
      <c r="M97" s="91" t="str">
        <f t="shared" si="1"/>
        <v/>
      </c>
      <c r="N97" s="96"/>
      <c r="O97" s="95"/>
      <c r="P97" s="96"/>
      <c r="Q97" s="98"/>
    </row>
    <row r="98" spans="1:17" ht="15.75" x14ac:dyDescent="0.2">
      <c r="A98" s="17"/>
      <c r="B98" s="18"/>
      <c r="C98" s="87" t="str">
        <f>IF(B98="","",
IF(M98=$H$5,IFERROR(VLOOKUP(B98,'Baremos actuales'!A:E,5,FALSE),"No encontrado. Revisar código, fecha ejecución y/o contrato."),
IF(M98=$H$4,IFERROR(VLOOKUP(B98,'Baremos anteriores'!A:E,5,FALSE),"No encontrado. Revisar código, fecha ejecución y/o contrato."),
IF(M98=$H$3,IFERROR(VLOOKUP(B98,#REF!,5,FALSE),"No encontrado. Revisar código, fecha ejecución y/o contrato."),
IF(D98="","Código no encontrado",
IF(D98="ERROR","No encontrado. Revisar Código, fecha de ejecución y/o contrato.",
IF(D98="MATE",
IF(C97="DESCRIPCION","NO SE PUEDE COMENZAR SIN CÓDIGO DE TAREA",
IF(C97="","FALTA CÓDIGO DE TAREA",
CONCATENATE("          ",VLOOKUP(B98,'Maestro Materiales'!A:C,3,FALSE)))),IFERROR(VLOOKUP(B98,#REF!,5,FALSE),"No encontrado. Revisar código, fecha ejecución y/o contrato."))))))))</f>
        <v/>
      </c>
      <c r="D98" s="88" t="str">
        <f>IF(B98="","",
IFERROR(VLOOKUP(B98,'Maestro Materiales'!A:C,2,FALSE),
IFERROR(VLOOKUP(B98,'Baremos actuales'!A:B,2,FALSE),
IFERROR(VLOOKUP(B98,'Baremos anteriores'!A:B,2,FALSE),
""))))</f>
        <v/>
      </c>
      <c r="E98" s="9"/>
      <c r="F98" s="89" t="str">
        <f>IF(D98="MATE",
IF(E98="","¿Unidades?",""),
IF(D98="",IF(E98="","","¿Código?"),
IF(E98="","¿Unidades?",
IF(D98="TARE",
IF(M98=$H$3,IFERROR(VLOOKUP(B98,'Baremos actuales'!A:C,3,FALSE),0),
IF(M98=$H$4,IFERROR(VLOOKUP(B98,'Baremos anteriores'!A:C,3,FALSE),0),0))))))</f>
        <v/>
      </c>
      <c r="G98" s="7"/>
      <c r="H98" s="8"/>
      <c r="I98" s="8"/>
      <c r="J98" s="78" t="str">
        <f>IF($D98="","",
IF($E98="","",
IF($D98="MATE","",
IF(VLOOKUP($B98,'Baremos actuales'!A:D,4,FALSE)=J$9,$E98*$F98,IF(VLOOKUP($B98,'Baremos anteriores'!A:D,4,FALSE)="Sin Definir",$E98*$F98,"")))))</f>
        <v/>
      </c>
      <c r="K98" s="79" t="str">
        <f>IF($D98="","",
IF($E98="","",
IF($D98="MATE","",
IF(VLOOKUP($B98,'Baremos actuales'!$A:$D,4,FALSE)=K$9,$E98*$F98,IF(VLOOKUP($B98,'Baremos anteriores'!$A:$D,4,FALSE)="Desmonte",$E98*$F98,"")))))</f>
        <v/>
      </c>
      <c r="L98" s="80" t="str">
        <f>IF($D98="","",
IF($E98="","",
IF($D98="MATE","",
IF(VLOOKUP($B98,'Baremos actuales'!$A:$D,4,FALSE)=L$9,$E98*$F98,""))))</f>
        <v/>
      </c>
      <c r="M98" s="91" t="str">
        <f t="shared" si="1"/>
        <v/>
      </c>
      <c r="N98" s="96"/>
      <c r="O98" s="95"/>
      <c r="P98" s="96"/>
      <c r="Q98" s="98"/>
    </row>
    <row r="99" spans="1:17" ht="15.75" x14ac:dyDescent="0.2">
      <c r="A99" s="17"/>
      <c r="B99" s="18"/>
      <c r="C99" s="87" t="str">
        <f>IF(B99="","",
IF(M99=$H$5,IFERROR(VLOOKUP(B99,'Baremos actuales'!A:E,5,FALSE),"No encontrado. Revisar código, fecha ejecución y/o contrato."),
IF(M99=$H$4,IFERROR(VLOOKUP(B99,'Baremos anteriores'!A:E,5,FALSE),"No encontrado. Revisar código, fecha ejecución y/o contrato."),
IF(M99=$H$3,IFERROR(VLOOKUP(B99,#REF!,5,FALSE),"No encontrado. Revisar código, fecha ejecución y/o contrato."),
IF(D99="","Código no encontrado",
IF(D99="ERROR","No encontrado. Revisar Código, fecha de ejecución y/o contrato.",
IF(D99="MATE",
IF(C98="DESCRIPCION","NO SE PUEDE COMENZAR SIN CÓDIGO DE TAREA",
IF(C98="","FALTA CÓDIGO DE TAREA",
CONCATENATE("          ",VLOOKUP(B99,'Maestro Materiales'!A:C,3,FALSE)))),IFERROR(VLOOKUP(B99,#REF!,5,FALSE),"No encontrado. Revisar código, fecha ejecución y/o contrato."))))))))</f>
        <v/>
      </c>
      <c r="D99" s="88" t="str">
        <f>IF(B99="","",
IFERROR(VLOOKUP(B99,'Maestro Materiales'!A:C,2,FALSE),
IFERROR(VLOOKUP(B99,'Baremos actuales'!A:B,2,FALSE),
IFERROR(VLOOKUP(B99,'Baremos anteriores'!A:B,2,FALSE),
""))))</f>
        <v/>
      </c>
      <c r="E99" s="9"/>
      <c r="F99" s="89" t="str">
        <f>IF(D99="MATE",
IF(E99="","¿Unidades?",""),
IF(D99="",IF(E99="","","¿Código?"),
IF(E99="","¿Unidades?",
IF(D99="TARE",
IF(M99=$H$3,IFERROR(VLOOKUP(B99,'Baremos actuales'!A:C,3,FALSE),0),
IF(M99=$H$4,IFERROR(VLOOKUP(B99,'Baremos anteriores'!A:C,3,FALSE),0),0))))))</f>
        <v/>
      </c>
      <c r="G99" s="7"/>
      <c r="H99" s="8"/>
      <c r="I99" s="8"/>
      <c r="J99" s="78" t="str">
        <f>IF($D99="","",
IF($E99="","",
IF($D99="MATE","",
IF(VLOOKUP($B99,'Baremos actuales'!A:D,4,FALSE)=J$9,$E99*$F99,IF(VLOOKUP($B99,'Baremos anteriores'!A:D,4,FALSE)="Sin Definir",$E99*$F99,"")))))</f>
        <v/>
      </c>
      <c r="K99" s="79" t="str">
        <f>IF($D99="","",
IF($E99="","",
IF($D99="MATE","",
IF(VLOOKUP($B99,'Baremos actuales'!$A:$D,4,FALSE)=K$9,$E99*$F99,IF(VLOOKUP($B99,'Baremos anteriores'!$A:$D,4,FALSE)="Desmonte",$E99*$F99,"")))))</f>
        <v/>
      </c>
      <c r="L99" s="80" t="str">
        <f>IF($D99="","",
IF($E99="","",
IF($D99="MATE","",
IF(VLOOKUP($B99,'Baremos actuales'!$A:$D,4,FALSE)=L$9,$E99*$F99,""))))</f>
        <v/>
      </c>
      <c r="M99" s="91" t="str">
        <f t="shared" si="1"/>
        <v/>
      </c>
      <c r="N99" s="96"/>
      <c r="O99" s="95"/>
      <c r="P99" s="96"/>
      <c r="Q99" s="98"/>
    </row>
    <row r="100" spans="1:17" ht="15.75" x14ac:dyDescent="0.2">
      <c r="A100" s="17"/>
      <c r="B100" s="18"/>
      <c r="C100" s="87" t="str">
        <f>IF(B100="","",
IF(M100=$H$5,IFERROR(VLOOKUP(B100,'Baremos actuales'!A:E,5,FALSE),"No encontrado. Revisar código, fecha ejecución y/o contrato."),
IF(M100=$H$4,IFERROR(VLOOKUP(B100,'Baremos anteriores'!A:E,5,FALSE),"No encontrado. Revisar código, fecha ejecución y/o contrato."),
IF(M100=$H$3,IFERROR(VLOOKUP(B100,#REF!,5,FALSE),"No encontrado. Revisar código, fecha ejecución y/o contrato."),
IF(D100="","Código no encontrado",
IF(D100="ERROR","No encontrado. Revisar Código, fecha de ejecución y/o contrato.",
IF(D100="MATE",
IF(C99="DESCRIPCION","NO SE PUEDE COMENZAR SIN CÓDIGO DE TAREA",
IF(C99="","FALTA CÓDIGO DE TAREA",
CONCATENATE("          ",VLOOKUP(B100,'Maestro Materiales'!A:C,3,FALSE)))),IFERROR(VLOOKUP(B100,#REF!,5,FALSE),"No encontrado. Revisar código, fecha ejecución y/o contrato."))))))))</f>
        <v/>
      </c>
      <c r="D100" s="88" t="str">
        <f>IF(B100="","",
IFERROR(VLOOKUP(B100,'Maestro Materiales'!A:C,2,FALSE),
IFERROR(VLOOKUP(B100,'Baremos actuales'!A:B,2,FALSE),
IFERROR(VLOOKUP(B100,'Baremos anteriores'!A:B,2,FALSE),
""))))</f>
        <v/>
      </c>
      <c r="E100" s="9"/>
      <c r="F100" s="89" t="str">
        <f>IF(D100="MATE",
IF(E100="","¿Unidades?",""),
IF(D100="",IF(E100="","","¿Código?"),
IF(E100="","¿Unidades?",
IF(D100="TARE",
IF(M100=$H$3,IFERROR(VLOOKUP(B100,'Baremos actuales'!A:C,3,FALSE),0),
IF(M100=$H$4,IFERROR(VLOOKUP(B100,'Baremos anteriores'!A:C,3,FALSE),0),0))))))</f>
        <v/>
      </c>
      <c r="G100" s="7"/>
      <c r="H100" s="8"/>
      <c r="I100" s="8"/>
      <c r="J100" s="78" t="str">
        <f>IF($D100="","",
IF($E100="","",
IF($D100="MATE","",
IF(VLOOKUP($B100,'Baremos actuales'!A:D,4,FALSE)=J$9,$E100*$F100,IF(VLOOKUP($B100,'Baremos anteriores'!A:D,4,FALSE)="Sin Definir",$E100*$F100,"")))))</f>
        <v/>
      </c>
      <c r="K100" s="79" t="str">
        <f>IF($D100="","",
IF($E100="","",
IF($D100="MATE","",
IF(VLOOKUP($B100,'Baremos actuales'!$A:$D,4,FALSE)=K$9,$E100*$F100,IF(VLOOKUP($B100,'Baremos anteriores'!$A:$D,4,FALSE)="Desmonte",$E100*$F100,"")))))</f>
        <v/>
      </c>
      <c r="L100" s="80" t="str">
        <f>IF($D100="","",
IF($E100="","",
IF($D100="MATE","",
IF(VLOOKUP($B100,'Baremos actuales'!$A:$D,4,FALSE)=L$9,$E100*$F100,""))))</f>
        <v/>
      </c>
      <c r="M100" s="91" t="str">
        <f t="shared" si="1"/>
        <v/>
      </c>
      <c r="N100" s="96"/>
      <c r="O100" s="95"/>
      <c r="P100" s="96"/>
      <c r="Q100" s="98"/>
    </row>
    <row r="101" spans="1:17" ht="15.75" x14ac:dyDescent="0.2">
      <c r="A101" s="17"/>
      <c r="B101" s="18"/>
      <c r="C101" s="87" t="str">
        <f>IF(B101="","",
IF(M101=$H$5,IFERROR(VLOOKUP(B101,'Baremos actuales'!A:E,5,FALSE),"No encontrado. Revisar código, fecha ejecución y/o contrato."),
IF(M101=$H$4,IFERROR(VLOOKUP(B101,'Baremos anteriores'!A:E,5,FALSE),"No encontrado. Revisar código, fecha ejecución y/o contrato."),
IF(M101=$H$3,IFERROR(VLOOKUP(B101,#REF!,5,FALSE),"No encontrado. Revisar código, fecha ejecución y/o contrato."),
IF(D101="","Código no encontrado",
IF(D101="ERROR","No encontrado. Revisar Código, fecha de ejecución y/o contrato.",
IF(D101="MATE",
IF(C100="DESCRIPCION","NO SE PUEDE COMENZAR SIN CÓDIGO DE TAREA",
IF(C100="","FALTA CÓDIGO DE TAREA",
CONCATENATE("          ",VLOOKUP(B101,'Maestro Materiales'!A:C,3,FALSE)))),IFERROR(VLOOKUP(B101,#REF!,5,FALSE),"No encontrado. Revisar código, fecha ejecución y/o contrato."))))))))</f>
        <v/>
      </c>
      <c r="D101" s="88" t="str">
        <f>IF(B101="","",
IFERROR(VLOOKUP(B101,'Maestro Materiales'!A:C,2,FALSE),
IFERROR(VLOOKUP(B101,'Baremos actuales'!A:B,2,FALSE),
IFERROR(VLOOKUP(B101,'Baremos anteriores'!A:B,2,FALSE),
""))))</f>
        <v/>
      </c>
      <c r="E101" s="9"/>
      <c r="F101" s="89" t="str">
        <f>IF(D101="MATE",
IF(E101="","¿Unidades?",""),
IF(D101="",IF(E101="","","¿Código?"),
IF(E101="","¿Unidades?",
IF(D101="TARE",
IF(M101=$H$3,IFERROR(VLOOKUP(B101,'Baremos actuales'!A:C,3,FALSE),0),
IF(M101=$H$4,IFERROR(VLOOKUP(B101,'Baremos anteriores'!A:C,3,FALSE),0),0))))))</f>
        <v/>
      </c>
      <c r="G101" s="7"/>
      <c r="H101" s="8"/>
      <c r="I101" s="8"/>
      <c r="J101" s="78" t="str">
        <f>IF($D101="","",
IF($E101="","",
IF($D101="MATE","",
IF(VLOOKUP($B101,'Baremos actuales'!A:D,4,FALSE)=J$9,$E101*$F101,IF(VLOOKUP($B101,'Baremos anteriores'!A:D,4,FALSE)="Sin Definir",$E101*$F101,"")))))</f>
        <v/>
      </c>
      <c r="K101" s="79" t="str">
        <f>IF($D101="","",
IF($E101="","",
IF($D101="MATE","",
IF(VLOOKUP($B101,'Baremos actuales'!$A:$D,4,FALSE)=K$9,$E101*$F101,IF(VLOOKUP($B101,'Baremos anteriores'!$A:$D,4,FALSE)="Desmonte",$E101*$F101,"")))))</f>
        <v/>
      </c>
      <c r="L101" s="80" t="str">
        <f>IF($D101="","",
IF($E101="","",
IF($D101="MATE","",
IF(VLOOKUP($B101,'Baremos actuales'!$A:$D,4,FALSE)=L$9,$E101*$F101,""))))</f>
        <v/>
      </c>
      <c r="M101" s="91" t="str">
        <f t="shared" si="1"/>
        <v/>
      </c>
      <c r="N101" s="96"/>
      <c r="O101" s="95"/>
      <c r="P101" s="96"/>
      <c r="Q101" s="98"/>
    </row>
    <row r="102" spans="1:17" ht="15.75" x14ac:dyDescent="0.2">
      <c r="A102" s="17"/>
      <c r="B102" s="18"/>
      <c r="C102" s="87" t="str">
        <f>IF(B102="","",
IF(M102=$H$5,IFERROR(VLOOKUP(B102,'Baremos actuales'!A:E,5,FALSE),"No encontrado. Revisar código, fecha ejecución y/o contrato."),
IF(M102=$H$4,IFERROR(VLOOKUP(B102,'Baremos anteriores'!A:E,5,FALSE),"No encontrado. Revisar código, fecha ejecución y/o contrato."),
IF(M102=$H$3,IFERROR(VLOOKUP(B102,#REF!,5,FALSE),"No encontrado. Revisar código, fecha ejecución y/o contrato."),
IF(D102="","Código no encontrado",
IF(D102="ERROR","No encontrado. Revisar Código, fecha de ejecución y/o contrato.",
IF(D102="MATE",
IF(C101="DESCRIPCION","NO SE PUEDE COMENZAR SIN CÓDIGO DE TAREA",
IF(C101="","FALTA CÓDIGO DE TAREA",
CONCATENATE("          ",VLOOKUP(B102,'Maestro Materiales'!A:C,3,FALSE)))),IFERROR(VLOOKUP(B102,#REF!,5,FALSE),"No encontrado. Revisar código, fecha ejecución y/o contrato."))))))))</f>
        <v/>
      </c>
      <c r="D102" s="88" t="str">
        <f>IF(B102="","",
IFERROR(VLOOKUP(B102,'Maestro Materiales'!A:C,2,FALSE),
IFERROR(VLOOKUP(B102,'Baremos actuales'!A:B,2,FALSE),
IFERROR(VLOOKUP(B102,'Baremos anteriores'!A:B,2,FALSE),
""))))</f>
        <v/>
      </c>
      <c r="E102" s="9"/>
      <c r="F102" s="89" t="str">
        <f>IF(D102="MATE",
IF(E102="","¿Unidades?",""),
IF(D102="",IF(E102="","","¿Código?"),
IF(E102="","¿Unidades?",
IF(D102="TARE",
IF(M102=$H$3,IFERROR(VLOOKUP(B102,'Baremos actuales'!A:C,3,FALSE),0),
IF(M102=$H$4,IFERROR(VLOOKUP(B102,'Baremos anteriores'!A:C,3,FALSE),0),0))))))</f>
        <v/>
      </c>
      <c r="G102" s="7"/>
      <c r="H102" s="8"/>
      <c r="I102" s="8"/>
      <c r="J102" s="78" t="str">
        <f>IF($D102="","",
IF($E102="","",
IF($D102="MATE","",
IF(VLOOKUP($B102,'Baremos actuales'!A:D,4,FALSE)=J$9,$E102*$F102,IF(VLOOKUP($B102,'Baremos anteriores'!A:D,4,FALSE)="Sin Definir",$E102*$F102,"")))))</f>
        <v/>
      </c>
      <c r="K102" s="79" t="str">
        <f>IF($D102="","",
IF($E102="","",
IF($D102="MATE","",
IF(VLOOKUP($B102,'Baremos actuales'!$A:$D,4,FALSE)=K$9,$E102*$F102,IF(VLOOKUP($B102,'Baremos anteriores'!$A:$D,4,FALSE)="Desmonte",$E102*$F102,"")))))</f>
        <v/>
      </c>
      <c r="L102" s="80" t="str">
        <f>IF($D102="","",
IF($E102="","",
IF($D102="MATE","",
IF(VLOOKUP($B102,'Baremos actuales'!$A:$D,4,FALSE)=L$9,$E102*$F102,""))))</f>
        <v/>
      </c>
      <c r="M102" s="91" t="str">
        <f t="shared" si="1"/>
        <v/>
      </c>
      <c r="N102" s="96"/>
      <c r="O102" s="95"/>
      <c r="P102" s="96"/>
      <c r="Q102" s="98"/>
    </row>
    <row r="103" spans="1:17" ht="15.75" x14ac:dyDescent="0.2">
      <c r="A103" s="17"/>
      <c r="B103" s="18"/>
      <c r="C103" s="87" t="str">
        <f>IF(B103="","",
IF(M103=$H$5,IFERROR(VLOOKUP(B103,'Baremos actuales'!A:E,5,FALSE),"No encontrado. Revisar código, fecha ejecución y/o contrato."),
IF(M103=$H$4,IFERROR(VLOOKUP(B103,'Baremos anteriores'!A:E,5,FALSE),"No encontrado. Revisar código, fecha ejecución y/o contrato."),
IF(M103=$H$3,IFERROR(VLOOKUP(B103,#REF!,5,FALSE),"No encontrado. Revisar código, fecha ejecución y/o contrato."),
IF(D103="","Código no encontrado",
IF(D103="ERROR","No encontrado. Revisar Código, fecha de ejecución y/o contrato.",
IF(D103="MATE",
IF(C102="DESCRIPCION","NO SE PUEDE COMENZAR SIN CÓDIGO DE TAREA",
IF(C102="","FALTA CÓDIGO DE TAREA",
CONCATENATE("          ",VLOOKUP(B103,'Maestro Materiales'!A:C,3,FALSE)))),IFERROR(VLOOKUP(B103,#REF!,5,FALSE),"No encontrado. Revisar código, fecha ejecución y/o contrato."))))))))</f>
        <v/>
      </c>
      <c r="D103" s="88" t="str">
        <f>IF(B103="","",
IFERROR(VLOOKUP(B103,'Maestro Materiales'!A:C,2,FALSE),
IFERROR(VLOOKUP(B103,'Baremos actuales'!A:B,2,FALSE),
IFERROR(VLOOKUP(B103,'Baremos anteriores'!A:B,2,FALSE),
""))))</f>
        <v/>
      </c>
      <c r="E103" s="9"/>
      <c r="F103" s="89" t="str">
        <f>IF(D103="MATE",
IF(E103="","¿Unidades?",""),
IF(D103="",IF(E103="","","¿Código?"),
IF(E103="","¿Unidades?",
IF(D103="TARE",
IF(M103=$H$3,IFERROR(VLOOKUP(B103,'Baremos actuales'!A:C,3,FALSE),0),
IF(M103=$H$4,IFERROR(VLOOKUP(B103,'Baremos anteriores'!A:C,3,FALSE),0),0))))))</f>
        <v/>
      </c>
      <c r="G103" s="7"/>
      <c r="H103" s="8"/>
      <c r="I103" s="8"/>
      <c r="J103" s="78" t="str">
        <f>IF($D103="","",
IF($E103="","",
IF($D103="MATE","",
IF(VLOOKUP($B103,'Baremos actuales'!A:D,4,FALSE)=J$9,$E103*$F103,IF(VLOOKUP($B103,'Baremos anteriores'!A:D,4,FALSE)="Sin Definir",$E103*$F103,"")))))</f>
        <v/>
      </c>
      <c r="K103" s="79" t="str">
        <f>IF($D103="","",
IF($E103="","",
IF($D103="MATE","",
IF(VLOOKUP($B103,'Baremos actuales'!$A:$D,4,FALSE)=K$9,$E103*$F103,IF(VLOOKUP($B103,'Baremos anteriores'!$A:$D,4,FALSE)="Desmonte",$E103*$F103,"")))))</f>
        <v/>
      </c>
      <c r="L103" s="80" t="str">
        <f>IF($D103="","",
IF($E103="","",
IF($D103="MATE","",
IF(VLOOKUP($B103,'Baremos actuales'!$A:$D,4,FALSE)=L$9,$E103*$F103,""))))</f>
        <v/>
      </c>
      <c r="M103" s="91" t="str">
        <f t="shared" si="1"/>
        <v/>
      </c>
      <c r="N103" s="96"/>
      <c r="O103" s="95"/>
      <c r="P103" s="96"/>
      <c r="Q103" s="98"/>
    </row>
    <row r="104" spans="1:17" ht="15.75" x14ac:dyDescent="0.2">
      <c r="A104" s="17"/>
      <c r="B104" s="18"/>
      <c r="C104" s="87" t="str">
        <f>IF(B104="","",
IF(M104=$H$5,IFERROR(VLOOKUP(B104,'Baremos actuales'!A:E,5,FALSE),"No encontrado. Revisar código, fecha ejecución y/o contrato."),
IF(M104=$H$4,IFERROR(VLOOKUP(B104,'Baremos anteriores'!A:E,5,FALSE),"No encontrado. Revisar código, fecha ejecución y/o contrato."),
IF(M104=$H$3,IFERROR(VLOOKUP(B104,#REF!,5,FALSE),"No encontrado. Revisar código, fecha ejecución y/o contrato."),
IF(D104="","Código no encontrado",
IF(D104="ERROR","No encontrado. Revisar Código, fecha de ejecución y/o contrato.",
IF(D104="MATE",
IF(C103="DESCRIPCION","NO SE PUEDE COMENZAR SIN CÓDIGO DE TAREA",
IF(C103="","FALTA CÓDIGO DE TAREA",
CONCATENATE("          ",VLOOKUP(B104,'Maestro Materiales'!A:C,3,FALSE)))),IFERROR(VLOOKUP(B104,#REF!,5,FALSE),"No encontrado. Revisar código, fecha ejecución y/o contrato."))))))))</f>
        <v/>
      </c>
      <c r="D104" s="88" t="str">
        <f>IF(B104="","",
IFERROR(VLOOKUP(B104,'Maestro Materiales'!A:C,2,FALSE),
IFERROR(VLOOKUP(B104,'Baremos actuales'!A:B,2,FALSE),
IFERROR(VLOOKUP(B104,'Baremos anteriores'!A:B,2,FALSE),
""))))</f>
        <v/>
      </c>
      <c r="E104" s="9"/>
      <c r="F104" s="89" t="str">
        <f>IF(D104="MATE",
IF(E104="","¿Unidades?",""),
IF(D104="",IF(E104="","","¿Código?"),
IF(E104="","¿Unidades?",
IF(D104="TARE",
IF(M104=$H$3,IFERROR(VLOOKUP(B104,'Baremos actuales'!A:C,3,FALSE),0),
IF(M104=$H$4,IFERROR(VLOOKUP(B104,'Baremos anteriores'!A:C,3,FALSE),0),0))))))</f>
        <v/>
      </c>
      <c r="G104" s="7"/>
      <c r="H104" s="8"/>
      <c r="I104" s="8"/>
      <c r="J104" s="78" t="str">
        <f>IF($D104="","",
IF($E104="","",
IF($D104="MATE","",
IF(VLOOKUP($B104,'Baremos actuales'!A:D,4,FALSE)=J$9,$E104*$F104,IF(VLOOKUP($B104,'Baremos anteriores'!A:D,4,FALSE)="Sin Definir",$E104*$F104,"")))))</f>
        <v/>
      </c>
      <c r="K104" s="79" t="str">
        <f>IF($D104="","",
IF($E104="","",
IF($D104="MATE","",
IF(VLOOKUP($B104,'Baremos actuales'!$A:$D,4,FALSE)=K$9,$E104*$F104,IF(VLOOKUP($B104,'Baremos anteriores'!$A:$D,4,FALSE)="Desmonte",$E104*$F104,"")))))</f>
        <v/>
      </c>
      <c r="L104" s="80" t="str">
        <f>IF($D104="","",
IF($E104="","",
IF($D104="MATE","",
IF(VLOOKUP($B104,'Baremos actuales'!$A:$D,4,FALSE)=L$9,$E104*$F104,""))))</f>
        <v/>
      </c>
      <c r="M104" s="91" t="str">
        <f t="shared" si="1"/>
        <v/>
      </c>
      <c r="N104" s="96"/>
      <c r="O104" s="95"/>
      <c r="P104" s="96"/>
      <c r="Q104" s="98"/>
    </row>
    <row r="105" spans="1:17" ht="15.75" x14ac:dyDescent="0.2">
      <c r="A105" s="17"/>
      <c r="B105" s="18"/>
      <c r="C105" s="87" t="str">
        <f>IF(B105="","",
IF(M105=$H$5,IFERROR(VLOOKUP(B105,'Baremos actuales'!A:E,5,FALSE),"No encontrado. Revisar código, fecha ejecución y/o contrato."),
IF(M105=$H$4,IFERROR(VLOOKUP(B105,'Baremos anteriores'!A:E,5,FALSE),"No encontrado. Revisar código, fecha ejecución y/o contrato."),
IF(M105=$H$3,IFERROR(VLOOKUP(B105,#REF!,5,FALSE),"No encontrado. Revisar código, fecha ejecución y/o contrato."),
IF(D105="","Código no encontrado",
IF(D105="ERROR","No encontrado. Revisar Código, fecha de ejecución y/o contrato.",
IF(D105="MATE",
IF(C104="DESCRIPCION","NO SE PUEDE COMENZAR SIN CÓDIGO DE TAREA",
IF(C104="","FALTA CÓDIGO DE TAREA",
CONCATENATE("          ",VLOOKUP(B105,'Maestro Materiales'!A:C,3,FALSE)))),IFERROR(VLOOKUP(B105,#REF!,5,FALSE),"No encontrado. Revisar código, fecha ejecución y/o contrato."))))))))</f>
        <v/>
      </c>
      <c r="D105" s="88" t="str">
        <f>IF(B105="","",
IFERROR(VLOOKUP(B105,'Maestro Materiales'!A:C,2,FALSE),
IFERROR(VLOOKUP(B105,'Baremos actuales'!A:B,2,FALSE),
IFERROR(VLOOKUP(B105,'Baremos anteriores'!A:B,2,FALSE),
""))))</f>
        <v/>
      </c>
      <c r="E105" s="9"/>
      <c r="F105" s="89" t="str">
        <f>IF(D105="MATE",
IF(E105="","¿Unidades?",""),
IF(D105="",IF(E105="","","¿Código?"),
IF(E105="","¿Unidades?",
IF(D105="TARE",
IF(M105=$H$3,IFERROR(VLOOKUP(B105,'Baremos actuales'!A:C,3,FALSE),0),
IF(M105=$H$4,IFERROR(VLOOKUP(B105,'Baremos anteriores'!A:C,3,FALSE),0),0))))))</f>
        <v/>
      </c>
      <c r="G105" s="7"/>
      <c r="H105" s="8"/>
      <c r="I105" s="8"/>
      <c r="J105" s="78" t="str">
        <f>IF($D105="","",
IF($E105="","",
IF($D105="MATE","",
IF(VLOOKUP($B105,'Baremos actuales'!A:D,4,FALSE)=J$9,$E105*$F105,IF(VLOOKUP($B105,'Baremos anteriores'!A:D,4,FALSE)="Sin Definir",$E105*$F105,"")))))</f>
        <v/>
      </c>
      <c r="K105" s="79" t="str">
        <f>IF($D105="","",
IF($E105="","",
IF($D105="MATE","",
IF(VLOOKUP($B105,'Baremos actuales'!$A:$D,4,FALSE)=K$9,$E105*$F105,IF(VLOOKUP($B105,'Baremos anteriores'!$A:$D,4,FALSE)="Desmonte",$E105*$F105,"")))))</f>
        <v/>
      </c>
      <c r="L105" s="80" t="str">
        <f>IF($D105="","",
IF($E105="","",
IF($D105="MATE","",
IF(VLOOKUP($B105,'Baremos actuales'!$A:$D,4,FALSE)=L$9,$E105*$F105,""))))</f>
        <v/>
      </c>
      <c r="M105" s="91" t="str">
        <f t="shared" si="1"/>
        <v/>
      </c>
      <c r="N105" s="96"/>
      <c r="O105" s="95"/>
      <c r="P105" s="96"/>
      <c r="Q105" s="98"/>
    </row>
    <row r="106" spans="1:17" ht="15.75" x14ac:dyDescent="0.2">
      <c r="A106" s="17"/>
      <c r="B106" s="18"/>
      <c r="C106" s="87" t="str">
        <f>IF(B106="","",
IF(M106=$H$5,IFERROR(VLOOKUP(B106,'Baremos actuales'!A:E,5,FALSE),"No encontrado. Revisar código, fecha ejecución y/o contrato."),
IF(M106=$H$4,IFERROR(VLOOKUP(B106,'Baremos anteriores'!A:E,5,FALSE),"No encontrado. Revisar código, fecha ejecución y/o contrato."),
IF(M106=$H$3,IFERROR(VLOOKUP(B106,#REF!,5,FALSE),"No encontrado. Revisar código, fecha ejecución y/o contrato."),
IF(D106="","Código no encontrado",
IF(D106="ERROR","No encontrado. Revisar Código, fecha de ejecución y/o contrato.",
IF(D106="MATE",
IF(C105="DESCRIPCION","NO SE PUEDE COMENZAR SIN CÓDIGO DE TAREA",
IF(C105="","FALTA CÓDIGO DE TAREA",
CONCATENATE("          ",VLOOKUP(B106,'Maestro Materiales'!A:C,3,FALSE)))),IFERROR(VLOOKUP(B106,#REF!,5,FALSE),"No encontrado. Revisar código, fecha ejecución y/o contrato."))))))))</f>
        <v/>
      </c>
      <c r="D106" s="88" t="str">
        <f>IF(B106="","",
IFERROR(VLOOKUP(B106,'Maestro Materiales'!A:C,2,FALSE),
IFERROR(VLOOKUP(B106,'Baremos actuales'!A:B,2,FALSE),
IFERROR(VLOOKUP(B106,'Baremos anteriores'!A:B,2,FALSE),
""))))</f>
        <v/>
      </c>
      <c r="E106" s="9"/>
      <c r="F106" s="89" t="str">
        <f>IF(D106="MATE",
IF(E106="","¿Unidades?",""),
IF(D106="",IF(E106="","","¿Código?"),
IF(E106="","¿Unidades?",
IF(D106="TARE",
IF(M106=$H$3,IFERROR(VLOOKUP(B106,'Baremos actuales'!A:C,3,FALSE),0),
IF(M106=$H$4,IFERROR(VLOOKUP(B106,'Baremos anteriores'!A:C,3,FALSE),0),0))))))</f>
        <v/>
      </c>
      <c r="G106" s="7"/>
      <c r="H106" s="8"/>
      <c r="I106" s="8"/>
      <c r="J106" s="78" t="str">
        <f>IF($D106="","",
IF($E106="","",
IF($D106="MATE","",
IF(VLOOKUP($B106,'Baremos actuales'!A:D,4,FALSE)=J$9,$E106*$F106,IF(VLOOKUP($B106,'Baremos anteriores'!A:D,4,FALSE)="Sin Definir",$E106*$F106,"")))))</f>
        <v/>
      </c>
      <c r="K106" s="79" t="str">
        <f>IF($D106="","",
IF($E106="","",
IF($D106="MATE","",
IF(VLOOKUP($B106,'Baremos actuales'!$A:$D,4,FALSE)=K$9,$E106*$F106,IF(VLOOKUP($B106,'Baremos anteriores'!$A:$D,4,FALSE)="Desmonte",$E106*$F106,"")))))</f>
        <v/>
      </c>
      <c r="L106" s="80" t="str">
        <f>IF($D106="","",
IF($E106="","",
IF($D106="MATE","",
IF(VLOOKUP($B106,'Baremos actuales'!$A:$D,4,FALSE)=L$9,$E106*$F106,""))))</f>
        <v/>
      </c>
      <c r="M106" s="91" t="str">
        <f t="shared" si="1"/>
        <v/>
      </c>
      <c r="N106" s="96"/>
      <c r="O106" s="95"/>
      <c r="P106" s="96"/>
      <c r="Q106" s="98"/>
    </row>
    <row r="107" spans="1:17" ht="15.75" x14ac:dyDescent="0.2">
      <c r="A107" s="17"/>
      <c r="B107" s="18"/>
      <c r="C107" s="87" t="str">
        <f>IF(B107="","",
IF(M107=$H$5,IFERROR(VLOOKUP(B107,'Baremos actuales'!A:E,5,FALSE),"No encontrado. Revisar código, fecha ejecución y/o contrato."),
IF(M107=$H$4,IFERROR(VLOOKUP(B107,'Baremos anteriores'!A:E,5,FALSE),"No encontrado. Revisar código, fecha ejecución y/o contrato."),
IF(M107=$H$3,IFERROR(VLOOKUP(B107,#REF!,5,FALSE),"No encontrado. Revisar código, fecha ejecución y/o contrato."),
IF(D107="","Código no encontrado",
IF(D107="ERROR","No encontrado. Revisar Código, fecha de ejecución y/o contrato.",
IF(D107="MATE",
IF(C106="DESCRIPCION","NO SE PUEDE COMENZAR SIN CÓDIGO DE TAREA",
IF(C106="","FALTA CÓDIGO DE TAREA",
CONCATENATE("          ",VLOOKUP(B107,'Maestro Materiales'!A:C,3,FALSE)))),IFERROR(VLOOKUP(B107,#REF!,5,FALSE),"No encontrado. Revisar código, fecha ejecución y/o contrato."))))))))</f>
        <v/>
      </c>
      <c r="D107" s="88" t="str">
        <f>IF(B107="","",
IFERROR(VLOOKUP(B107,'Maestro Materiales'!A:C,2,FALSE),
IFERROR(VLOOKUP(B107,'Baremos actuales'!A:B,2,FALSE),
IFERROR(VLOOKUP(B107,'Baremos anteriores'!A:B,2,FALSE),
""))))</f>
        <v/>
      </c>
      <c r="E107" s="9"/>
      <c r="F107" s="89" t="str">
        <f>IF(D107="MATE",
IF(E107="","¿Unidades?",""),
IF(D107="",IF(E107="","","¿Código?"),
IF(E107="","¿Unidades?",
IF(D107="TARE",
IF(M107=$H$3,IFERROR(VLOOKUP(B107,'Baremos actuales'!A:C,3,FALSE),0),
IF(M107=$H$4,IFERROR(VLOOKUP(B107,'Baremos anteriores'!A:C,3,FALSE),0),0))))))</f>
        <v/>
      </c>
      <c r="G107" s="7"/>
      <c r="H107" s="8"/>
      <c r="I107" s="8"/>
      <c r="J107" s="78" t="str">
        <f>IF($D107="","",
IF($E107="","",
IF($D107="MATE","",
IF(VLOOKUP($B107,'Baremos actuales'!A:D,4,FALSE)=J$9,$E107*$F107,IF(VLOOKUP($B107,'Baremos anteriores'!A:D,4,FALSE)="Sin Definir",$E107*$F107,"")))))</f>
        <v/>
      </c>
      <c r="K107" s="79" t="str">
        <f>IF($D107="","",
IF($E107="","",
IF($D107="MATE","",
IF(VLOOKUP($B107,'Baremos actuales'!$A:$D,4,FALSE)=K$9,$E107*$F107,IF(VLOOKUP($B107,'Baremos anteriores'!$A:$D,4,FALSE)="Desmonte",$E107*$F107,"")))))</f>
        <v/>
      </c>
      <c r="L107" s="80" t="str">
        <f>IF($D107="","",
IF($E107="","",
IF($D107="MATE","",
IF(VLOOKUP($B107,'Baremos actuales'!$A:$D,4,FALSE)=L$9,$E107*$F107,""))))</f>
        <v/>
      </c>
      <c r="M107" s="91" t="str">
        <f t="shared" si="1"/>
        <v/>
      </c>
      <c r="N107" s="96"/>
      <c r="O107" s="95"/>
      <c r="P107" s="96"/>
      <c r="Q107" s="98"/>
    </row>
    <row r="108" spans="1:17" ht="15.75" x14ac:dyDescent="0.2">
      <c r="A108" s="17"/>
      <c r="B108" s="18"/>
      <c r="C108" s="87" t="str">
        <f>IF(B108="","",
IF(M108=$H$5,IFERROR(VLOOKUP(B108,'Baremos actuales'!A:E,5,FALSE),"No encontrado. Revisar código, fecha ejecución y/o contrato."),
IF(M108=$H$4,IFERROR(VLOOKUP(B108,'Baremos anteriores'!A:E,5,FALSE),"No encontrado. Revisar código, fecha ejecución y/o contrato."),
IF(M108=$H$3,IFERROR(VLOOKUP(B108,#REF!,5,FALSE),"No encontrado. Revisar código, fecha ejecución y/o contrato."),
IF(D108="","Código no encontrado",
IF(D108="ERROR","No encontrado. Revisar Código, fecha de ejecución y/o contrato.",
IF(D108="MATE",
IF(C107="DESCRIPCION","NO SE PUEDE COMENZAR SIN CÓDIGO DE TAREA",
IF(C107="","FALTA CÓDIGO DE TAREA",
CONCATENATE("          ",VLOOKUP(B108,'Maestro Materiales'!A:C,3,FALSE)))),IFERROR(VLOOKUP(B108,#REF!,5,FALSE),"No encontrado. Revisar código, fecha ejecución y/o contrato."))))))))</f>
        <v/>
      </c>
      <c r="D108" s="88" t="str">
        <f>IF(B108="","",
IFERROR(VLOOKUP(B108,'Maestro Materiales'!A:C,2,FALSE),
IFERROR(VLOOKUP(B108,'Baremos actuales'!A:B,2,FALSE),
IFERROR(VLOOKUP(B108,'Baremos anteriores'!A:B,2,FALSE),
""))))</f>
        <v/>
      </c>
      <c r="E108" s="9"/>
      <c r="F108" s="89" t="str">
        <f>IF(D108="MATE",
IF(E108="","¿Unidades?",""),
IF(D108="",IF(E108="","","¿Código?"),
IF(E108="","¿Unidades?",
IF(D108="TARE",
IF(M108=$H$3,IFERROR(VLOOKUP(B108,'Baremos actuales'!A:C,3,FALSE),0),
IF(M108=$H$4,IFERROR(VLOOKUP(B108,'Baremos anteriores'!A:C,3,FALSE),0),0))))))</f>
        <v/>
      </c>
      <c r="G108" s="7"/>
      <c r="H108" s="8"/>
      <c r="I108" s="8"/>
      <c r="J108" s="78" t="str">
        <f>IF($D108="","",
IF($E108="","",
IF($D108="MATE","",
IF(VLOOKUP($B108,'Baremos actuales'!A:D,4,FALSE)=J$9,$E108*$F108,IF(VLOOKUP($B108,'Baremos anteriores'!A:D,4,FALSE)="Sin Definir",$E108*$F108,"")))))</f>
        <v/>
      </c>
      <c r="K108" s="79" t="str">
        <f>IF($D108="","",
IF($E108="","",
IF($D108="MATE","",
IF(VLOOKUP($B108,'Baremos actuales'!$A:$D,4,FALSE)=K$9,$E108*$F108,IF(VLOOKUP($B108,'Baremos anteriores'!$A:$D,4,FALSE)="Desmonte",$E108*$F108,"")))))</f>
        <v/>
      </c>
      <c r="L108" s="80" t="str">
        <f>IF($D108="","",
IF($E108="","",
IF($D108="MATE","",
IF(VLOOKUP($B108,'Baremos actuales'!$A:$D,4,FALSE)=L$9,$E108*$F108,""))))</f>
        <v/>
      </c>
      <c r="M108" s="91" t="str">
        <f t="shared" si="1"/>
        <v/>
      </c>
      <c r="N108" s="96"/>
      <c r="O108" s="95"/>
      <c r="P108" s="96"/>
      <c r="Q108" s="98"/>
    </row>
    <row r="109" spans="1:17" ht="15.75" x14ac:dyDescent="0.2">
      <c r="A109" s="17"/>
      <c r="B109" s="18"/>
      <c r="C109" s="87" t="str">
        <f>IF(B109="","",
IF(M109=$H$5,IFERROR(VLOOKUP(B109,'Baremos actuales'!A:E,5,FALSE),"No encontrado. Revisar código, fecha ejecución y/o contrato."),
IF(M109=$H$4,IFERROR(VLOOKUP(B109,'Baremos anteriores'!A:E,5,FALSE),"No encontrado. Revisar código, fecha ejecución y/o contrato."),
IF(M109=$H$3,IFERROR(VLOOKUP(B109,#REF!,5,FALSE),"No encontrado. Revisar código, fecha ejecución y/o contrato."),
IF(D109="","Código no encontrado",
IF(D109="ERROR","No encontrado. Revisar Código, fecha de ejecución y/o contrato.",
IF(D109="MATE",
IF(C108="DESCRIPCION","NO SE PUEDE COMENZAR SIN CÓDIGO DE TAREA",
IF(C108="","FALTA CÓDIGO DE TAREA",
CONCATENATE("          ",VLOOKUP(B109,'Maestro Materiales'!A:C,3,FALSE)))),IFERROR(VLOOKUP(B109,#REF!,5,FALSE),"No encontrado. Revisar código, fecha ejecución y/o contrato."))))))))</f>
        <v/>
      </c>
      <c r="D109" s="88" t="str">
        <f>IF(B109="","",
IFERROR(VLOOKUP(B109,'Maestro Materiales'!A:C,2,FALSE),
IFERROR(VLOOKUP(B109,'Baremos actuales'!A:B,2,FALSE),
IFERROR(VLOOKUP(B109,'Baremos anteriores'!A:B,2,FALSE),
""))))</f>
        <v/>
      </c>
      <c r="E109" s="9"/>
      <c r="F109" s="89" t="str">
        <f>IF(D109="MATE",
IF(E109="","¿Unidades?",""),
IF(D109="",IF(E109="","","¿Código?"),
IF(E109="","¿Unidades?",
IF(D109="TARE",
IF(M109=$H$3,IFERROR(VLOOKUP(B109,'Baremos actuales'!A:C,3,FALSE),0),
IF(M109=$H$4,IFERROR(VLOOKUP(B109,'Baremos anteriores'!A:C,3,FALSE),0),0))))))</f>
        <v/>
      </c>
      <c r="G109" s="7"/>
      <c r="H109" s="8"/>
      <c r="I109" s="8"/>
      <c r="J109" s="78" t="str">
        <f>IF($D109="","",
IF($E109="","",
IF($D109="MATE","",
IF(VLOOKUP($B109,'Baremos actuales'!A:D,4,FALSE)=J$9,$E109*$F109,IF(VLOOKUP($B109,'Baremos anteriores'!A:D,4,FALSE)="Sin Definir",$E109*$F109,"")))))</f>
        <v/>
      </c>
      <c r="K109" s="79" t="str">
        <f>IF($D109="","",
IF($E109="","",
IF($D109="MATE","",
IF(VLOOKUP($B109,'Baremos actuales'!$A:$D,4,FALSE)=K$9,$E109*$F109,IF(VLOOKUP($B109,'Baremos anteriores'!$A:$D,4,FALSE)="Desmonte",$E109*$F109,"")))))</f>
        <v/>
      </c>
      <c r="L109" s="80" t="str">
        <f>IF($D109="","",
IF($E109="","",
IF($D109="MATE","",
IF(VLOOKUP($B109,'Baremos actuales'!$A:$D,4,FALSE)=L$9,$E109*$F109,""))))</f>
        <v/>
      </c>
      <c r="M109" s="91" t="str">
        <f t="shared" si="1"/>
        <v/>
      </c>
      <c r="N109" s="96"/>
      <c r="O109" s="95"/>
      <c r="P109" s="96"/>
      <c r="Q109" s="98"/>
    </row>
    <row r="110" spans="1:17" ht="15.75" x14ac:dyDescent="0.2">
      <c r="A110" s="17"/>
      <c r="B110" s="18"/>
      <c r="C110" s="87" t="str">
        <f>IF(B110="","",
IF(M110=$H$5,IFERROR(VLOOKUP(B110,'Baremos actuales'!A:E,5,FALSE),"No encontrado. Revisar código, fecha ejecución y/o contrato."),
IF(M110=$H$4,IFERROR(VLOOKUP(B110,'Baremos anteriores'!A:E,5,FALSE),"No encontrado. Revisar código, fecha ejecución y/o contrato."),
IF(M110=$H$3,IFERROR(VLOOKUP(B110,#REF!,5,FALSE),"No encontrado. Revisar código, fecha ejecución y/o contrato."),
IF(D110="","Código no encontrado",
IF(D110="ERROR","No encontrado. Revisar Código, fecha de ejecución y/o contrato.",
IF(D110="MATE",
IF(C109="DESCRIPCION","NO SE PUEDE COMENZAR SIN CÓDIGO DE TAREA",
IF(C109="","FALTA CÓDIGO DE TAREA",
CONCATENATE("          ",VLOOKUP(B110,'Maestro Materiales'!A:C,3,FALSE)))),IFERROR(VLOOKUP(B110,#REF!,5,FALSE),"No encontrado. Revisar código, fecha ejecución y/o contrato."))))))))</f>
        <v/>
      </c>
      <c r="D110" s="88" t="str">
        <f>IF(B110="","",
IFERROR(VLOOKUP(B110,'Maestro Materiales'!A:C,2,FALSE),
IFERROR(VLOOKUP(B110,'Baremos actuales'!A:B,2,FALSE),
IFERROR(VLOOKUP(B110,'Baremos anteriores'!A:B,2,FALSE),
""))))</f>
        <v/>
      </c>
      <c r="E110" s="9"/>
      <c r="F110" s="89" t="str">
        <f>IF(D110="MATE",
IF(E110="","¿Unidades?",""),
IF(D110="",IF(E110="","","¿Código?"),
IF(E110="","¿Unidades?",
IF(D110="TARE",
IF(M110=$H$3,IFERROR(VLOOKUP(B110,'Baremos actuales'!A:C,3,FALSE),0),
IF(M110=$H$4,IFERROR(VLOOKUP(B110,'Baremos anteriores'!A:C,3,FALSE),0),0))))))</f>
        <v/>
      </c>
      <c r="G110" s="7"/>
      <c r="H110" s="8"/>
      <c r="I110" s="8"/>
      <c r="J110" s="78" t="str">
        <f>IF($D110="","",
IF($E110="","",
IF($D110="MATE","",
IF(VLOOKUP($B110,'Baremos actuales'!A:D,4,FALSE)=J$9,$E110*$F110,IF(VLOOKUP($B110,'Baremos anteriores'!A:D,4,FALSE)="Sin Definir",$E110*$F110,"")))))</f>
        <v/>
      </c>
      <c r="K110" s="79" t="str">
        <f>IF($D110="","",
IF($E110="","",
IF($D110="MATE","",
IF(VLOOKUP($B110,'Baremos actuales'!$A:$D,4,FALSE)=K$9,$E110*$F110,IF(VLOOKUP($B110,'Baremos anteriores'!$A:$D,4,FALSE)="Desmonte",$E110*$F110,"")))))</f>
        <v/>
      </c>
      <c r="L110" s="80" t="str">
        <f>IF($D110="","",
IF($E110="","",
IF($D110="MATE","",
IF(VLOOKUP($B110,'Baremos actuales'!$A:$D,4,FALSE)=L$9,$E110*$F110,""))))</f>
        <v/>
      </c>
      <c r="M110" s="91" t="str">
        <f t="shared" si="1"/>
        <v/>
      </c>
      <c r="N110" s="96"/>
      <c r="O110" s="95"/>
      <c r="P110" s="96"/>
      <c r="Q110" s="98"/>
    </row>
    <row r="111" spans="1:17" ht="15.75" x14ac:dyDescent="0.2">
      <c r="A111" s="17"/>
      <c r="B111" s="18"/>
      <c r="C111" s="87" t="str">
        <f>IF(B111="","",
IF(M111=$H$5,IFERROR(VLOOKUP(B111,'Baremos actuales'!A:E,5,FALSE),"No encontrado. Revisar código, fecha ejecución y/o contrato."),
IF(M111=$H$4,IFERROR(VLOOKUP(B111,'Baremos anteriores'!A:E,5,FALSE),"No encontrado. Revisar código, fecha ejecución y/o contrato."),
IF(M111=$H$3,IFERROR(VLOOKUP(B111,#REF!,5,FALSE),"No encontrado. Revisar código, fecha ejecución y/o contrato."),
IF(D111="","Código no encontrado",
IF(D111="ERROR","No encontrado. Revisar Código, fecha de ejecución y/o contrato.",
IF(D111="MATE",
IF(C110="DESCRIPCION","NO SE PUEDE COMENZAR SIN CÓDIGO DE TAREA",
IF(C110="","FALTA CÓDIGO DE TAREA",
CONCATENATE("          ",VLOOKUP(B111,'Maestro Materiales'!A:C,3,FALSE)))),IFERROR(VLOOKUP(B111,#REF!,5,FALSE),"No encontrado. Revisar código, fecha ejecución y/o contrato."))))))))</f>
        <v/>
      </c>
      <c r="D111" s="88" t="str">
        <f>IF(B111="","",
IFERROR(VLOOKUP(B111,'Maestro Materiales'!A:C,2,FALSE),
IFERROR(VLOOKUP(B111,'Baremos actuales'!A:B,2,FALSE),
IFERROR(VLOOKUP(B111,'Baremos anteriores'!A:B,2,FALSE),
""))))</f>
        <v/>
      </c>
      <c r="E111" s="9"/>
      <c r="F111" s="89" t="str">
        <f>IF(D111="MATE",
IF(E111="","¿Unidades?",""),
IF(D111="",IF(E111="","","¿Código?"),
IF(E111="","¿Unidades?",
IF(D111="TARE",
IF(M111=$H$3,IFERROR(VLOOKUP(B111,'Baremos actuales'!A:C,3,FALSE),0),
IF(M111=$H$4,IFERROR(VLOOKUP(B111,'Baremos anteriores'!A:C,3,FALSE),0),0))))))</f>
        <v/>
      </c>
      <c r="G111" s="7"/>
      <c r="H111" s="8"/>
      <c r="I111" s="8"/>
      <c r="J111" s="78" t="str">
        <f>IF($D111="","",
IF($E111="","",
IF($D111="MATE","",
IF(VLOOKUP($B111,'Baremos actuales'!A:D,4,FALSE)=J$9,$E111*$F111,IF(VLOOKUP($B111,'Baremos anteriores'!A:D,4,FALSE)="Sin Definir",$E111*$F111,"")))))</f>
        <v/>
      </c>
      <c r="K111" s="79" t="str">
        <f>IF($D111="","",
IF($E111="","",
IF($D111="MATE","",
IF(VLOOKUP($B111,'Baremos actuales'!$A:$D,4,FALSE)=K$9,$E111*$F111,IF(VLOOKUP($B111,'Baremos anteriores'!$A:$D,4,FALSE)="Desmonte",$E111*$F111,"")))))</f>
        <v/>
      </c>
      <c r="L111" s="80" t="str">
        <f>IF($D111="","",
IF($E111="","",
IF($D111="MATE","",
IF(VLOOKUP($B111,'Baremos actuales'!$A:$D,4,FALSE)=L$9,$E111*$F111,""))))</f>
        <v/>
      </c>
      <c r="M111" s="91" t="str">
        <f t="shared" si="1"/>
        <v/>
      </c>
      <c r="N111" s="96"/>
      <c r="O111" s="95"/>
      <c r="P111" s="96"/>
      <c r="Q111" s="98"/>
    </row>
    <row r="112" spans="1:17" ht="15.75" x14ac:dyDescent="0.2">
      <c r="A112" s="17"/>
      <c r="B112" s="18"/>
      <c r="C112" s="87" t="str">
        <f>IF(B112="","",
IF(M112=$H$5,IFERROR(VLOOKUP(B112,'Baremos actuales'!A:E,5,FALSE),"No encontrado. Revisar código, fecha ejecución y/o contrato."),
IF(M112=$H$4,IFERROR(VLOOKUP(B112,'Baremos anteriores'!A:E,5,FALSE),"No encontrado. Revisar código, fecha ejecución y/o contrato."),
IF(M112=$H$3,IFERROR(VLOOKUP(B112,#REF!,5,FALSE),"No encontrado. Revisar código, fecha ejecución y/o contrato."),
IF(D112="","Código no encontrado",
IF(D112="ERROR","No encontrado. Revisar Código, fecha de ejecución y/o contrato.",
IF(D112="MATE",
IF(C111="DESCRIPCION","NO SE PUEDE COMENZAR SIN CÓDIGO DE TAREA",
IF(C111="","FALTA CÓDIGO DE TAREA",
CONCATENATE("          ",VLOOKUP(B112,'Maestro Materiales'!A:C,3,FALSE)))),IFERROR(VLOOKUP(B112,#REF!,5,FALSE),"No encontrado. Revisar código, fecha ejecución y/o contrato."))))))))</f>
        <v/>
      </c>
      <c r="D112" s="88" t="str">
        <f>IF(B112="","",
IFERROR(VLOOKUP(B112,'Maestro Materiales'!A:C,2,FALSE),
IFERROR(VLOOKUP(B112,'Baremos actuales'!A:B,2,FALSE),
IFERROR(VLOOKUP(B112,'Baremos anteriores'!A:B,2,FALSE),
""))))</f>
        <v/>
      </c>
      <c r="E112" s="9"/>
      <c r="F112" s="89" t="str">
        <f>IF(D112="MATE",
IF(E112="","¿Unidades?",""),
IF(D112="",IF(E112="","","¿Código?"),
IF(E112="","¿Unidades?",
IF(D112="TARE",
IF(M112=$H$3,IFERROR(VLOOKUP(B112,'Baremos actuales'!A:C,3,FALSE),0),
IF(M112=$H$4,IFERROR(VLOOKUP(B112,'Baremos anteriores'!A:C,3,FALSE),0),0))))))</f>
        <v/>
      </c>
      <c r="G112" s="7"/>
      <c r="H112" s="8"/>
      <c r="I112" s="8"/>
      <c r="J112" s="78" t="str">
        <f>IF($D112="","",
IF($E112="","",
IF($D112="MATE","",
IF(VLOOKUP($B112,'Baremos actuales'!A:D,4,FALSE)=J$9,$E112*$F112,IF(VLOOKUP($B112,'Baremos anteriores'!A:D,4,FALSE)="Sin Definir",$E112*$F112,"")))))</f>
        <v/>
      </c>
      <c r="K112" s="79" t="str">
        <f>IF($D112="","",
IF($E112="","",
IF($D112="MATE","",
IF(VLOOKUP($B112,'Baremos actuales'!$A:$D,4,FALSE)=K$9,$E112*$F112,IF(VLOOKUP($B112,'Baremos anteriores'!$A:$D,4,FALSE)="Desmonte",$E112*$F112,"")))))</f>
        <v/>
      </c>
      <c r="L112" s="80" t="str">
        <f>IF($D112="","",
IF($E112="","",
IF($D112="MATE","",
IF(VLOOKUP($B112,'Baremos actuales'!$A:$D,4,FALSE)=L$9,$E112*$F112,""))))</f>
        <v/>
      </c>
      <c r="M112" s="91" t="str">
        <f t="shared" si="1"/>
        <v/>
      </c>
      <c r="N112" s="96"/>
      <c r="O112" s="95"/>
      <c r="P112" s="96"/>
      <c r="Q112" s="98"/>
    </row>
    <row r="113" spans="1:17" ht="15.75" x14ac:dyDescent="0.2">
      <c r="A113" s="17"/>
      <c r="B113" s="18"/>
      <c r="C113" s="87" t="str">
        <f>IF(B113="","",
IF(M113=$H$5,IFERROR(VLOOKUP(B113,'Baremos actuales'!A:E,5,FALSE),"No encontrado. Revisar código, fecha ejecución y/o contrato."),
IF(M113=$H$4,IFERROR(VLOOKUP(B113,'Baremos anteriores'!A:E,5,FALSE),"No encontrado. Revisar código, fecha ejecución y/o contrato."),
IF(M113=$H$3,IFERROR(VLOOKUP(B113,#REF!,5,FALSE),"No encontrado. Revisar código, fecha ejecución y/o contrato."),
IF(D113="","Código no encontrado",
IF(D113="ERROR","No encontrado. Revisar Código, fecha de ejecución y/o contrato.",
IF(D113="MATE",
IF(C112="DESCRIPCION","NO SE PUEDE COMENZAR SIN CÓDIGO DE TAREA",
IF(C112="","FALTA CÓDIGO DE TAREA",
CONCATENATE("          ",VLOOKUP(B113,'Maestro Materiales'!A:C,3,FALSE)))),IFERROR(VLOOKUP(B113,#REF!,5,FALSE),"No encontrado. Revisar código, fecha ejecución y/o contrato."))))))))</f>
        <v/>
      </c>
      <c r="D113" s="88" t="str">
        <f>IF(B113="","",
IFERROR(VLOOKUP(B113,'Maestro Materiales'!A:C,2,FALSE),
IFERROR(VLOOKUP(B113,'Baremos actuales'!A:B,2,FALSE),
IFERROR(VLOOKUP(B113,'Baremos anteriores'!A:B,2,FALSE),
""))))</f>
        <v/>
      </c>
      <c r="E113" s="9"/>
      <c r="F113" s="89" t="str">
        <f>IF(D113="MATE",
IF(E113="","¿Unidades?",""),
IF(D113="",IF(E113="","","¿Código?"),
IF(E113="","¿Unidades?",
IF(D113="TARE",
IF(M113=$H$3,IFERROR(VLOOKUP(B113,'Baremos actuales'!A:C,3,FALSE),0),
IF(M113=$H$4,IFERROR(VLOOKUP(B113,'Baremos anteriores'!A:C,3,FALSE),0),0))))))</f>
        <v/>
      </c>
      <c r="G113" s="7"/>
      <c r="H113" s="8"/>
      <c r="I113" s="8"/>
      <c r="J113" s="78" t="str">
        <f>IF($D113="","",
IF($E113="","",
IF($D113="MATE","",
IF(VLOOKUP($B113,'Baremos actuales'!A:D,4,FALSE)=J$9,$E113*$F113,IF(VLOOKUP($B113,'Baremos anteriores'!A:D,4,FALSE)="Sin Definir",$E113*$F113,"")))))</f>
        <v/>
      </c>
      <c r="K113" s="79" t="str">
        <f>IF($D113="","",
IF($E113="","",
IF($D113="MATE","",
IF(VLOOKUP($B113,'Baremos actuales'!$A:$D,4,FALSE)=K$9,$E113*$F113,IF(VLOOKUP($B113,'Baremos anteriores'!$A:$D,4,FALSE)="Desmonte",$E113*$F113,"")))))</f>
        <v/>
      </c>
      <c r="L113" s="80" t="str">
        <f>IF($D113="","",
IF($E113="","",
IF($D113="MATE","",
IF(VLOOKUP($B113,'Baremos actuales'!$A:$D,4,FALSE)=L$9,$E113*$F113,""))))</f>
        <v/>
      </c>
      <c r="M113" s="91" t="str">
        <f t="shared" si="1"/>
        <v/>
      </c>
      <c r="N113" s="96"/>
      <c r="O113" s="95"/>
      <c r="P113" s="96"/>
      <c r="Q113" s="98"/>
    </row>
    <row r="114" spans="1:17" ht="15.75" x14ac:dyDescent="0.2">
      <c r="A114" s="17"/>
      <c r="B114" s="18"/>
      <c r="C114" s="87" t="str">
        <f>IF(B114="","",
IF(M114=$H$5,IFERROR(VLOOKUP(B114,'Baremos actuales'!A:E,5,FALSE),"No encontrado. Revisar código, fecha ejecución y/o contrato."),
IF(M114=$H$4,IFERROR(VLOOKUP(B114,'Baremos anteriores'!A:E,5,FALSE),"No encontrado. Revisar código, fecha ejecución y/o contrato."),
IF(M114=$H$3,IFERROR(VLOOKUP(B114,#REF!,5,FALSE),"No encontrado. Revisar código, fecha ejecución y/o contrato."),
IF(D114="","Código no encontrado",
IF(D114="ERROR","No encontrado. Revisar Código, fecha de ejecución y/o contrato.",
IF(D114="MATE",
IF(C113="DESCRIPCION","NO SE PUEDE COMENZAR SIN CÓDIGO DE TAREA",
IF(C113="","FALTA CÓDIGO DE TAREA",
CONCATENATE("          ",VLOOKUP(B114,'Maestro Materiales'!A:C,3,FALSE)))),IFERROR(VLOOKUP(B114,#REF!,5,FALSE),"No encontrado. Revisar código, fecha ejecución y/o contrato."))))))))</f>
        <v/>
      </c>
      <c r="D114" s="88" t="str">
        <f>IF(B114="","",
IFERROR(VLOOKUP(B114,'Maestro Materiales'!A:C,2,FALSE),
IFERROR(VLOOKUP(B114,'Baremos actuales'!A:B,2,FALSE),
IFERROR(VLOOKUP(B114,'Baremos anteriores'!A:B,2,FALSE),
""))))</f>
        <v/>
      </c>
      <c r="E114" s="9"/>
      <c r="F114" s="89" t="str">
        <f>IF(D114="MATE",
IF(E114="","¿Unidades?",""),
IF(D114="",IF(E114="","","¿Código?"),
IF(E114="","¿Unidades?",
IF(D114="TARE",
IF(M114=$H$3,IFERROR(VLOOKUP(B114,'Baremos actuales'!A:C,3,FALSE),0),
IF(M114=$H$4,IFERROR(VLOOKUP(B114,'Baremos anteriores'!A:C,3,FALSE),0),0))))))</f>
        <v/>
      </c>
      <c r="G114" s="7"/>
      <c r="H114" s="8"/>
      <c r="I114" s="8"/>
      <c r="J114" s="78" t="str">
        <f>IF($D114="","",
IF($E114="","",
IF($D114="MATE","",
IF(VLOOKUP($B114,'Baremos actuales'!A:D,4,FALSE)=J$9,$E114*$F114,IF(VLOOKUP($B114,'Baremos anteriores'!A:D,4,FALSE)="Sin Definir",$E114*$F114,"")))))</f>
        <v/>
      </c>
      <c r="K114" s="79" t="str">
        <f>IF($D114="","",
IF($E114="","",
IF($D114="MATE","",
IF(VLOOKUP($B114,'Baremos actuales'!$A:$D,4,FALSE)=K$9,$E114*$F114,IF(VLOOKUP($B114,'Baremos anteriores'!$A:$D,4,FALSE)="Desmonte",$E114*$F114,"")))))</f>
        <v/>
      </c>
      <c r="L114" s="80" t="str">
        <f>IF($D114="","",
IF($E114="","",
IF($D114="MATE","",
IF(VLOOKUP($B114,'Baremos actuales'!$A:$D,4,FALSE)=L$9,$E114*$F114,""))))</f>
        <v/>
      </c>
      <c r="M114" s="91" t="str">
        <f t="shared" si="1"/>
        <v/>
      </c>
      <c r="N114" s="96"/>
      <c r="O114" s="95"/>
      <c r="P114" s="96"/>
      <c r="Q114" s="98"/>
    </row>
    <row r="115" spans="1:17" ht="15.75" x14ac:dyDescent="0.2">
      <c r="A115" s="17"/>
      <c r="B115" s="18"/>
      <c r="C115" s="87" t="str">
        <f>IF(B115="","",
IF(M115=$H$5,IFERROR(VLOOKUP(B115,'Baremos actuales'!A:E,5,FALSE),"No encontrado. Revisar código, fecha ejecución y/o contrato."),
IF(M115=$H$4,IFERROR(VLOOKUP(B115,'Baremos anteriores'!A:E,5,FALSE),"No encontrado. Revisar código, fecha ejecución y/o contrato."),
IF(M115=$H$3,IFERROR(VLOOKUP(B115,#REF!,5,FALSE),"No encontrado. Revisar código, fecha ejecución y/o contrato."),
IF(D115="","Código no encontrado",
IF(D115="ERROR","No encontrado. Revisar Código, fecha de ejecución y/o contrato.",
IF(D115="MATE",
IF(C114="DESCRIPCION","NO SE PUEDE COMENZAR SIN CÓDIGO DE TAREA",
IF(C114="","FALTA CÓDIGO DE TAREA",
CONCATENATE("          ",VLOOKUP(B115,'Maestro Materiales'!A:C,3,FALSE)))),IFERROR(VLOOKUP(B115,#REF!,5,FALSE),"No encontrado. Revisar código, fecha ejecución y/o contrato."))))))))</f>
        <v/>
      </c>
      <c r="D115" s="88" t="str">
        <f>IF(B115="","",
IFERROR(VLOOKUP(B115,'Maestro Materiales'!A:C,2,FALSE),
IFERROR(VLOOKUP(B115,'Baremos actuales'!A:B,2,FALSE),
IFERROR(VLOOKUP(B115,'Baremos anteriores'!A:B,2,FALSE),
""))))</f>
        <v/>
      </c>
      <c r="E115" s="9"/>
      <c r="F115" s="89" t="str">
        <f>IF(D115="MATE",
IF(E115="","¿Unidades?",""),
IF(D115="",IF(E115="","","¿Código?"),
IF(E115="","¿Unidades?",
IF(D115="TARE",
IF(M115=$H$3,IFERROR(VLOOKUP(B115,'Baremos actuales'!A:C,3,FALSE),0),
IF(M115=$H$4,IFERROR(VLOOKUP(B115,'Baremos anteriores'!A:C,3,FALSE),0),0))))))</f>
        <v/>
      </c>
      <c r="G115" s="7"/>
      <c r="H115" s="8"/>
      <c r="I115" s="8"/>
      <c r="J115" s="78" t="str">
        <f>IF($D115="","",
IF($E115="","",
IF($D115="MATE","",
IF(VLOOKUP($B115,'Baremos actuales'!A:D,4,FALSE)=J$9,$E115*$F115,IF(VLOOKUP($B115,'Baremos anteriores'!A:D,4,FALSE)="Sin Definir",$E115*$F115,"")))))</f>
        <v/>
      </c>
      <c r="K115" s="79" t="str">
        <f>IF($D115="","",
IF($E115="","",
IF($D115="MATE","",
IF(VLOOKUP($B115,'Baremos actuales'!$A:$D,4,FALSE)=K$9,$E115*$F115,IF(VLOOKUP($B115,'Baremos anteriores'!$A:$D,4,FALSE)="Desmonte",$E115*$F115,"")))))</f>
        <v/>
      </c>
      <c r="L115" s="80" t="str">
        <f>IF($D115="","",
IF($E115="","",
IF($D115="MATE","",
IF(VLOOKUP($B115,'Baremos actuales'!$A:$D,4,FALSE)=L$9,$E115*$F115,""))))</f>
        <v/>
      </c>
      <c r="M115" s="91" t="str">
        <f t="shared" si="1"/>
        <v/>
      </c>
      <c r="N115" s="96"/>
      <c r="O115" s="95"/>
      <c r="P115" s="96"/>
      <c r="Q115" s="98"/>
    </row>
    <row r="116" spans="1:17" ht="15.75" x14ac:dyDescent="0.2">
      <c r="A116" s="17"/>
      <c r="B116" s="18"/>
      <c r="C116" s="87" t="str">
        <f>IF(B116="","",
IF(M116=$H$5,IFERROR(VLOOKUP(B116,'Baremos actuales'!A:E,5,FALSE),"No encontrado. Revisar código, fecha ejecución y/o contrato."),
IF(M116=$H$4,IFERROR(VLOOKUP(B116,'Baremos anteriores'!A:E,5,FALSE),"No encontrado. Revisar código, fecha ejecución y/o contrato."),
IF(M116=$H$3,IFERROR(VLOOKUP(B116,#REF!,5,FALSE),"No encontrado. Revisar código, fecha ejecución y/o contrato."),
IF(D116="","Código no encontrado",
IF(D116="ERROR","No encontrado. Revisar Código, fecha de ejecución y/o contrato.",
IF(D116="MATE",
IF(C115="DESCRIPCION","NO SE PUEDE COMENZAR SIN CÓDIGO DE TAREA",
IF(C115="","FALTA CÓDIGO DE TAREA",
CONCATENATE("          ",VLOOKUP(B116,'Maestro Materiales'!A:C,3,FALSE)))),IFERROR(VLOOKUP(B116,#REF!,5,FALSE),"No encontrado. Revisar código, fecha ejecución y/o contrato."))))))))</f>
        <v/>
      </c>
      <c r="D116" s="88" t="str">
        <f>IF(B116="","",
IFERROR(VLOOKUP(B116,'Maestro Materiales'!A:C,2,FALSE),
IFERROR(VLOOKUP(B116,'Baremos actuales'!A:B,2,FALSE),
IFERROR(VLOOKUP(B116,'Baremos anteriores'!A:B,2,FALSE),
""))))</f>
        <v/>
      </c>
      <c r="E116" s="9"/>
      <c r="F116" s="89" t="str">
        <f>IF(D116="MATE",
IF(E116="","¿Unidades?",""),
IF(D116="",IF(E116="","","¿Código?"),
IF(E116="","¿Unidades?",
IF(D116="TARE",
IF(M116=$H$3,IFERROR(VLOOKUP(B116,'Baremos actuales'!A:C,3,FALSE),0),
IF(M116=$H$4,IFERROR(VLOOKUP(B116,'Baremos anteriores'!A:C,3,FALSE),0),0))))))</f>
        <v/>
      </c>
      <c r="G116" s="7"/>
      <c r="H116" s="8"/>
      <c r="I116" s="8"/>
      <c r="J116" s="78" t="str">
        <f>IF($D116="","",
IF($E116="","",
IF($D116="MATE","",
IF(VLOOKUP($B116,'Baremos actuales'!A:D,4,FALSE)=J$9,$E116*$F116,IF(VLOOKUP($B116,'Baremos anteriores'!A:D,4,FALSE)="Sin Definir",$E116*$F116,"")))))</f>
        <v/>
      </c>
      <c r="K116" s="79" t="str">
        <f>IF($D116="","",
IF($E116="","",
IF($D116="MATE","",
IF(VLOOKUP($B116,'Baremos actuales'!$A:$D,4,FALSE)=K$9,$E116*$F116,IF(VLOOKUP($B116,'Baremos anteriores'!$A:$D,4,FALSE)="Desmonte",$E116*$F116,"")))))</f>
        <v/>
      </c>
      <c r="L116" s="80" t="str">
        <f>IF($D116="","",
IF($E116="","",
IF($D116="MATE","",
IF(VLOOKUP($B116,'Baremos actuales'!$A:$D,4,FALSE)=L$9,$E116*$F116,""))))</f>
        <v/>
      </c>
      <c r="M116" s="91" t="str">
        <f t="shared" si="1"/>
        <v/>
      </c>
      <c r="N116" s="96"/>
      <c r="O116" s="95"/>
      <c r="P116" s="96"/>
      <c r="Q116" s="98"/>
    </row>
    <row r="117" spans="1:17" ht="15.75" x14ac:dyDescent="0.2">
      <c r="A117" s="17"/>
      <c r="B117" s="18"/>
      <c r="C117" s="87" t="str">
        <f>IF(B117="","",
IF(M117=$H$5,IFERROR(VLOOKUP(B117,'Baremos actuales'!A:E,5,FALSE),"No encontrado. Revisar código, fecha ejecución y/o contrato."),
IF(M117=$H$4,IFERROR(VLOOKUP(B117,'Baremos anteriores'!A:E,5,FALSE),"No encontrado. Revisar código, fecha ejecución y/o contrato."),
IF(M117=$H$3,IFERROR(VLOOKUP(B117,#REF!,5,FALSE),"No encontrado. Revisar código, fecha ejecución y/o contrato."),
IF(D117="","Código no encontrado",
IF(D117="ERROR","No encontrado. Revisar Código, fecha de ejecución y/o contrato.",
IF(D117="MATE",
IF(C116="DESCRIPCION","NO SE PUEDE COMENZAR SIN CÓDIGO DE TAREA",
IF(C116="","FALTA CÓDIGO DE TAREA",
CONCATENATE("          ",VLOOKUP(B117,'Maestro Materiales'!A:C,3,FALSE)))),IFERROR(VLOOKUP(B117,#REF!,5,FALSE),"No encontrado. Revisar código, fecha ejecución y/o contrato."))))))))</f>
        <v/>
      </c>
      <c r="D117" s="88" t="str">
        <f>IF(B117="","",
IFERROR(VLOOKUP(B117,'Maestro Materiales'!A:C,2,FALSE),
IFERROR(VLOOKUP(B117,'Baremos actuales'!A:B,2,FALSE),
IFERROR(VLOOKUP(B117,'Baremos anteriores'!A:B,2,FALSE),
""))))</f>
        <v/>
      </c>
      <c r="E117" s="9"/>
      <c r="F117" s="89" t="str">
        <f>IF(D117="MATE",
IF(E117="","¿Unidades?",""),
IF(D117="",IF(E117="","","¿Código?"),
IF(E117="","¿Unidades?",
IF(D117="TARE",
IF(M117=$H$3,IFERROR(VLOOKUP(B117,'Baremos actuales'!A:C,3,FALSE),0),
IF(M117=$H$4,IFERROR(VLOOKUP(B117,'Baremos anteriores'!A:C,3,FALSE),0),0))))))</f>
        <v/>
      </c>
      <c r="G117" s="7"/>
      <c r="H117" s="8"/>
      <c r="I117" s="8"/>
      <c r="J117" s="78" t="str">
        <f>IF($D117="","",
IF($E117="","",
IF($D117="MATE","",
IF(VLOOKUP($B117,'Baremos actuales'!A:D,4,FALSE)=J$9,$E117*$F117,IF(VLOOKUP($B117,'Baremos anteriores'!A:D,4,FALSE)="Sin Definir",$E117*$F117,"")))))</f>
        <v/>
      </c>
      <c r="K117" s="79" t="str">
        <f>IF($D117="","",
IF($E117="","",
IF($D117="MATE","",
IF(VLOOKUP($B117,'Baremos actuales'!$A:$D,4,FALSE)=K$9,$E117*$F117,IF(VLOOKUP($B117,'Baremos anteriores'!$A:$D,4,FALSE)="Desmonte",$E117*$F117,"")))))</f>
        <v/>
      </c>
      <c r="L117" s="80" t="str">
        <f>IF($D117="","",
IF($E117="","",
IF($D117="MATE","",
IF(VLOOKUP($B117,'Baremos actuales'!$A:$D,4,FALSE)=L$9,$E117*$F117,""))))</f>
        <v/>
      </c>
      <c r="M117" s="91" t="str">
        <f t="shared" si="1"/>
        <v/>
      </c>
      <c r="N117" s="96"/>
      <c r="O117" s="95"/>
      <c r="P117" s="96"/>
      <c r="Q117" s="98"/>
    </row>
    <row r="118" spans="1:17" ht="15.75" x14ac:dyDescent="0.2">
      <c r="A118" s="17"/>
      <c r="B118" s="18"/>
      <c r="C118" s="87" t="str">
        <f>IF(B118="","",
IF(M118=$H$5,IFERROR(VLOOKUP(B118,'Baremos actuales'!A:E,5,FALSE),"No encontrado. Revisar código, fecha ejecución y/o contrato."),
IF(M118=$H$4,IFERROR(VLOOKUP(B118,'Baremos anteriores'!A:E,5,FALSE),"No encontrado. Revisar código, fecha ejecución y/o contrato."),
IF(M118=$H$3,IFERROR(VLOOKUP(B118,#REF!,5,FALSE),"No encontrado. Revisar código, fecha ejecución y/o contrato."),
IF(D118="","Código no encontrado",
IF(D118="ERROR","No encontrado. Revisar Código, fecha de ejecución y/o contrato.",
IF(D118="MATE",
IF(C117="DESCRIPCION","NO SE PUEDE COMENZAR SIN CÓDIGO DE TAREA",
IF(C117="","FALTA CÓDIGO DE TAREA",
CONCATENATE("          ",VLOOKUP(B118,'Maestro Materiales'!A:C,3,FALSE)))),IFERROR(VLOOKUP(B118,#REF!,5,FALSE),"No encontrado. Revisar código, fecha ejecución y/o contrato."))))))))</f>
        <v/>
      </c>
      <c r="D118" s="88" t="str">
        <f>IF(B118="","",
IFERROR(VLOOKUP(B118,'Maestro Materiales'!A:C,2,FALSE),
IFERROR(VLOOKUP(B118,'Baremos actuales'!A:B,2,FALSE),
IFERROR(VLOOKUP(B118,'Baremos anteriores'!A:B,2,FALSE),
""))))</f>
        <v/>
      </c>
      <c r="E118" s="9"/>
      <c r="F118" s="89" t="str">
        <f>IF(D118="MATE",
IF(E118="","¿Unidades?",""),
IF(D118="",IF(E118="","","¿Código?"),
IF(E118="","¿Unidades?",
IF(D118="TARE",
IF(M118=$H$3,IFERROR(VLOOKUP(B118,'Baremos actuales'!A:C,3,FALSE),0),
IF(M118=$H$4,IFERROR(VLOOKUP(B118,'Baremos anteriores'!A:C,3,FALSE),0),0))))))</f>
        <v/>
      </c>
      <c r="G118" s="7"/>
      <c r="H118" s="8"/>
      <c r="I118" s="8"/>
      <c r="J118" s="78" t="str">
        <f>IF($D118="","",
IF($E118="","",
IF($D118="MATE","",
IF(VLOOKUP($B118,'Baremos actuales'!A:D,4,FALSE)=J$9,$E118*$F118,IF(VLOOKUP($B118,'Baremos anteriores'!A:D,4,FALSE)="Sin Definir",$E118*$F118,"")))))</f>
        <v/>
      </c>
      <c r="K118" s="79" t="str">
        <f>IF($D118="","",
IF($E118="","",
IF($D118="MATE","",
IF(VLOOKUP($B118,'Baremos actuales'!$A:$D,4,FALSE)=K$9,$E118*$F118,IF(VLOOKUP($B118,'Baremos anteriores'!$A:$D,4,FALSE)="Desmonte",$E118*$F118,"")))))</f>
        <v/>
      </c>
      <c r="L118" s="80" t="str">
        <f>IF($D118="","",
IF($E118="","",
IF($D118="MATE","",
IF(VLOOKUP($B118,'Baremos actuales'!$A:$D,4,FALSE)=L$9,$E118*$F118,""))))</f>
        <v/>
      </c>
      <c r="M118" s="91" t="str">
        <f t="shared" si="1"/>
        <v/>
      </c>
      <c r="N118" s="96"/>
      <c r="O118" s="95"/>
      <c r="P118" s="96"/>
      <c r="Q118" s="98"/>
    </row>
    <row r="119" spans="1:17" ht="15.75" x14ac:dyDescent="0.2">
      <c r="A119" s="17"/>
      <c r="B119" s="18"/>
      <c r="C119" s="87" t="str">
        <f>IF(B119="","",
IF(M119=$H$5,IFERROR(VLOOKUP(B119,'Baremos actuales'!A:E,5,FALSE),"No encontrado. Revisar código, fecha ejecución y/o contrato."),
IF(M119=$H$4,IFERROR(VLOOKUP(B119,'Baremos anteriores'!A:E,5,FALSE),"No encontrado. Revisar código, fecha ejecución y/o contrato."),
IF(M119=$H$3,IFERROR(VLOOKUP(B119,#REF!,5,FALSE),"No encontrado. Revisar código, fecha ejecución y/o contrato."),
IF(D119="","Código no encontrado",
IF(D119="ERROR","No encontrado. Revisar Código, fecha de ejecución y/o contrato.",
IF(D119="MATE",
IF(C118="DESCRIPCION","NO SE PUEDE COMENZAR SIN CÓDIGO DE TAREA",
IF(C118="","FALTA CÓDIGO DE TAREA",
CONCATENATE("          ",VLOOKUP(B119,'Maestro Materiales'!A:C,3,FALSE)))),IFERROR(VLOOKUP(B119,#REF!,5,FALSE),"No encontrado. Revisar código, fecha ejecución y/o contrato."))))))))</f>
        <v/>
      </c>
      <c r="D119" s="88" t="str">
        <f>IF(B119="","",
IFERROR(VLOOKUP(B119,'Maestro Materiales'!A:C,2,FALSE),
IFERROR(VLOOKUP(B119,'Baremos actuales'!A:B,2,FALSE),
IFERROR(VLOOKUP(B119,'Baremos anteriores'!A:B,2,FALSE),
""))))</f>
        <v/>
      </c>
      <c r="E119" s="9"/>
      <c r="F119" s="89" t="str">
        <f>IF(D119="MATE",
IF(E119="","¿Unidades?",""),
IF(D119="",IF(E119="","","¿Código?"),
IF(E119="","¿Unidades?",
IF(D119="TARE",
IF(M119=$H$3,IFERROR(VLOOKUP(B119,'Baremos actuales'!A:C,3,FALSE),0),
IF(M119=$H$4,IFERROR(VLOOKUP(B119,'Baremos anteriores'!A:C,3,FALSE),0),0))))))</f>
        <v/>
      </c>
      <c r="G119" s="7"/>
      <c r="H119" s="8"/>
      <c r="I119" s="8"/>
      <c r="J119" s="78" t="str">
        <f>IF($D119="","",
IF($E119="","",
IF($D119="MATE","",
IF(VLOOKUP($B119,'Baremos actuales'!A:D,4,FALSE)=J$9,$E119*$F119,IF(VLOOKUP($B119,'Baremos anteriores'!A:D,4,FALSE)="Sin Definir",$E119*$F119,"")))))</f>
        <v/>
      </c>
      <c r="K119" s="79" t="str">
        <f>IF($D119="","",
IF($E119="","",
IF($D119="MATE","",
IF(VLOOKUP($B119,'Baremos actuales'!$A:$D,4,FALSE)=K$9,$E119*$F119,IF(VLOOKUP($B119,'Baremos anteriores'!$A:$D,4,FALSE)="Desmonte",$E119*$F119,"")))))</f>
        <v/>
      </c>
      <c r="L119" s="80" t="str">
        <f>IF($D119="","",
IF($E119="","",
IF($D119="MATE","",
IF(VLOOKUP($B119,'Baremos actuales'!$A:$D,4,FALSE)=L$9,$E119*$F119,""))))</f>
        <v/>
      </c>
      <c r="M119" s="91" t="str">
        <f t="shared" si="1"/>
        <v/>
      </c>
      <c r="N119" s="96"/>
      <c r="O119" s="95"/>
      <c r="P119" s="96"/>
      <c r="Q119" s="98"/>
    </row>
    <row r="120" spans="1:17" ht="15.75" x14ac:dyDescent="0.2">
      <c r="A120" s="17"/>
      <c r="B120" s="18"/>
      <c r="C120" s="87" t="str">
        <f>IF(B120="","",
IF(M120=$H$5,IFERROR(VLOOKUP(B120,'Baremos actuales'!A:E,5,FALSE),"No encontrado. Revisar código, fecha ejecución y/o contrato."),
IF(M120=$H$4,IFERROR(VLOOKUP(B120,'Baremos anteriores'!A:E,5,FALSE),"No encontrado. Revisar código, fecha ejecución y/o contrato."),
IF(M120=$H$3,IFERROR(VLOOKUP(B120,#REF!,5,FALSE),"No encontrado. Revisar código, fecha ejecución y/o contrato."),
IF(D120="","Código no encontrado",
IF(D120="ERROR","No encontrado. Revisar Código, fecha de ejecución y/o contrato.",
IF(D120="MATE",
IF(C119="DESCRIPCION","NO SE PUEDE COMENZAR SIN CÓDIGO DE TAREA",
IF(C119="","FALTA CÓDIGO DE TAREA",
CONCATENATE("          ",VLOOKUP(B120,'Maestro Materiales'!A:C,3,FALSE)))),IFERROR(VLOOKUP(B120,#REF!,5,FALSE),"No encontrado. Revisar código, fecha ejecución y/o contrato."))))))))</f>
        <v/>
      </c>
      <c r="D120" s="88" t="str">
        <f>IF(B120="","",
IFERROR(VLOOKUP(B120,'Maestro Materiales'!A:C,2,FALSE),
IFERROR(VLOOKUP(B120,'Baremos actuales'!A:B,2,FALSE),
IFERROR(VLOOKUP(B120,'Baremos anteriores'!A:B,2,FALSE),
""))))</f>
        <v/>
      </c>
      <c r="E120" s="9"/>
      <c r="F120" s="89" t="str">
        <f>IF(D120="MATE",
IF(E120="","¿Unidades?",""),
IF(D120="",IF(E120="","","¿Código?"),
IF(E120="","¿Unidades?",
IF(D120="TARE",
IF(M120=$H$3,IFERROR(VLOOKUP(B120,'Baremos actuales'!A:C,3,FALSE),0),
IF(M120=$H$4,IFERROR(VLOOKUP(B120,'Baremos anteriores'!A:C,3,FALSE),0),0))))))</f>
        <v/>
      </c>
      <c r="G120" s="7"/>
      <c r="H120" s="8"/>
      <c r="I120" s="8"/>
      <c r="J120" s="78" t="str">
        <f>IF($D120="","",
IF($E120="","",
IF($D120="MATE","",
IF(VLOOKUP($B120,'Baremos actuales'!A:D,4,FALSE)=J$9,$E120*$F120,IF(VLOOKUP($B120,'Baremos anteriores'!A:D,4,FALSE)="Sin Definir",$E120*$F120,"")))))</f>
        <v/>
      </c>
      <c r="K120" s="79" t="str">
        <f>IF($D120="","",
IF($E120="","",
IF($D120="MATE","",
IF(VLOOKUP($B120,'Baremos actuales'!$A:$D,4,FALSE)=K$9,$E120*$F120,IF(VLOOKUP($B120,'Baremos anteriores'!$A:$D,4,FALSE)="Desmonte",$E120*$F120,"")))))</f>
        <v/>
      </c>
      <c r="L120" s="80" t="str">
        <f>IF($D120="","",
IF($E120="","",
IF($D120="MATE","",
IF(VLOOKUP($B120,'Baremos actuales'!$A:$D,4,FALSE)=L$9,$E120*$F120,""))))</f>
        <v/>
      </c>
      <c r="M120" s="91" t="str">
        <f t="shared" si="1"/>
        <v/>
      </c>
      <c r="N120" s="96"/>
      <c r="O120" s="95"/>
      <c r="P120" s="96"/>
      <c r="Q120" s="98"/>
    </row>
    <row r="121" spans="1:17" ht="15.75" x14ac:dyDescent="0.2">
      <c r="A121" s="17"/>
      <c r="B121" s="18"/>
      <c r="C121" s="87" t="str">
        <f>IF(B121="","",
IF(M121=$H$5,IFERROR(VLOOKUP(B121,'Baremos actuales'!A:E,5,FALSE),"No encontrado. Revisar código, fecha ejecución y/o contrato."),
IF(M121=$H$4,IFERROR(VLOOKUP(B121,'Baremos anteriores'!A:E,5,FALSE),"No encontrado. Revisar código, fecha ejecución y/o contrato."),
IF(M121=$H$3,IFERROR(VLOOKUP(B121,#REF!,5,FALSE),"No encontrado. Revisar código, fecha ejecución y/o contrato."),
IF(D121="","Código no encontrado",
IF(D121="ERROR","No encontrado. Revisar Código, fecha de ejecución y/o contrato.",
IF(D121="MATE",
IF(C120="DESCRIPCION","NO SE PUEDE COMENZAR SIN CÓDIGO DE TAREA",
IF(C120="","FALTA CÓDIGO DE TAREA",
CONCATENATE("          ",VLOOKUP(B121,'Maestro Materiales'!A:C,3,FALSE)))),IFERROR(VLOOKUP(B121,#REF!,5,FALSE),"No encontrado. Revisar código, fecha ejecución y/o contrato."))))))))</f>
        <v/>
      </c>
      <c r="D121" s="88" t="str">
        <f>IF(B121="","",
IFERROR(VLOOKUP(B121,'Maestro Materiales'!A:C,2,FALSE),
IFERROR(VLOOKUP(B121,'Baremos actuales'!A:B,2,FALSE),
IFERROR(VLOOKUP(B121,'Baremos anteriores'!A:B,2,FALSE),
""))))</f>
        <v/>
      </c>
      <c r="E121" s="9"/>
      <c r="F121" s="89" t="str">
        <f>IF(D121="MATE",
IF(E121="","¿Unidades?",""),
IF(D121="",IF(E121="","","¿Código?"),
IF(E121="","¿Unidades?",
IF(D121="TARE",
IF(M121=$H$3,IFERROR(VLOOKUP(B121,'Baremos actuales'!A:C,3,FALSE),0),
IF(M121=$H$4,IFERROR(VLOOKUP(B121,'Baremos anteriores'!A:C,3,FALSE),0),0))))))</f>
        <v/>
      </c>
      <c r="G121" s="7"/>
      <c r="H121" s="8"/>
      <c r="I121" s="8"/>
      <c r="J121" s="78" t="str">
        <f>IF($D121="","",
IF($E121="","",
IF($D121="MATE","",
IF(VLOOKUP($B121,'Baremos actuales'!A:D,4,FALSE)=J$9,$E121*$F121,IF(VLOOKUP($B121,'Baremos anteriores'!A:D,4,FALSE)="Sin Definir",$E121*$F121,"")))))</f>
        <v/>
      </c>
      <c r="K121" s="79" t="str">
        <f>IF($D121="","",
IF($E121="","",
IF($D121="MATE","",
IF(VLOOKUP($B121,'Baremos actuales'!$A:$D,4,FALSE)=K$9,$E121*$F121,IF(VLOOKUP($B121,'Baremos anteriores'!$A:$D,4,FALSE)="Desmonte",$E121*$F121,"")))))</f>
        <v/>
      </c>
      <c r="L121" s="80" t="str">
        <f>IF($D121="","",
IF($E121="","",
IF($D121="MATE","",
IF(VLOOKUP($B121,'Baremos actuales'!$A:$D,4,FALSE)=L$9,$E121*$F121,""))))</f>
        <v/>
      </c>
      <c r="M121" s="91" t="str">
        <f t="shared" si="1"/>
        <v/>
      </c>
      <c r="N121" s="96"/>
      <c r="O121" s="95"/>
      <c r="P121" s="96"/>
      <c r="Q121" s="98"/>
    </row>
    <row r="122" spans="1:17" ht="15.75" x14ac:dyDescent="0.2">
      <c r="A122" s="17"/>
      <c r="B122" s="18"/>
      <c r="C122" s="87" t="str">
        <f>IF(B122="","",
IF(M122=$H$5,IFERROR(VLOOKUP(B122,'Baremos actuales'!A:E,5,FALSE),"No encontrado. Revisar código, fecha ejecución y/o contrato."),
IF(M122=$H$4,IFERROR(VLOOKUP(B122,'Baremos anteriores'!A:E,5,FALSE),"No encontrado. Revisar código, fecha ejecución y/o contrato."),
IF(M122=$H$3,IFERROR(VLOOKUP(B122,#REF!,5,FALSE),"No encontrado. Revisar código, fecha ejecución y/o contrato."),
IF(D122="","Código no encontrado",
IF(D122="ERROR","No encontrado. Revisar Código, fecha de ejecución y/o contrato.",
IF(D122="MATE",
IF(C121="DESCRIPCION","NO SE PUEDE COMENZAR SIN CÓDIGO DE TAREA",
IF(C121="","FALTA CÓDIGO DE TAREA",
CONCATENATE("          ",VLOOKUP(B122,'Maestro Materiales'!A:C,3,FALSE)))),IFERROR(VLOOKUP(B122,#REF!,5,FALSE),"No encontrado. Revisar código, fecha ejecución y/o contrato."))))))))</f>
        <v/>
      </c>
      <c r="D122" s="88" t="str">
        <f>IF(B122="","",
IFERROR(VLOOKUP(B122,'Maestro Materiales'!A:C,2,FALSE),
IFERROR(VLOOKUP(B122,'Baremos actuales'!A:B,2,FALSE),
IFERROR(VLOOKUP(B122,'Baremos anteriores'!A:B,2,FALSE),
""))))</f>
        <v/>
      </c>
      <c r="E122" s="9"/>
      <c r="F122" s="89" t="str">
        <f>IF(D122="MATE",
IF(E122="","¿Unidades?",""),
IF(D122="",IF(E122="","","¿Código?"),
IF(E122="","¿Unidades?",
IF(D122="TARE",
IF(M122=$H$3,IFERROR(VLOOKUP(B122,'Baremos actuales'!A:C,3,FALSE),0),
IF(M122=$H$4,IFERROR(VLOOKUP(B122,'Baremos anteriores'!A:C,3,FALSE),0),0))))))</f>
        <v/>
      </c>
      <c r="G122" s="7"/>
      <c r="H122" s="8"/>
      <c r="I122" s="8"/>
      <c r="J122" s="78" t="str">
        <f>IF($D122="","",
IF($E122="","",
IF($D122="MATE","",
IF(VLOOKUP($B122,'Baremos actuales'!A:D,4,FALSE)=J$9,$E122*$F122,IF(VLOOKUP($B122,'Baremos anteriores'!A:D,4,FALSE)="Sin Definir",$E122*$F122,"")))))</f>
        <v/>
      </c>
      <c r="K122" s="79" t="str">
        <f>IF($D122="","",
IF($E122="","",
IF($D122="MATE","",
IF(VLOOKUP($B122,'Baremos actuales'!$A:$D,4,FALSE)=K$9,$E122*$F122,IF(VLOOKUP($B122,'Baremos anteriores'!$A:$D,4,FALSE)="Desmonte",$E122*$F122,"")))))</f>
        <v/>
      </c>
      <c r="L122" s="80" t="str">
        <f>IF($D122="","",
IF($E122="","",
IF($D122="MATE","",
IF(VLOOKUP($B122,'Baremos actuales'!$A:$D,4,FALSE)=L$9,$E122*$F122,""))))</f>
        <v/>
      </c>
      <c r="M122" s="91" t="str">
        <f t="shared" si="1"/>
        <v/>
      </c>
      <c r="N122" s="96"/>
      <c r="O122" s="95"/>
      <c r="P122" s="96"/>
      <c r="Q122" s="98"/>
    </row>
    <row r="123" spans="1:17" ht="15.75" x14ac:dyDescent="0.2">
      <c r="A123" s="17"/>
      <c r="B123" s="18"/>
      <c r="C123" s="87" t="str">
        <f>IF(B123="","",
IF(M123=$H$5,IFERROR(VLOOKUP(B123,'Baremos actuales'!A:E,5,FALSE),"No encontrado. Revisar código, fecha ejecución y/o contrato."),
IF(M123=$H$4,IFERROR(VLOOKUP(B123,'Baremos anteriores'!A:E,5,FALSE),"No encontrado. Revisar código, fecha ejecución y/o contrato."),
IF(M123=$H$3,IFERROR(VLOOKUP(B123,#REF!,5,FALSE),"No encontrado. Revisar código, fecha ejecución y/o contrato."),
IF(D123="","Código no encontrado",
IF(D123="ERROR","No encontrado. Revisar Código, fecha de ejecución y/o contrato.",
IF(D123="MATE",
IF(C122="DESCRIPCION","NO SE PUEDE COMENZAR SIN CÓDIGO DE TAREA",
IF(C122="","FALTA CÓDIGO DE TAREA",
CONCATENATE("          ",VLOOKUP(B123,'Maestro Materiales'!A:C,3,FALSE)))),IFERROR(VLOOKUP(B123,#REF!,5,FALSE),"No encontrado. Revisar código, fecha ejecución y/o contrato."))))))))</f>
        <v/>
      </c>
      <c r="D123" s="88" t="str">
        <f>IF(B123="","",
IFERROR(VLOOKUP(B123,'Maestro Materiales'!A:C,2,FALSE),
IFERROR(VLOOKUP(B123,'Baremos actuales'!A:B,2,FALSE),
IFERROR(VLOOKUP(B123,'Baremos anteriores'!A:B,2,FALSE),
""))))</f>
        <v/>
      </c>
      <c r="E123" s="9"/>
      <c r="F123" s="89" t="str">
        <f>IF(D123="MATE",
IF(E123="","¿Unidades?",""),
IF(D123="",IF(E123="","","¿Código?"),
IF(E123="","¿Unidades?",
IF(D123="TARE",
IF(M123=$H$3,IFERROR(VLOOKUP(B123,'Baremos actuales'!A:C,3,FALSE),0),
IF(M123=$H$4,IFERROR(VLOOKUP(B123,'Baremos anteriores'!A:C,3,FALSE),0),0))))))</f>
        <v/>
      </c>
      <c r="G123" s="7"/>
      <c r="H123" s="8"/>
      <c r="I123" s="8"/>
      <c r="J123" s="78" t="str">
        <f>IF($D123="","",
IF($E123="","",
IF($D123="MATE","",
IF(VLOOKUP($B123,'Baremos actuales'!A:D,4,FALSE)=J$9,$E123*$F123,IF(VLOOKUP($B123,'Baremos anteriores'!A:D,4,FALSE)="Sin Definir",$E123*$F123,"")))))</f>
        <v/>
      </c>
      <c r="K123" s="79" t="str">
        <f>IF($D123="","",
IF($E123="","",
IF($D123="MATE","",
IF(VLOOKUP($B123,'Baremos actuales'!$A:$D,4,FALSE)=K$9,$E123*$F123,IF(VLOOKUP($B123,'Baremos anteriores'!$A:$D,4,FALSE)="Desmonte",$E123*$F123,"")))))</f>
        <v/>
      </c>
      <c r="L123" s="80" t="str">
        <f>IF($D123="","",
IF($E123="","",
IF($D123="MATE","",
IF(VLOOKUP($B123,'Baremos actuales'!$A:$D,4,FALSE)=L$9,$E123*$F123,""))))</f>
        <v/>
      </c>
      <c r="M123" s="91" t="str">
        <f t="shared" si="1"/>
        <v/>
      </c>
      <c r="N123" s="96"/>
      <c r="O123" s="95"/>
      <c r="P123" s="96"/>
      <c r="Q123" s="98"/>
    </row>
    <row r="124" spans="1:17" ht="15.75" x14ac:dyDescent="0.2">
      <c r="A124" s="17"/>
      <c r="B124" s="18"/>
      <c r="C124" s="87" t="str">
        <f>IF(B124="","",
IF(M124=$H$5,IFERROR(VLOOKUP(B124,'Baremos actuales'!A:E,5,FALSE),"No encontrado. Revisar código, fecha ejecución y/o contrato."),
IF(M124=$H$4,IFERROR(VLOOKUP(B124,'Baremos anteriores'!A:E,5,FALSE),"No encontrado. Revisar código, fecha ejecución y/o contrato."),
IF(M124=$H$3,IFERROR(VLOOKUP(B124,#REF!,5,FALSE),"No encontrado. Revisar código, fecha ejecución y/o contrato."),
IF(D124="","Código no encontrado",
IF(D124="ERROR","No encontrado. Revisar Código, fecha de ejecución y/o contrato.",
IF(D124="MATE",
IF(C123="DESCRIPCION","NO SE PUEDE COMENZAR SIN CÓDIGO DE TAREA",
IF(C123="","FALTA CÓDIGO DE TAREA",
CONCATENATE("          ",VLOOKUP(B124,'Maestro Materiales'!A:C,3,FALSE)))),IFERROR(VLOOKUP(B124,#REF!,5,FALSE),"No encontrado. Revisar código, fecha ejecución y/o contrato."))))))))</f>
        <v/>
      </c>
      <c r="D124" s="88" t="str">
        <f>IF(B124="","",
IFERROR(VLOOKUP(B124,'Maestro Materiales'!A:C,2,FALSE),
IFERROR(VLOOKUP(B124,'Baremos actuales'!A:B,2,FALSE),
IFERROR(VLOOKUP(B124,'Baremos anteriores'!A:B,2,FALSE),
""))))</f>
        <v/>
      </c>
      <c r="E124" s="9"/>
      <c r="F124" s="89" t="str">
        <f>IF(D124="MATE",
IF(E124="","¿Unidades?",""),
IF(D124="",IF(E124="","","¿Código?"),
IF(E124="","¿Unidades?",
IF(D124="TARE",
IF(M124=$H$3,IFERROR(VLOOKUP(B124,'Baremos actuales'!A:C,3,FALSE),0),
IF(M124=$H$4,IFERROR(VLOOKUP(B124,'Baremos anteriores'!A:C,3,FALSE),0),0))))))</f>
        <v/>
      </c>
      <c r="G124" s="7"/>
      <c r="H124" s="8"/>
      <c r="I124" s="8"/>
      <c r="J124" s="78" t="str">
        <f>IF($D124="","",
IF($E124="","",
IF($D124="MATE","",
IF(VLOOKUP($B124,'Baremos actuales'!A:D,4,FALSE)=J$9,$E124*$F124,IF(VLOOKUP($B124,'Baremos anteriores'!A:D,4,FALSE)="Sin Definir",$E124*$F124,"")))))</f>
        <v/>
      </c>
      <c r="K124" s="79" t="str">
        <f>IF($D124="","",
IF($E124="","",
IF($D124="MATE","",
IF(VLOOKUP($B124,'Baremos actuales'!$A:$D,4,FALSE)=K$9,$E124*$F124,IF(VLOOKUP($B124,'Baremos anteriores'!$A:$D,4,FALSE)="Desmonte",$E124*$F124,"")))))</f>
        <v/>
      </c>
      <c r="L124" s="80" t="str">
        <f>IF($D124="","",
IF($E124="","",
IF($D124="MATE","",
IF(VLOOKUP($B124,'Baremos actuales'!$A:$D,4,FALSE)=L$9,$E124*$F124,""))))</f>
        <v/>
      </c>
      <c r="M124" s="91" t="str">
        <f t="shared" si="1"/>
        <v/>
      </c>
      <c r="N124" s="96"/>
      <c r="O124" s="95"/>
      <c r="P124" s="96"/>
      <c r="Q124" s="98"/>
    </row>
    <row r="125" spans="1:17" ht="15.75" x14ac:dyDescent="0.2">
      <c r="A125" s="17"/>
      <c r="B125" s="18"/>
      <c r="C125" s="87" t="str">
        <f>IF(B125="","",
IF(M125=$H$5,IFERROR(VLOOKUP(B125,'Baremos actuales'!A:E,5,FALSE),"No encontrado. Revisar código, fecha ejecución y/o contrato."),
IF(M125=$H$4,IFERROR(VLOOKUP(B125,'Baremos anteriores'!A:E,5,FALSE),"No encontrado. Revisar código, fecha ejecución y/o contrato."),
IF(M125=$H$3,IFERROR(VLOOKUP(B125,#REF!,5,FALSE),"No encontrado. Revisar código, fecha ejecución y/o contrato."),
IF(D125="","Código no encontrado",
IF(D125="ERROR","No encontrado. Revisar Código, fecha de ejecución y/o contrato.",
IF(D125="MATE",
IF(C124="DESCRIPCION","NO SE PUEDE COMENZAR SIN CÓDIGO DE TAREA",
IF(C124="","FALTA CÓDIGO DE TAREA",
CONCATENATE("          ",VLOOKUP(B125,'Maestro Materiales'!A:C,3,FALSE)))),IFERROR(VLOOKUP(B125,#REF!,5,FALSE),"No encontrado. Revisar código, fecha ejecución y/o contrato."))))))))</f>
        <v/>
      </c>
      <c r="D125" s="88" t="str">
        <f>IF(B125="","",
IFERROR(VLOOKUP(B125,'Maestro Materiales'!A:C,2,FALSE),
IFERROR(VLOOKUP(B125,'Baremos actuales'!A:B,2,FALSE),
IFERROR(VLOOKUP(B125,'Baremos anteriores'!A:B,2,FALSE),
""))))</f>
        <v/>
      </c>
      <c r="E125" s="9"/>
      <c r="F125" s="89" t="str">
        <f>IF(D125="MATE",
IF(E125="","¿Unidades?",""),
IF(D125="",IF(E125="","","¿Código?"),
IF(E125="","¿Unidades?",
IF(D125="TARE",
IF(M125=$H$3,IFERROR(VLOOKUP(B125,'Baremos actuales'!A:C,3,FALSE),0),
IF(M125=$H$4,IFERROR(VLOOKUP(B125,'Baremos anteriores'!A:C,3,FALSE),0),0))))))</f>
        <v/>
      </c>
      <c r="G125" s="7"/>
      <c r="H125" s="8"/>
      <c r="I125" s="8"/>
      <c r="J125" s="78" t="str">
        <f>IF($D125="","",
IF($E125="","",
IF($D125="MATE","",
IF(VLOOKUP($B125,'Baremos actuales'!A:D,4,FALSE)=J$9,$E125*$F125,IF(VLOOKUP($B125,'Baremos anteriores'!A:D,4,FALSE)="Sin Definir",$E125*$F125,"")))))</f>
        <v/>
      </c>
      <c r="K125" s="79" t="str">
        <f>IF($D125="","",
IF($E125="","",
IF($D125="MATE","",
IF(VLOOKUP($B125,'Baremos actuales'!$A:$D,4,FALSE)=K$9,$E125*$F125,IF(VLOOKUP($B125,'Baremos anteriores'!$A:$D,4,FALSE)="Desmonte",$E125*$F125,"")))))</f>
        <v/>
      </c>
      <c r="L125" s="80" t="str">
        <f>IF($D125="","",
IF($E125="","",
IF($D125="MATE","",
IF(VLOOKUP($B125,'Baremos actuales'!$A:$D,4,FALSE)=L$9,$E125*$F125,""))))</f>
        <v/>
      </c>
      <c r="M125" s="91" t="str">
        <f t="shared" si="1"/>
        <v/>
      </c>
      <c r="N125" s="96"/>
      <c r="O125" s="95"/>
      <c r="P125" s="96"/>
      <c r="Q125" s="98"/>
    </row>
    <row r="126" spans="1:17" ht="15.75" x14ac:dyDescent="0.2">
      <c r="A126" s="17"/>
      <c r="B126" s="18"/>
      <c r="C126" s="87" t="str">
        <f>IF(B126="","",
IF(M126=$H$5,IFERROR(VLOOKUP(B126,'Baremos actuales'!A:E,5,FALSE),"No encontrado. Revisar código, fecha ejecución y/o contrato."),
IF(M126=$H$4,IFERROR(VLOOKUP(B126,'Baremos anteriores'!A:E,5,FALSE),"No encontrado. Revisar código, fecha ejecución y/o contrato."),
IF(M126=$H$3,IFERROR(VLOOKUP(B126,#REF!,5,FALSE),"No encontrado. Revisar código, fecha ejecución y/o contrato."),
IF(D126="","Código no encontrado",
IF(D126="ERROR","No encontrado. Revisar Código, fecha de ejecución y/o contrato.",
IF(D126="MATE",
IF(C125="DESCRIPCION","NO SE PUEDE COMENZAR SIN CÓDIGO DE TAREA",
IF(C125="","FALTA CÓDIGO DE TAREA",
CONCATENATE("          ",VLOOKUP(B126,'Maestro Materiales'!A:C,3,FALSE)))),IFERROR(VLOOKUP(B126,#REF!,5,FALSE),"No encontrado. Revisar código, fecha ejecución y/o contrato."))))))))</f>
        <v/>
      </c>
      <c r="D126" s="88" t="str">
        <f>IF(B126="","",
IFERROR(VLOOKUP(B126,'Maestro Materiales'!A:C,2,FALSE),
IFERROR(VLOOKUP(B126,'Baremos actuales'!A:B,2,FALSE),
IFERROR(VLOOKUP(B126,'Baremos anteriores'!A:B,2,FALSE),
""))))</f>
        <v/>
      </c>
      <c r="E126" s="9"/>
      <c r="F126" s="89" t="str">
        <f>IF(D126="MATE",
IF(E126="","¿Unidades?",""),
IF(D126="",IF(E126="","","¿Código?"),
IF(E126="","¿Unidades?",
IF(D126="TARE",
IF(M126=$H$3,IFERROR(VLOOKUP(B126,'Baremos actuales'!A:C,3,FALSE),0),
IF(M126=$H$4,IFERROR(VLOOKUP(B126,'Baremos anteriores'!A:C,3,FALSE),0),0))))))</f>
        <v/>
      </c>
      <c r="G126" s="7"/>
      <c r="H126" s="8"/>
      <c r="I126" s="8"/>
      <c r="J126" s="78" t="str">
        <f>IF($D126="","",
IF($E126="","",
IF($D126="MATE","",
IF(VLOOKUP($B126,'Baremos actuales'!A:D,4,FALSE)=J$9,$E126*$F126,IF(VLOOKUP($B126,'Baremos anteriores'!A:D,4,FALSE)="Sin Definir",$E126*$F126,"")))))</f>
        <v/>
      </c>
      <c r="K126" s="79" t="str">
        <f>IF($D126="","",
IF($E126="","",
IF($D126="MATE","",
IF(VLOOKUP($B126,'Baremos actuales'!$A:$D,4,FALSE)=K$9,$E126*$F126,IF(VLOOKUP($B126,'Baremos anteriores'!$A:$D,4,FALSE)="Desmonte",$E126*$F126,"")))))</f>
        <v/>
      </c>
      <c r="L126" s="80" t="str">
        <f>IF($D126="","",
IF($E126="","",
IF($D126="MATE","",
IF(VLOOKUP($B126,'Baremos actuales'!$A:$D,4,FALSE)=L$9,$E126*$F126,""))))</f>
        <v/>
      </c>
      <c r="M126" s="91" t="str">
        <f t="shared" si="1"/>
        <v/>
      </c>
      <c r="N126" s="96"/>
      <c r="O126" s="95"/>
      <c r="P126" s="96"/>
      <c r="Q126" s="98"/>
    </row>
    <row r="127" spans="1:17" ht="15.75" x14ac:dyDescent="0.2">
      <c r="A127" s="17"/>
      <c r="B127" s="18"/>
      <c r="C127" s="87" t="str">
        <f>IF(B127="","",
IF(M127=$H$5,IFERROR(VLOOKUP(B127,'Baremos actuales'!A:E,5,FALSE),"No encontrado. Revisar código, fecha ejecución y/o contrato."),
IF(M127=$H$4,IFERROR(VLOOKUP(B127,'Baremos anteriores'!A:E,5,FALSE),"No encontrado. Revisar código, fecha ejecución y/o contrato."),
IF(M127=$H$3,IFERROR(VLOOKUP(B127,#REF!,5,FALSE),"No encontrado. Revisar código, fecha ejecución y/o contrato."),
IF(D127="","Código no encontrado",
IF(D127="ERROR","No encontrado. Revisar Código, fecha de ejecución y/o contrato.",
IF(D127="MATE",
IF(C126="DESCRIPCION","NO SE PUEDE COMENZAR SIN CÓDIGO DE TAREA",
IF(C126="","FALTA CÓDIGO DE TAREA",
CONCATENATE("          ",VLOOKUP(B127,'Maestro Materiales'!A:C,3,FALSE)))),IFERROR(VLOOKUP(B127,#REF!,5,FALSE),"No encontrado. Revisar código, fecha ejecución y/o contrato."))))))))</f>
        <v/>
      </c>
      <c r="D127" s="88" t="str">
        <f>IF(B127="","",
IFERROR(VLOOKUP(B127,'Maestro Materiales'!A:C,2,FALSE),
IFERROR(VLOOKUP(B127,'Baremos actuales'!A:B,2,FALSE),
IFERROR(VLOOKUP(B127,'Baremos anteriores'!A:B,2,FALSE),
""))))</f>
        <v/>
      </c>
      <c r="E127" s="9"/>
      <c r="F127" s="89" t="str">
        <f>IF(D127="MATE",
IF(E127="","¿Unidades?",""),
IF(D127="",IF(E127="","","¿Código?"),
IF(E127="","¿Unidades?",
IF(D127="TARE",
IF(M127=$H$3,IFERROR(VLOOKUP(B127,'Baremos actuales'!A:C,3,FALSE),0),
IF(M127=$H$4,IFERROR(VLOOKUP(B127,'Baremos anteriores'!A:C,3,FALSE),0),0))))))</f>
        <v/>
      </c>
      <c r="G127" s="7"/>
      <c r="H127" s="8"/>
      <c r="I127" s="8"/>
      <c r="J127" s="78" t="str">
        <f>IF($D127="","",
IF($E127="","",
IF($D127="MATE","",
IF(VLOOKUP($B127,'Baremos actuales'!A:D,4,FALSE)=J$9,$E127*$F127,IF(VLOOKUP($B127,'Baremos anteriores'!A:D,4,FALSE)="Sin Definir",$E127*$F127,"")))))</f>
        <v/>
      </c>
      <c r="K127" s="79" t="str">
        <f>IF($D127="","",
IF($E127="","",
IF($D127="MATE","",
IF(VLOOKUP($B127,'Baremos actuales'!$A:$D,4,FALSE)=K$9,$E127*$F127,IF(VLOOKUP($B127,'Baremos anteriores'!$A:$D,4,FALSE)="Desmonte",$E127*$F127,"")))))</f>
        <v/>
      </c>
      <c r="L127" s="80" t="str">
        <f>IF($D127="","",
IF($E127="","",
IF($D127="MATE","",
IF(VLOOKUP($B127,'Baremos actuales'!$A:$D,4,FALSE)=L$9,$E127*$F127,""))))</f>
        <v/>
      </c>
      <c r="M127" s="91" t="str">
        <f t="shared" si="1"/>
        <v/>
      </c>
      <c r="N127" s="96"/>
      <c r="O127" s="95"/>
      <c r="P127" s="96"/>
      <c r="Q127" s="98"/>
    </row>
    <row r="128" spans="1:17" ht="15.75" x14ac:dyDescent="0.2">
      <c r="A128" s="17"/>
      <c r="B128" s="18"/>
      <c r="C128" s="87" t="str">
        <f>IF(B128="","",
IF(M128=$H$5,IFERROR(VLOOKUP(B128,'Baremos actuales'!A:E,5,FALSE),"No encontrado. Revisar código, fecha ejecución y/o contrato."),
IF(M128=$H$4,IFERROR(VLOOKUP(B128,'Baremos anteriores'!A:E,5,FALSE),"No encontrado. Revisar código, fecha ejecución y/o contrato."),
IF(M128=$H$3,IFERROR(VLOOKUP(B128,#REF!,5,FALSE),"No encontrado. Revisar código, fecha ejecución y/o contrato."),
IF(D128="","Código no encontrado",
IF(D128="ERROR","No encontrado. Revisar Código, fecha de ejecución y/o contrato.",
IF(D128="MATE",
IF(C127="DESCRIPCION","NO SE PUEDE COMENZAR SIN CÓDIGO DE TAREA",
IF(C127="","FALTA CÓDIGO DE TAREA",
CONCATENATE("          ",VLOOKUP(B128,'Maestro Materiales'!A:C,3,FALSE)))),IFERROR(VLOOKUP(B128,#REF!,5,FALSE),"No encontrado. Revisar código, fecha ejecución y/o contrato."))))))))</f>
        <v/>
      </c>
      <c r="D128" s="88" t="str">
        <f>IF(B128="","",
IFERROR(VLOOKUP(B128,'Maestro Materiales'!A:C,2,FALSE),
IFERROR(VLOOKUP(B128,'Baremos actuales'!A:B,2,FALSE),
IFERROR(VLOOKUP(B128,'Baremos anteriores'!A:B,2,FALSE),
""))))</f>
        <v/>
      </c>
      <c r="E128" s="9"/>
      <c r="F128" s="89" t="str">
        <f>IF(D128="MATE",
IF(E128="","¿Unidades?",""),
IF(D128="",IF(E128="","","¿Código?"),
IF(E128="","¿Unidades?",
IF(D128="TARE",
IF(M128=$H$3,IFERROR(VLOOKUP(B128,'Baremos actuales'!A:C,3,FALSE),0),
IF(M128=$H$4,IFERROR(VLOOKUP(B128,'Baremos anteriores'!A:C,3,FALSE),0),0))))))</f>
        <v/>
      </c>
      <c r="G128" s="7"/>
      <c r="H128" s="8"/>
      <c r="I128" s="8"/>
      <c r="J128" s="78" t="str">
        <f>IF($D128="","",
IF($E128="","",
IF($D128="MATE","",
IF(VLOOKUP($B128,'Baremos actuales'!A:D,4,FALSE)=J$9,$E128*$F128,IF(VLOOKUP($B128,'Baremos anteriores'!A:D,4,FALSE)="Sin Definir",$E128*$F128,"")))))</f>
        <v/>
      </c>
      <c r="K128" s="79" t="str">
        <f>IF($D128="","",
IF($E128="","",
IF($D128="MATE","",
IF(VLOOKUP($B128,'Baremos actuales'!$A:$D,4,FALSE)=K$9,$E128*$F128,IF(VLOOKUP($B128,'Baremos anteriores'!$A:$D,4,FALSE)="Desmonte",$E128*$F128,"")))))</f>
        <v/>
      </c>
      <c r="L128" s="80" t="str">
        <f>IF($D128="","",
IF($E128="","",
IF($D128="MATE","",
IF(VLOOKUP($B128,'Baremos actuales'!$A:$D,4,FALSE)=L$9,$E128*$F128,""))))</f>
        <v/>
      </c>
      <c r="M128" s="91" t="str">
        <f t="shared" si="1"/>
        <v/>
      </c>
      <c r="N128" s="96"/>
      <c r="O128" s="95"/>
      <c r="P128" s="96"/>
      <c r="Q128" s="98"/>
    </row>
    <row r="129" spans="1:17" ht="15.75" x14ac:dyDescent="0.2">
      <c r="A129" s="17"/>
      <c r="B129" s="18"/>
      <c r="C129" s="87" t="str">
        <f>IF(B129="","",
IF(M129=$H$5,IFERROR(VLOOKUP(B129,'Baremos actuales'!A:E,5,FALSE),"No encontrado. Revisar código, fecha ejecución y/o contrato."),
IF(M129=$H$4,IFERROR(VLOOKUP(B129,'Baremos anteriores'!A:E,5,FALSE),"No encontrado. Revisar código, fecha ejecución y/o contrato."),
IF(M129=$H$3,IFERROR(VLOOKUP(B129,#REF!,5,FALSE),"No encontrado. Revisar código, fecha ejecución y/o contrato."),
IF(D129="","Código no encontrado",
IF(D129="ERROR","No encontrado. Revisar Código, fecha de ejecución y/o contrato.",
IF(D129="MATE",
IF(C128="DESCRIPCION","NO SE PUEDE COMENZAR SIN CÓDIGO DE TAREA",
IF(C128="","FALTA CÓDIGO DE TAREA",
CONCATENATE("          ",VLOOKUP(B129,'Maestro Materiales'!A:C,3,FALSE)))),IFERROR(VLOOKUP(B129,#REF!,5,FALSE),"No encontrado. Revisar código, fecha ejecución y/o contrato."))))))))</f>
        <v/>
      </c>
      <c r="D129" s="88" t="str">
        <f>IF(B129="","",
IFERROR(VLOOKUP(B129,'Maestro Materiales'!A:C,2,FALSE),
IFERROR(VLOOKUP(B129,'Baremos actuales'!A:B,2,FALSE),
IFERROR(VLOOKUP(B129,'Baremos anteriores'!A:B,2,FALSE),
""))))</f>
        <v/>
      </c>
      <c r="E129" s="9"/>
      <c r="F129" s="89" t="str">
        <f>IF(D129="MATE",
IF(E129="","¿Unidades?",""),
IF(D129="",IF(E129="","","¿Código?"),
IF(E129="","¿Unidades?",
IF(D129="TARE",
IF(M129=$H$3,IFERROR(VLOOKUP(B129,'Baremos actuales'!A:C,3,FALSE),0),
IF(M129=$H$4,IFERROR(VLOOKUP(B129,'Baremos anteriores'!A:C,3,FALSE),0),0))))))</f>
        <v/>
      </c>
      <c r="G129" s="7"/>
      <c r="H129" s="8"/>
      <c r="I129" s="8"/>
      <c r="J129" s="78" t="str">
        <f>IF($D129="","",
IF($E129="","",
IF($D129="MATE","",
IF(VLOOKUP($B129,'Baremos actuales'!A:D,4,FALSE)=J$9,$E129*$F129,IF(VLOOKUP($B129,'Baremos anteriores'!A:D,4,FALSE)="Sin Definir",$E129*$F129,"")))))</f>
        <v/>
      </c>
      <c r="K129" s="79" t="str">
        <f>IF($D129="","",
IF($E129="","",
IF($D129="MATE","",
IF(VLOOKUP($B129,'Baremos actuales'!$A:$D,4,FALSE)=K$9,$E129*$F129,IF(VLOOKUP($B129,'Baremos anteriores'!$A:$D,4,FALSE)="Desmonte",$E129*$F129,"")))))</f>
        <v/>
      </c>
      <c r="L129" s="80" t="str">
        <f>IF($D129="","",
IF($E129="","",
IF($D129="MATE","",
IF(VLOOKUP($B129,'Baremos actuales'!$A:$D,4,FALSE)=L$9,$E129*$F129,""))))</f>
        <v/>
      </c>
      <c r="M129" s="91" t="str">
        <f t="shared" si="1"/>
        <v/>
      </c>
      <c r="N129" s="96"/>
      <c r="O129" s="95"/>
      <c r="P129" s="96"/>
      <c r="Q129" s="98"/>
    </row>
    <row r="130" spans="1:17" ht="15.75" x14ac:dyDescent="0.2">
      <c r="A130" s="17"/>
      <c r="B130" s="18"/>
      <c r="C130" s="87" t="str">
        <f>IF(B130="","",
IF(M130=$H$5,IFERROR(VLOOKUP(B130,'Baremos actuales'!A:E,5,FALSE),"No encontrado. Revisar código, fecha ejecución y/o contrato."),
IF(M130=$H$4,IFERROR(VLOOKUP(B130,'Baremos anteriores'!A:E,5,FALSE),"No encontrado. Revisar código, fecha ejecución y/o contrato."),
IF(M130=$H$3,IFERROR(VLOOKUP(B130,#REF!,5,FALSE),"No encontrado. Revisar código, fecha ejecución y/o contrato."),
IF(D130="","Código no encontrado",
IF(D130="ERROR","No encontrado. Revisar Código, fecha de ejecución y/o contrato.",
IF(D130="MATE",
IF(C129="DESCRIPCION","NO SE PUEDE COMENZAR SIN CÓDIGO DE TAREA",
IF(C129="","FALTA CÓDIGO DE TAREA",
CONCATENATE("          ",VLOOKUP(B130,'Maestro Materiales'!A:C,3,FALSE)))),IFERROR(VLOOKUP(B130,#REF!,5,FALSE),"No encontrado. Revisar código, fecha ejecución y/o contrato."))))))))</f>
        <v/>
      </c>
      <c r="D130" s="88" t="str">
        <f>IF(B130="","",
IFERROR(VLOOKUP(B130,'Maestro Materiales'!A:C,2,FALSE),
IFERROR(VLOOKUP(B130,'Baremos actuales'!A:B,2,FALSE),
IFERROR(VLOOKUP(B130,'Baremos anteriores'!A:B,2,FALSE),
""))))</f>
        <v/>
      </c>
      <c r="E130" s="9"/>
      <c r="F130" s="89" t="str">
        <f>IF(D130="MATE",
IF(E130="","¿Unidades?",""),
IF(D130="",IF(E130="","","¿Código?"),
IF(E130="","¿Unidades?",
IF(D130="TARE",
IF(M130=$H$3,IFERROR(VLOOKUP(B130,'Baremos actuales'!A:C,3,FALSE),0),
IF(M130=$H$4,IFERROR(VLOOKUP(B130,'Baremos anteriores'!A:C,3,FALSE),0),0))))))</f>
        <v/>
      </c>
      <c r="G130" s="7"/>
      <c r="H130" s="8"/>
      <c r="I130" s="8"/>
      <c r="J130" s="78" t="str">
        <f>IF($D130="","",
IF($E130="","",
IF($D130="MATE","",
IF(VLOOKUP($B130,'Baremos actuales'!A:D,4,FALSE)=J$9,$E130*$F130,IF(VLOOKUP($B130,'Baremos anteriores'!A:D,4,FALSE)="Sin Definir",$E130*$F130,"")))))</f>
        <v/>
      </c>
      <c r="K130" s="79" t="str">
        <f>IF($D130="","",
IF($E130="","",
IF($D130="MATE","",
IF(VLOOKUP($B130,'Baremos actuales'!$A:$D,4,FALSE)=K$9,$E130*$F130,IF(VLOOKUP($B130,'Baremos anteriores'!$A:$D,4,FALSE)="Desmonte",$E130*$F130,"")))))</f>
        <v/>
      </c>
      <c r="L130" s="80" t="str">
        <f>IF($D130="","",
IF($E130="","",
IF($D130="MATE","",
IF(VLOOKUP($B130,'Baremos actuales'!$A:$D,4,FALSE)=L$9,$E130*$F130,""))))</f>
        <v/>
      </c>
      <c r="M130" s="91" t="str">
        <f t="shared" si="1"/>
        <v/>
      </c>
      <c r="N130" s="96"/>
      <c r="O130" s="95"/>
      <c r="P130" s="96"/>
      <c r="Q130" s="98"/>
    </row>
    <row r="131" spans="1:17" ht="15.75" x14ac:dyDescent="0.2">
      <c r="A131" s="17"/>
      <c r="B131" s="18"/>
      <c r="C131" s="87" t="str">
        <f>IF(B131="","",
IF(M131=$H$5,IFERROR(VLOOKUP(B131,'Baremos actuales'!A:E,5,FALSE),"No encontrado. Revisar código, fecha ejecución y/o contrato."),
IF(M131=$H$4,IFERROR(VLOOKUP(B131,'Baremos anteriores'!A:E,5,FALSE),"No encontrado. Revisar código, fecha ejecución y/o contrato."),
IF(M131=$H$3,IFERROR(VLOOKUP(B131,#REF!,5,FALSE),"No encontrado. Revisar código, fecha ejecución y/o contrato."),
IF(D131="","Código no encontrado",
IF(D131="ERROR","No encontrado. Revisar Código, fecha de ejecución y/o contrato.",
IF(D131="MATE",
IF(C130="DESCRIPCION","NO SE PUEDE COMENZAR SIN CÓDIGO DE TAREA",
IF(C130="","FALTA CÓDIGO DE TAREA",
CONCATENATE("          ",VLOOKUP(B131,'Maestro Materiales'!A:C,3,FALSE)))),IFERROR(VLOOKUP(B131,#REF!,5,FALSE),"No encontrado. Revisar código, fecha ejecución y/o contrato."))))))))</f>
        <v/>
      </c>
      <c r="D131" s="88" t="str">
        <f>IF(B131="","",
IFERROR(VLOOKUP(B131,'Maestro Materiales'!A:C,2,FALSE),
IFERROR(VLOOKUP(B131,'Baremos actuales'!A:B,2,FALSE),
IFERROR(VLOOKUP(B131,'Baremos anteriores'!A:B,2,FALSE),
""))))</f>
        <v/>
      </c>
      <c r="E131" s="9"/>
      <c r="F131" s="89" t="str">
        <f>IF(D131="MATE",
IF(E131="","¿Unidades?",""),
IF(D131="",IF(E131="","","¿Código?"),
IF(E131="","¿Unidades?",
IF(D131="TARE",
IF(M131=$H$3,IFERROR(VLOOKUP(B131,'Baremos actuales'!A:C,3,FALSE),0),
IF(M131=$H$4,IFERROR(VLOOKUP(B131,'Baremos anteriores'!A:C,3,FALSE),0),0))))))</f>
        <v/>
      </c>
      <c r="G131" s="7"/>
      <c r="H131" s="8"/>
      <c r="I131" s="8"/>
      <c r="J131" s="78" t="str">
        <f>IF($D131="","",
IF($E131="","",
IF($D131="MATE","",
IF(VLOOKUP($B131,'Baremos actuales'!A:D,4,FALSE)=J$9,$E131*$F131,IF(VLOOKUP($B131,'Baremos anteriores'!A:D,4,FALSE)="Sin Definir",$E131*$F131,"")))))</f>
        <v/>
      </c>
      <c r="K131" s="79" t="str">
        <f>IF($D131="","",
IF($E131="","",
IF($D131="MATE","",
IF(VLOOKUP($B131,'Baremos actuales'!$A:$D,4,FALSE)=K$9,$E131*$F131,IF(VLOOKUP($B131,'Baremos anteriores'!$A:$D,4,FALSE)="Desmonte",$E131*$F131,"")))))</f>
        <v/>
      </c>
      <c r="L131" s="80" t="str">
        <f>IF($D131="","",
IF($E131="","",
IF($D131="MATE","",
IF(VLOOKUP($B131,'Baremos actuales'!$A:$D,4,FALSE)=L$9,$E131*$F131,""))))</f>
        <v/>
      </c>
      <c r="M131" s="91" t="str">
        <f t="shared" si="1"/>
        <v/>
      </c>
      <c r="N131" s="96"/>
      <c r="O131" s="95"/>
      <c r="P131" s="96"/>
      <c r="Q131" s="98"/>
    </row>
    <row r="132" spans="1:17" ht="15.75" x14ac:dyDescent="0.2">
      <c r="A132" s="17"/>
      <c r="B132" s="18"/>
      <c r="C132" s="87" t="str">
        <f>IF(B132="","",
IF(M132=$H$5,IFERROR(VLOOKUP(B132,'Baremos actuales'!A:E,5,FALSE),"No encontrado. Revisar código, fecha ejecución y/o contrato."),
IF(M132=$H$4,IFERROR(VLOOKUP(B132,'Baremos anteriores'!A:E,5,FALSE),"No encontrado. Revisar código, fecha ejecución y/o contrato."),
IF(M132=$H$3,IFERROR(VLOOKUP(B132,#REF!,5,FALSE),"No encontrado. Revisar código, fecha ejecución y/o contrato."),
IF(D132="","Código no encontrado",
IF(D132="ERROR","No encontrado. Revisar Código, fecha de ejecución y/o contrato.",
IF(D132="MATE",
IF(C131="DESCRIPCION","NO SE PUEDE COMENZAR SIN CÓDIGO DE TAREA",
IF(C131="","FALTA CÓDIGO DE TAREA",
CONCATENATE("          ",VLOOKUP(B132,'Maestro Materiales'!A:C,3,FALSE)))),IFERROR(VLOOKUP(B132,#REF!,5,FALSE),"No encontrado. Revisar código, fecha ejecución y/o contrato."))))))))</f>
        <v/>
      </c>
      <c r="D132" s="88" t="str">
        <f>IF(B132="","",
IFERROR(VLOOKUP(B132,'Maestro Materiales'!A:C,2,FALSE),
IFERROR(VLOOKUP(B132,'Baremos actuales'!A:B,2,FALSE),
IFERROR(VLOOKUP(B132,'Baremos anteriores'!A:B,2,FALSE),
""))))</f>
        <v/>
      </c>
      <c r="E132" s="9"/>
      <c r="F132" s="89" t="str">
        <f>IF(D132="MATE",
IF(E132="","¿Unidades?",""),
IF(D132="",IF(E132="","","¿Código?"),
IF(E132="","¿Unidades?",
IF(D132="TARE",
IF(M132=$H$3,IFERROR(VLOOKUP(B132,'Baremos actuales'!A:C,3,FALSE),0),
IF(M132=$H$4,IFERROR(VLOOKUP(B132,'Baremos anteriores'!A:C,3,FALSE),0),0))))))</f>
        <v/>
      </c>
      <c r="G132" s="7"/>
      <c r="H132" s="8"/>
      <c r="I132" s="8"/>
      <c r="J132" s="78" t="str">
        <f>IF($D132="","",
IF($E132="","",
IF($D132="MATE","",
IF(VLOOKUP($B132,'Baremos actuales'!A:D,4,FALSE)=J$9,$E132*$F132,IF(VLOOKUP($B132,'Baremos anteriores'!A:D,4,FALSE)="Sin Definir",$E132*$F132,"")))))</f>
        <v/>
      </c>
      <c r="K132" s="79" t="str">
        <f>IF($D132="","",
IF($E132="","",
IF($D132="MATE","",
IF(VLOOKUP($B132,'Baremos actuales'!$A:$D,4,FALSE)=K$9,$E132*$F132,IF(VLOOKUP($B132,'Baremos anteriores'!$A:$D,4,FALSE)="Desmonte",$E132*$F132,"")))))</f>
        <v/>
      </c>
      <c r="L132" s="80" t="str">
        <f>IF($D132="","",
IF($E132="","",
IF($D132="MATE","",
IF(VLOOKUP($B132,'Baremos actuales'!$A:$D,4,FALSE)=L$9,$E132*$F132,""))))</f>
        <v/>
      </c>
      <c r="M132" s="91" t="str">
        <f t="shared" si="1"/>
        <v/>
      </c>
      <c r="N132" s="96"/>
      <c r="O132" s="95"/>
      <c r="P132" s="96"/>
      <c r="Q132" s="98"/>
    </row>
    <row r="133" spans="1:17" ht="15.75" x14ac:dyDescent="0.2">
      <c r="A133" s="17"/>
      <c r="B133" s="18"/>
      <c r="C133" s="87" t="str">
        <f>IF(B133="","",
IF(M133=$H$5,IFERROR(VLOOKUP(B133,'Baremos actuales'!A:E,5,FALSE),"No encontrado. Revisar código, fecha ejecución y/o contrato."),
IF(M133=$H$4,IFERROR(VLOOKUP(B133,'Baremos anteriores'!A:E,5,FALSE),"No encontrado. Revisar código, fecha ejecución y/o contrato."),
IF(M133=$H$3,IFERROR(VLOOKUP(B133,#REF!,5,FALSE),"No encontrado. Revisar código, fecha ejecución y/o contrato."),
IF(D133="","Código no encontrado",
IF(D133="ERROR","No encontrado. Revisar Código, fecha de ejecución y/o contrato.",
IF(D133="MATE",
IF(C132="DESCRIPCION","NO SE PUEDE COMENZAR SIN CÓDIGO DE TAREA",
IF(C132="","FALTA CÓDIGO DE TAREA",
CONCATENATE("          ",VLOOKUP(B133,'Maestro Materiales'!A:C,3,FALSE)))),IFERROR(VLOOKUP(B133,#REF!,5,FALSE),"No encontrado. Revisar código, fecha ejecución y/o contrato."))))))))</f>
        <v/>
      </c>
      <c r="D133" s="88" t="str">
        <f>IF(B133="","",
IFERROR(VLOOKUP(B133,'Maestro Materiales'!A:C,2,FALSE),
IFERROR(VLOOKUP(B133,'Baremos actuales'!A:B,2,FALSE),
IFERROR(VLOOKUP(B133,'Baremos anteriores'!A:B,2,FALSE),
""))))</f>
        <v/>
      </c>
      <c r="E133" s="9"/>
      <c r="F133" s="89" t="str">
        <f>IF(D133="MATE",
IF(E133="","¿Unidades?",""),
IF(D133="",IF(E133="","","¿Código?"),
IF(E133="","¿Unidades?",
IF(D133="TARE",
IF(M133=$H$3,IFERROR(VLOOKUP(B133,'Baremos actuales'!A:C,3,FALSE),0),
IF(M133=$H$4,IFERROR(VLOOKUP(B133,'Baremos anteriores'!A:C,3,FALSE),0),0))))))</f>
        <v/>
      </c>
      <c r="G133" s="7"/>
      <c r="H133" s="8"/>
      <c r="I133" s="8"/>
      <c r="J133" s="78" t="str">
        <f>IF($D133="","",
IF($E133="","",
IF($D133="MATE","",
IF(VLOOKUP($B133,'Baremos actuales'!A:D,4,FALSE)=J$9,$E133*$F133,IF(VLOOKUP($B133,'Baremos anteriores'!A:D,4,FALSE)="Sin Definir",$E133*$F133,"")))))</f>
        <v/>
      </c>
      <c r="K133" s="79" t="str">
        <f>IF($D133="","",
IF($E133="","",
IF($D133="MATE","",
IF(VLOOKUP($B133,'Baremos actuales'!$A:$D,4,FALSE)=K$9,$E133*$F133,IF(VLOOKUP($B133,'Baremos anteriores'!$A:$D,4,FALSE)="Desmonte",$E133*$F133,"")))))</f>
        <v/>
      </c>
      <c r="L133" s="80" t="str">
        <f>IF($D133="","",
IF($E133="","",
IF($D133="MATE","",
IF(VLOOKUP($B133,'Baremos actuales'!$A:$D,4,FALSE)=L$9,$E133*$F133,""))))</f>
        <v/>
      </c>
      <c r="M133" s="91" t="str">
        <f t="shared" si="1"/>
        <v/>
      </c>
      <c r="N133" s="96"/>
      <c r="O133" s="95"/>
      <c r="P133" s="96"/>
      <c r="Q133" s="98"/>
    </row>
    <row r="134" spans="1:17" ht="15.75" x14ac:dyDescent="0.2">
      <c r="A134" s="17"/>
      <c r="B134" s="18"/>
      <c r="C134" s="87" t="str">
        <f>IF(B134="","",
IF(M134=$H$5,IFERROR(VLOOKUP(B134,'Baremos actuales'!A:E,5,FALSE),"No encontrado. Revisar código, fecha ejecución y/o contrato."),
IF(M134=$H$4,IFERROR(VLOOKUP(B134,'Baremos anteriores'!A:E,5,FALSE),"No encontrado. Revisar código, fecha ejecución y/o contrato."),
IF(M134=$H$3,IFERROR(VLOOKUP(B134,#REF!,5,FALSE),"No encontrado. Revisar código, fecha ejecución y/o contrato."),
IF(D134="","Código no encontrado",
IF(D134="ERROR","No encontrado. Revisar Código, fecha de ejecución y/o contrato.",
IF(D134="MATE",
IF(C133="DESCRIPCION","NO SE PUEDE COMENZAR SIN CÓDIGO DE TAREA",
IF(C133="","FALTA CÓDIGO DE TAREA",
CONCATENATE("          ",VLOOKUP(B134,'Maestro Materiales'!A:C,3,FALSE)))),IFERROR(VLOOKUP(B134,#REF!,5,FALSE),"No encontrado. Revisar código, fecha ejecución y/o contrato."))))))))</f>
        <v/>
      </c>
      <c r="D134" s="88" t="str">
        <f>IF(B134="","",
IFERROR(VLOOKUP(B134,'Maestro Materiales'!A:C,2,FALSE),
IFERROR(VLOOKUP(B134,'Baremos actuales'!A:B,2,FALSE),
IFERROR(VLOOKUP(B134,'Baremos anteriores'!A:B,2,FALSE),
""))))</f>
        <v/>
      </c>
      <c r="E134" s="9"/>
      <c r="F134" s="89" t="str">
        <f>IF(D134="MATE",
IF(E134="","¿Unidades?",""),
IF(D134="",IF(E134="","","¿Código?"),
IF(E134="","¿Unidades?",
IF(D134="TARE",
IF(M134=$H$3,IFERROR(VLOOKUP(B134,'Baremos actuales'!A:C,3,FALSE),0),
IF(M134=$H$4,IFERROR(VLOOKUP(B134,'Baremos anteriores'!A:C,3,FALSE),0),0))))))</f>
        <v/>
      </c>
      <c r="G134" s="7"/>
      <c r="H134" s="8"/>
      <c r="I134" s="8"/>
      <c r="J134" s="78" t="str">
        <f>IF($D134="","",
IF($E134="","",
IF($D134="MATE","",
IF(VLOOKUP($B134,'Baremos actuales'!A:D,4,FALSE)=J$9,$E134*$F134,IF(VLOOKUP($B134,'Baremos anteriores'!A:D,4,FALSE)="Sin Definir",$E134*$F134,"")))))</f>
        <v/>
      </c>
      <c r="K134" s="79" t="str">
        <f>IF($D134="","",
IF($E134="","",
IF($D134="MATE","",
IF(VLOOKUP($B134,'Baremos actuales'!$A:$D,4,FALSE)=K$9,$E134*$F134,IF(VLOOKUP($B134,'Baremos anteriores'!$A:$D,4,FALSE)="Desmonte",$E134*$F134,"")))))</f>
        <v/>
      </c>
      <c r="L134" s="80" t="str">
        <f>IF($D134="","",
IF($E134="","",
IF($D134="MATE","",
IF(VLOOKUP($B134,'Baremos actuales'!$A:$D,4,FALSE)=L$9,$E134*$F134,""))))</f>
        <v/>
      </c>
      <c r="M134" s="91" t="str">
        <f t="shared" si="1"/>
        <v/>
      </c>
      <c r="N134" s="96"/>
      <c r="O134" s="95"/>
      <c r="P134" s="96"/>
      <c r="Q134" s="98"/>
    </row>
    <row r="135" spans="1:17" ht="15.75" x14ac:dyDescent="0.2">
      <c r="A135" s="17"/>
      <c r="B135" s="18"/>
      <c r="C135" s="87" t="str">
        <f>IF(B135="","",
IF(M135=$H$5,IFERROR(VLOOKUP(B135,'Baremos actuales'!A:E,5,FALSE),"No encontrado. Revisar código, fecha ejecución y/o contrato."),
IF(M135=$H$4,IFERROR(VLOOKUP(B135,'Baremos anteriores'!A:E,5,FALSE),"No encontrado. Revisar código, fecha ejecución y/o contrato."),
IF(M135=$H$3,IFERROR(VLOOKUP(B135,#REF!,5,FALSE),"No encontrado. Revisar código, fecha ejecución y/o contrato."),
IF(D135="","Código no encontrado",
IF(D135="ERROR","No encontrado. Revisar Código, fecha de ejecución y/o contrato.",
IF(D135="MATE",
IF(C134="DESCRIPCION","NO SE PUEDE COMENZAR SIN CÓDIGO DE TAREA",
IF(C134="","FALTA CÓDIGO DE TAREA",
CONCATENATE("          ",VLOOKUP(B135,'Maestro Materiales'!A:C,3,FALSE)))),IFERROR(VLOOKUP(B135,#REF!,5,FALSE),"No encontrado. Revisar código, fecha ejecución y/o contrato."))))))))</f>
        <v/>
      </c>
      <c r="D135" s="88" t="str">
        <f>IF(B135="","",
IFERROR(VLOOKUP(B135,'Maestro Materiales'!A:C,2,FALSE),
IFERROR(VLOOKUP(B135,'Baremos actuales'!A:B,2,FALSE),
IFERROR(VLOOKUP(B135,'Baremos anteriores'!A:B,2,FALSE),
""))))</f>
        <v/>
      </c>
      <c r="E135" s="9"/>
      <c r="F135" s="89" t="str">
        <f>IF(D135="MATE",
IF(E135="","¿Unidades?",""),
IF(D135="",IF(E135="","","¿Código?"),
IF(E135="","¿Unidades?",
IF(D135="TARE",
IF(M135=$H$3,IFERROR(VLOOKUP(B135,'Baremos actuales'!A:C,3,FALSE),0),
IF(M135=$H$4,IFERROR(VLOOKUP(B135,'Baremos anteriores'!A:C,3,FALSE),0),0))))))</f>
        <v/>
      </c>
      <c r="G135" s="7"/>
      <c r="H135" s="8"/>
      <c r="I135" s="8"/>
      <c r="J135" s="78" t="str">
        <f>IF($D135="","",
IF($E135="","",
IF($D135="MATE","",
IF(VLOOKUP($B135,'Baremos actuales'!A:D,4,FALSE)=J$9,$E135*$F135,IF(VLOOKUP($B135,'Baremos anteriores'!A:D,4,FALSE)="Sin Definir",$E135*$F135,"")))))</f>
        <v/>
      </c>
      <c r="K135" s="79" t="str">
        <f>IF($D135="","",
IF($E135="","",
IF($D135="MATE","",
IF(VLOOKUP($B135,'Baremos actuales'!$A:$D,4,FALSE)=K$9,$E135*$F135,IF(VLOOKUP($B135,'Baremos anteriores'!$A:$D,4,FALSE)="Desmonte",$E135*$F135,"")))))</f>
        <v/>
      </c>
      <c r="L135" s="80" t="str">
        <f>IF($D135="","",
IF($E135="","",
IF($D135="MATE","",
IF(VLOOKUP($B135,'Baremos actuales'!$A:$D,4,FALSE)=L$9,$E135*$F135,""))))</f>
        <v/>
      </c>
      <c r="M135" s="91" t="str">
        <f t="shared" si="1"/>
        <v/>
      </c>
      <c r="N135" s="96"/>
      <c r="O135" s="95"/>
      <c r="P135" s="96"/>
      <c r="Q135" s="98"/>
    </row>
    <row r="136" spans="1:17" ht="15.75" x14ac:dyDescent="0.2">
      <c r="A136" s="17"/>
      <c r="B136" s="18"/>
      <c r="C136" s="87" t="str">
        <f>IF(B136="","",
IF(M136=$H$5,IFERROR(VLOOKUP(B136,'Baremos actuales'!A:E,5,FALSE),"No encontrado. Revisar código, fecha ejecución y/o contrato."),
IF(M136=$H$4,IFERROR(VLOOKUP(B136,'Baremos anteriores'!A:E,5,FALSE),"No encontrado. Revisar código, fecha ejecución y/o contrato."),
IF(M136=$H$3,IFERROR(VLOOKUP(B136,#REF!,5,FALSE),"No encontrado. Revisar código, fecha ejecución y/o contrato."),
IF(D136="","Código no encontrado",
IF(D136="ERROR","No encontrado. Revisar Código, fecha de ejecución y/o contrato.",
IF(D136="MATE",
IF(C135="DESCRIPCION","NO SE PUEDE COMENZAR SIN CÓDIGO DE TAREA",
IF(C135="","FALTA CÓDIGO DE TAREA",
CONCATENATE("          ",VLOOKUP(B136,'Maestro Materiales'!A:C,3,FALSE)))),IFERROR(VLOOKUP(B136,#REF!,5,FALSE),"No encontrado. Revisar código, fecha ejecución y/o contrato."))))))))</f>
        <v/>
      </c>
      <c r="D136" s="88" t="str">
        <f>IF(B136="","",
IFERROR(VLOOKUP(B136,'Maestro Materiales'!A:C,2,FALSE),
IFERROR(VLOOKUP(B136,'Baremos actuales'!A:B,2,FALSE),
IFERROR(VLOOKUP(B136,'Baremos anteriores'!A:B,2,FALSE),
""))))</f>
        <v/>
      </c>
      <c r="E136" s="9"/>
      <c r="F136" s="89" t="str">
        <f>IF(D136="MATE",
IF(E136="","¿Unidades?",""),
IF(D136="",IF(E136="","","¿Código?"),
IF(E136="","¿Unidades?",
IF(D136="TARE",
IF(M136=$H$3,IFERROR(VLOOKUP(B136,'Baremos actuales'!A:C,3,FALSE),0),
IF(M136=$H$4,IFERROR(VLOOKUP(B136,'Baremos anteriores'!A:C,3,FALSE),0),0))))))</f>
        <v/>
      </c>
      <c r="G136" s="7"/>
      <c r="H136" s="8"/>
      <c r="I136" s="8"/>
      <c r="J136" s="78" t="str">
        <f>IF($D136="","",
IF($E136="","",
IF($D136="MATE","",
IF(VLOOKUP($B136,'Baremos actuales'!A:D,4,FALSE)=J$9,$E136*$F136,IF(VLOOKUP($B136,'Baremos anteriores'!A:D,4,FALSE)="Sin Definir",$E136*$F136,"")))))</f>
        <v/>
      </c>
      <c r="K136" s="79" t="str">
        <f>IF($D136="","",
IF($E136="","",
IF($D136="MATE","",
IF(VLOOKUP($B136,'Baremos actuales'!$A:$D,4,FALSE)=K$9,$E136*$F136,IF(VLOOKUP($B136,'Baremos anteriores'!$A:$D,4,FALSE)="Desmonte",$E136*$F136,"")))))</f>
        <v/>
      </c>
      <c r="L136" s="80" t="str">
        <f>IF($D136="","",
IF($E136="","",
IF($D136="MATE","",
IF(VLOOKUP($B136,'Baremos actuales'!$A:$D,4,FALSE)=L$9,$E136*$F136,""))))</f>
        <v/>
      </c>
      <c r="M136" s="91" t="str">
        <f t="shared" si="1"/>
        <v/>
      </c>
      <c r="N136" s="96"/>
      <c r="O136" s="95"/>
      <c r="P136" s="96"/>
      <c r="Q136" s="98"/>
    </row>
    <row r="137" spans="1:17" ht="15.75" x14ac:dyDescent="0.2">
      <c r="A137" s="17"/>
      <c r="B137" s="18"/>
      <c r="C137" s="87" t="str">
        <f>IF(B137="","",
IF(M137=$H$5,IFERROR(VLOOKUP(B137,'Baremos actuales'!A:E,5,FALSE),"No encontrado. Revisar código, fecha ejecución y/o contrato."),
IF(M137=$H$4,IFERROR(VLOOKUP(B137,'Baremos anteriores'!A:E,5,FALSE),"No encontrado. Revisar código, fecha ejecución y/o contrato."),
IF(M137=$H$3,IFERROR(VLOOKUP(B137,#REF!,5,FALSE),"No encontrado. Revisar código, fecha ejecución y/o contrato."),
IF(D137="","Código no encontrado",
IF(D137="ERROR","No encontrado. Revisar Código, fecha de ejecución y/o contrato.",
IF(D137="MATE",
IF(C136="DESCRIPCION","NO SE PUEDE COMENZAR SIN CÓDIGO DE TAREA",
IF(C136="","FALTA CÓDIGO DE TAREA",
CONCATENATE("          ",VLOOKUP(B137,'Maestro Materiales'!A:C,3,FALSE)))),IFERROR(VLOOKUP(B137,#REF!,5,FALSE),"No encontrado. Revisar código, fecha ejecución y/o contrato."))))))))</f>
        <v/>
      </c>
      <c r="D137" s="88" t="str">
        <f>IF(B137="","",
IFERROR(VLOOKUP(B137,'Maestro Materiales'!A:C,2,FALSE),
IFERROR(VLOOKUP(B137,'Baremos actuales'!A:B,2,FALSE),
IFERROR(VLOOKUP(B137,'Baremos anteriores'!A:B,2,FALSE),
""))))</f>
        <v/>
      </c>
      <c r="E137" s="9"/>
      <c r="F137" s="89" t="str">
        <f>IF(D137="MATE",
IF(E137="","¿Unidades?",""),
IF(D137="",IF(E137="","","¿Código?"),
IF(E137="","¿Unidades?",
IF(D137="TARE",
IF(M137=$H$3,IFERROR(VLOOKUP(B137,'Baremos actuales'!A:C,3,FALSE),0),
IF(M137=$H$4,IFERROR(VLOOKUP(B137,'Baremos anteriores'!A:C,3,FALSE),0),0))))))</f>
        <v/>
      </c>
      <c r="G137" s="7"/>
      <c r="H137" s="8"/>
      <c r="I137" s="8"/>
      <c r="J137" s="78" t="str">
        <f>IF($D137="","",
IF($E137="","",
IF($D137="MATE","",
IF(VLOOKUP($B137,'Baremos actuales'!A:D,4,FALSE)=J$9,$E137*$F137,IF(VLOOKUP($B137,'Baremos anteriores'!A:D,4,FALSE)="Sin Definir",$E137*$F137,"")))))</f>
        <v/>
      </c>
      <c r="K137" s="79" t="str">
        <f>IF($D137="","",
IF($E137="","",
IF($D137="MATE","",
IF(VLOOKUP($B137,'Baremos actuales'!$A:$D,4,FALSE)=K$9,$E137*$F137,IF(VLOOKUP($B137,'Baremos anteriores'!$A:$D,4,FALSE)="Desmonte",$E137*$F137,"")))))</f>
        <v/>
      </c>
      <c r="L137" s="80" t="str">
        <f>IF($D137="","",
IF($E137="","",
IF($D137="MATE","",
IF(VLOOKUP($B137,'Baremos actuales'!$A:$D,4,FALSE)=L$9,$E137*$F137,""))))</f>
        <v/>
      </c>
      <c r="M137" s="91" t="str">
        <f t="shared" si="1"/>
        <v/>
      </c>
      <c r="N137" s="96"/>
      <c r="O137" s="95"/>
      <c r="P137" s="96"/>
      <c r="Q137" s="98"/>
    </row>
    <row r="138" spans="1:17" ht="15.75" x14ac:dyDescent="0.2">
      <c r="A138" s="17"/>
      <c r="B138" s="18"/>
      <c r="C138" s="87" t="str">
        <f>IF(B138="","",
IF(M138=$H$5,IFERROR(VLOOKUP(B138,'Baremos actuales'!A:E,5,FALSE),"No encontrado. Revisar código, fecha ejecución y/o contrato."),
IF(M138=$H$4,IFERROR(VLOOKUP(B138,'Baremos anteriores'!A:E,5,FALSE),"No encontrado. Revisar código, fecha ejecución y/o contrato."),
IF(M138=$H$3,IFERROR(VLOOKUP(B138,#REF!,5,FALSE),"No encontrado. Revisar código, fecha ejecución y/o contrato."),
IF(D138="","Código no encontrado",
IF(D138="ERROR","No encontrado. Revisar Código, fecha de ejecución y/o contrato.",
IF(D138="MATE",
IF(C137="DESCRIPCION","NO SE PUEDE COMENZAR SIN CÓDIGO DE TAREA",
IF(C137="","FALTA CÓDIGO DE TAREA",
CONCATENATE("          ",VLOOKUP(B138,'Maestro Materiales'!A:C,3,FALSE)))),IFERROR(VLOOKUP(B138,#REF!,5,FALSE),"No encontrado. Revisar código, fecha ejecución y/o contrato."))))))))</f>
        <v/>
      </c>
      <c r="D138" s="88" t="str">
        <f>IF(B138="","",
IFERROR(VLOOKUP(B138,'Maestro Materiales'!A:C,2,FALSE),
IFERROR(VLOOKUP(B138,'Baremos actuales'!A:B,2,FALSE),
IFERROR(VLOOKUP(B138,'Baremos anteriores'!A:B,2,FALSE),
""))))</f>
        <v/>
      </c>
      <c r="E138" s="9"/>
      <c r="F138" s="89" t="str">
        <f>IF(D138="MATE",
IF(E138="","¿Unidades?",""),
IF(D138="",IF(E138="","","¿Código?"),
IF(E138="","¿Unidades?",
IF(D138="TARE",
IF(M138=$H$3,IFERROR(VLOOKUP(B138,'Baremos actuales'!A:C,3,FALSE),0),
IF(M138=$H$4,IFERROR(VLOOKUP(B138,'Baremos anteriores'!A:C,3,FALSE),0),0))))))</f>
        <v/>
      </c>
      <c r="G138" s="7"/>
      <c r="H138" s="8"/>
      <c r="I138" s="8"/>
      <c r="J138" s="78" t="str">
        <f>IF($D138="","",
IF($E138="","",
IF($D138="MATE","",
IF(VLOOKUP($B138,'Baremos actuales'!A:D,4,FALSE)=J$9,$E138*$F138,IF(VLOOKUP($B138,'Baremos anteriores'!A:D,4,FALSE)="Sin Definir",$E138*$F138,"")))))</f>
        <v/>
      </c>
      <c r="K138" s="79" t="str">
        <f>IF($D138="","",
IF($E138="","",
IF($D138="MATE","",
IF(VLOOKUP($B138,'Baremos actuales'!$A:$D,4,FALSE)=K$9,$E138*$F138,IF(VLOOKUP($B138,'Baremos anteriores'!$A:$D,4,FALSE)="Desmonte",$E138*$F138,"")))))</f>
        <v/>
      </c>
      <c r="L138" s="80" t="str">
        <f>IF($D138="","",
IF($E138="","",
IF($D138="MATE","",
IF(VLOOKUP($B138,'Baremos actuales'!$A:$D,4,FALSE)=L$9,$E138*$F138,""))))</f>
        <v/>
      </c>
      <c r="M138" s="91" t="str">
        <f t="shared" si="1"/>
        <v/>
      </c>
      <c r="N138" s="96"/>
      <c r="O138" s="95"/>
      <c r="P138" s="96"/>
      <c r="Q138" s="98"/>
    </row>
    <row r="139" spans="1:17" ht="15.75" x14ac:dyDescent="0.2">
      <c r="A139" s="17"/>
      <c r="B139" s="18"/>
      <c r="C139" s="87" t="str">
        <f>IF(B139="","",
IF(M139=$H$5,IFERROR(VLOOKUP(B139,'Baremos actuales'!A:E,5,FALSE),"No encontrado. Revisar código, fecha ejecución y/o contrato."),
IF(M139=$H$4,IFERROR(VLOOKUP(B139,'Baremos anteriores'!A:E,5,FALSE),"No encontrado. Revisar código, fecha ejecución y/o contrato."),
IF(M139=$H$3,IFERROR(VLOOKUP(B139,#REF!,5,FALSE),"No encontrado. Revisar código, fecha ejecución y/o contrato."),
IF(D139="","Código no encontrado",
IF(D139="ERROR","No encontrado. Revisar Código, fecha de ejecución y/o contrato.",
IF(D139="MATE",
IF(C138="DESCRIPCION","NO SE PUEDE COMENZAR SIN CÓDIGO DE TAREA",
IF(C138="","FALTA CÓDIGO DE TAREA",
CONCATENATE("          ",VLOOKUP(B139,'Maestro Materiales'!A:C,3,FALSE)))),IFERROR(VLOOKUP(B139,#REF!,5,FALSE),"No encontrado. Revisar código, fecha ejecución y/o contrato."))))))))</f>
        <v/>
      </c>
      <c r="D139" s="88" t="str">
        <f>IF(B139="","",
IFERROR(VLOOKUP(B139,'Maestro Materiales'!A:C,2,FALSE),
IFERROR(VLOOKUP(B139,'Baremos actuales'!A:B,2,FALSE),
IFERROR(VLOOKUP(B139,'Baremos anteriores'!A:B,2,FALSE),
""))))</f>
        <v/>
      </c>
      <c r="E139" s="9"/>
      <c r="F139" s="89" t="str">
        <f>IF(D139="MATE",
IF(E139="","¿Unidades?",""),
IF(D139="",IF(E139="","","¿Código?"),
IF(E139="","¿Unidades?",
IF(D139="TARE",
IF(M139=$H$3,IFERROR(VLOOKUP(B139,'Baremos actuales'!A:C,3,FALSE),0),
IF(M139=$H$4,IFERROR(VLOOKUP(B139,'Baremos anteriores'!A:C,3,FALSE),0),0))))))</f>
        <v/>
      </c>
      <c r="G139" s="7"/>
      <c r="H139" s="8"/>
      <c r="I139" s="8"/>
      <c r="J139" s="78" t="str">
        <f>IF($D139="","",
IF($E139="","",
IF($D139="MATE","",
IF(VLOOKUP($B139,'Baremos actuales'!A:D,4,FALSE)=J$9,$E139*$F139,IF(VLOOKUP($B139,'Baremos anteriores'!A:D,4,FALSE)="Sin Definir",$E139*$F139,"")))))</f>
        <v/>
      </c>
      <c r="K139" s="79" t="str">
        <f>IF($D139="","",
IF($E139="","",
IF($D139="MATE","",
IF(VLOOKUP($B139,'Baremos actuales'!$A:$D,4,FALSE)=K$9,$E139*$F139,IF(VLOOKUP($B139,'Baremos anteriores'!$A:$D,4,FALSE)="Desmonte",$E139*$F139,"")))))</f>
        <v/>
      </c>
      <c r="L139" s="80" t="str">
        <f>IF($D139="","",
IF($E139="","",
IF($D139="MATE","",
IF(VLOOKUP($B139,'Baremos actuales'!$A:$D,4,FALSE)=L$9,$E139*$F139,""))))</f>
        <v/>
      </c>
      <c r="M139" s="91" t="str">
        <f t="shared" ref="M139:M202" si="2">IF(D139="MATE","Materiales",IF(B139="","",
IF($Q$1="O","Obsoleto",$F$2)))</f>
        <v/>
      </c>
      <c r="N139" s="96"/>
      <c r="O139" s="95"/>
      <c r="P139" s="96"/>
      <c r="Q139" s="98"/>
    </row>
    <row r="140" spans="1:17" ht="15.75" x14ac:dyDescent="0.2">
      <c r="A140" s="17"/>
      <c r="B140" s="18"/>
      <c r="C140" s="87" t="str">
        <f>IF(B140="","",
IF(M140=$H$5,IFERROR(VLOOKUP(B140,'Baremos actuales'!A:E,5,FALSE),"No encontrado. Revisar código, fecha ejecución y/o contrato."),
IF(M140=$H$4,IFERROR(VLOOKUP(B140,'Baremos anteriores'!A:E,5,FALSE),"No encontrado. Revisar código, fecha ejecución y/o contrato."),
IF(M140=$H$3,IFERROR(VLOOKUP(B140,#REF!,5,FALSE),"No encontrado. Revisar código, fecha ejecución y/o contrato."),
IF(D140="","Código no encontrado",
IF(D140="ERROR","No encontrado. Revisar Código, fecha de ejecución y/o contrato.",
IF(D140="MATE",
IF(C139="DESCRIPCION","NO SE PUEDE COMENZAR SIN CÓDIGO DE TAREA",
IF(C139="","FALTA CÓDIGO DE TAREA",
CONCATENATE("          ",VLOOKUP(B140,'Maestro Materiales'!A:C,3,FALSE)))),IFERROR(VLOOKUP(B140,#REF!,5,FALSE),"No encontrado. Revisar código, fecha ejecución y/o contrato."))))))))</f>
        <v/>
      </c>
      <c r="D140" s="88" t="str">
        <f>IF(B140="","",
IFERROR(VLOOKUP(B140,'Maestro Materiales'!A:C,2,FALSE),
IFERROR(VLOOKUP(B140,'Baremos actuales'!A:B,2,FALSE),
IFERROR(VLOOKUP(B140,'Baremos anteriores'!A:B,2,FALSE),
""))))</f>
        <v/>
      </c>
      <c r="E140" s="9"/>
      <c r="F140" s="89" t="str">
        <f>IF(D140="MATE",
IF(E140="","¿Unidades?",""),
IF(D140="",IF(E140="","","¿Código?"),
IF(E140="","¿Unidades?",
IF(D140="TARE",
IF(M140=$H$3,IFERROR(VLOOKUP(B140,'Baremos actuales'!A:C,3,FALSE),0),
IF(M140=$H$4,IFERROR(VLOOKUP(B140,'Baremos anteriores'!A:C,3,FALSE),0),0))))))</f>
        <v/>
      </c>
      <c r="G140" s="7"/>
      <c r="H140" s="8"/>
      <c r="I140" s="8"/>
      <c r="J140" s="78" t="str">
        <f>IF($D140="","",
IF($E140="","",
IF($D140="MATE","",
IF(VLOOKUP($B140,'Baremos actuales'!A:D,4,FALSE)=J$9,$E140*$F140,IF(VLOOKUP($B140,'Baremos anteriores'!A:D,4,FALSE)="Sin Definir",$E140*$F140,"")))))</f>
        <v/>
      </c>
      <c r="K140" s="79" t="str">
        <f>IF($D140="","",
IF($E140="","",
IF($D140="MATE","",
IF(VLOOKUP($B140,'Baremos actuales'!$A:$D,4,FALSE)=K$9,$E140*$F140,IF(VLOOKUP($B140,'Baremos anteriores'!$A:$D,4,FALSE)="Desmonte",$E140*$F140,"")))))</f>
        <v/>
      </c>
      <c r="L140" s="80" t="str">
        <f>IF($D140="","",
IF($E140="","",
IF($D140="MATE","",
IF(VLOOKUP($B140,'Baremos actuales'!$A:$D,4,FALSE)=L$9,$E140*$F140,""))))</f>
        <v/>
      </c>
      <c r="M140" s="91" t="str">
        <f t="shared" si="2"/>
        <v/>
      </c>
      <c r="N140" s="96"/>
      <c r="O140" s="95"/>
      <c r="P140" s="96"/>
      <c r="Q140" s="98"/>
    </row>
    <row r="141" spans="1:17" ht="15.75" x14ac:dyDescent="0.2">
      <c r="A141" s="17"/>
      <c r="B141" s="18"/>
      <c r="C141" s="87" t="str">
        <f>IF(B141="","",
IF(M141=$H$5,IFERROR(VLOOKUP(B141,'Baremos actuales'!A:E,5,FALSE),"No encontrado. Revisar código, fecha ejecución y/o contrato."),
IF(M141=$H$4,IFERROR(VLOOKUP(B141,'Baremos anteriores'!A:E,5,FALSE),"No encontrado. Revisar código, fecha ejecución y/o contrato."),
IF(M141=$H$3,IFERROR(VLOOKUP(B141,#REF!,5,FALSE),"No encontrado. Revisar código, fecha ejecución y/o contrato."),
IF(D141="","Código no encontrado",
IF(D141="ERROR","No encontrado. Revisar Código, fecha de ejecución y/o contrato.",
IF(D141="MATE",
IF(C140="DESCRIPCION","NO SE PUEDE COMENZAR SIN CÓDIGO DE TAREA",
IF(C140="","FALTA CÓDIGO DE TAREA",
CONCATENATE("          ",VLOOKUP(B141,'Maestro Materiales'!A:C,3,FALSE)))),IFERROR(VLOOKUP(B141,#REF!,5,FALSE),"No encontrado. Revisar código, fecha ejecución y/o contrato."))))))))</f>
        <v/>
      </c>
      <c r="D141" s="88" t="str">
        <f>IF(B141="","",
IFERROR(VLOOKUP(B141,'Maestro Materiales'!A:C,2,FALSE),
IFERROR(VLOOKUP(B141,'Baremos actuales'!A:B,2,FALSE),
IFERROR(VLOOKUP(B141,'Baremos anteriores'!A:B,2,FALSE),
""))))</f>
        <v/>
      </c>
      <c r="E141" s="9"/>
      <c r="F141" s="89" t="str">
        <f>IF(D141="MATE",
IF(E141="","¿Unidades?",""),
IF(D141="",IF(E141="","","¿Código?"),
IF(E141="","¿Unidades?",
IF(D141="TARE",
IF(M141=$H$3,IFERROR(VLOOKUP(B141,'Baremos actuales'!A:C,3,FALSE),0),
IF(M141=$H$4,IFERROR(VLOOKUP(B141,'Baremos anteriores'!A:C,3,FALSE),0),0))))))</f>
        <v/>
      </c>
      <c r="G141" s="7"/>
      <c r="H141" s="8"/>
      <c r="I141" s="8"/>
      <c r="J141" s="78" t="str">
        <f>IF($D141="","",
IF($E141="","",
IF($D141="MATE","",
IF(VLOOKUP($B141,'Baremos actuales'!A:D,4,FALSE)=J$9,$E141*$F141,IF(VLOOKUP($B141,'Baremos anteriores'!A:D,4,FALSE)="Sin Definir",$E141*$F141,"")))))</f>
        <v/>
      </c>
      <c r="K141" s="79" t="str">
        <f>IF($D141="","",
IF($E141="","",
IF($D141="MATE","",
IF(VLOOKUP($B141,'Baremos actuales'!$A:$D,4,FALSE)=K$9,$E141*$F141,IF(VLOOKUP($B141,'Baremos anteriores'!$A:$D,4,FALSE)="Desmonte",$E141*$F141,"")))))</f>
        <v/>
      </c>
      <c r="L141" s="80" t="str">
        <f>IF($D141="","",
IF($E141="","",
IF($D141="MATE","",
IF(VLOOKUP($B141,'Baremos actuales'!$A:$D,4,FALSE)=L$9,$E141*$F141,""))))</f>
        <v/>
      </c>
      <c r="M141" s="91" t="str">
        <f t="shared" si="2"/>
        <v/>
      </c>
      <c r="N141" s="96"/>
      <c r="O141" s="95"/>
      <c r="P141" s="96"/>
      <c r="Q141" s="98"/>
    </row>
    <row r="142" spans="1:17" ht="15.75" x14ac:dyDescent="0.2">
      <c r="A142" s="17"/>
      <c r="B142" s="18"/>
      <c r="C142" s="87" t="str">
        <f>IF(B142="","",
IF(M142=$H$5,IFERROR(VLOOKUP(B142,'Baremos actuales'!A:E,5,FALSE),"No encontrado. Revisar código, fecha ejecución y/o contrato."),
IF(M142=$H$4,IFERROR(VLOOKUP(B142,'Baremos anteriores'!A:E,5,FALSE),"No encontrado. Revisar código, fecha ejecución y/o contrato."),
IF(M142=$H$3,IFERROR(VLOOKUP(B142,#REF!,5,FALSE),"No encontrado. Revisar código, fecha ejecución y/o contrato."),
IF(D142="","Código no encontrado",
IF(D142="ERROR","No encontrado. Revisar Código, fecha de ejecución y/o contrato.",
IF(D142="MATE",
IF(C141="DESCRIPCION","NO SE PUEDE COMENZAR SIN CÓDIGO DE TAREA",
IF(C141="","FALTA CÓDIGO DE TAREA",
CONCATENATE("          ",VLOOKUP(B142,'Maestro Materiales'!A:C,3,FALSE)))),IFERROR(VLOOKUP(B142,#REF!,5,FALSE),"No encontrado. Revisar código, fecha ejecución y/o contrato."))))))))</f>
        <v/>
      </c>
      <c r="D142" s="88" t="str">
        <f>IF(B142="","",
IFERROR(VLOOKUP(B142,'Maestro Materiales'!A:C,2,FALSE),
IFERROR(VLOOKUP(B142,'Baremos actuales'!A:B,2,FALSE),
IFERROR(VLOOKUP(B142,'Baremos anteriores'!A:B,2,FALSE),
""))))</f>
        <v/>
      </c>
      <c r="E142" s="9"/>
      <c r="F142" s="89" t="str">
        <f>IF(D142="MATE",
IF(E142="","¿Unidades?",""),
IF(D142="",IF(E142="","","¿Código?"),
IF(E142="","¿Unidades?",
IF(D142="TARE",
IF(M142=$H$3,IFERROR(VLOOKUP(B142,'Baremos actuales'!A:C,3,FALSE),0),
IF(M142=$H$4,IFERROR(VLOOKUP(B142,'Baremos anteriores'!A:C,3,FALSE),0),0))))))</f>
        <v/>
      </c>
      <c r="G142" s="7"/>
      <c r="H142" s="8"/>
      <c r="I142" s="8"/>
      <c r="J142" s="78" t="str">
        <f>IF($D142="","",
IF($E142="","",
IF($D142="MATE","",
IF(VLOOKUP($B142,'Baremos actuales'!A:D,4,FALSE)=J$9,$E142*$F142,IF(VLOOKUP($B142,'Baremos anteriores'!A:D,4,FALSE)="Sin Definir",$E142*$F142,"")))))</f>
        <v/>
      </c>
      <c r="K142" s="79" t="str">
        <f>IF($D142="","",
IF($E142="","",
IF($D142="MATE","",
IF(VLOOKUP($B142,'Baremos actuales'!$A:$D,4,FALSE)=K$9,$E142*$F142,IF(VLOOKUP($B142,'Baremos anteriores'!$A:$D,4,FALSE)="Desmonte",$E142*$F142,"")))))</f>
        <v/>
      </c>
      <c r="L142" s="80" t="str">
        <f>IF($D142="","",
IF($E142="","",
IF($D142="MATE","",
IF(VLOOKUP($B142,'Baremos actuales'!$A:$D,4,FALSE)=L$9,$E142*$F142,""))))</f>
        <v/>
      </c>
      <c r="M142" s="91" t="str">
        <f t="shared" si="2"/>
        <v/>
      </c>
      <c r="N142" s="96"/>
      <c r="O142" s="95"/>
      <c r="P142" s="96"/>
      <c r="Q142" s="98"/>
    </row>
    <row r="143" spans="1:17" ht="15.75" x14ac:dyDescent="0.2">
      <c r="A143" s="17"/>
      <c r="B143" s="18"/>
      <c r="C143" s="87" t="str">
        <f>IF(B143="","",
IF(M143=$H$5,IFERROR(VLOOKUP(B143,'Baremos actuales'!A:E,5,FALSE),"No encontrado. Revisar código, fecha ejecución y/o contrato."),
IF(M143=$H$4,IFERROR(VLOOKUP(B143,'Baremos anteriores'!A:E,5,FALSE),"No encontrado. Revisar código, fecha ejecución y/o contrato."),
IF(M143=$H$3,IFERROR(VLOOKUP(B143,#REF!,5,FALSE),"No encontrado. Revisar código, fecha ejecución y/o contrato."),
IF(D143="","Código no encontrado",
IF(D143="ERROR","No encontrado. Revisar Código, fecha de ejecución y/o contrato.",
IF(D143="MATE",
IF(C142="DESCRIPCION","NO SE PUEDE COMENZAR SIN CÓDIGO DE TAREA",
IF(C142="","FALTA CÓDIGO DE TAREA",
CONCATENATE("          ",VLOOKUP(B143,'Maestro Materiales'!A:C,3,FALSE)))),IFERROR(VLOOKUP(B143,#REF!,5,FALSE),"No encontrado. Revisar código, fecha ejecución y/o contrato."))))))))</f>
        <v/>
      </c>
      <c r="D143" s="88" t="str">
        <f>IF(B143="","",
IFERROR(VLOOKUP(B143,'Maestro Materiales'!A:C,2,FALSE),
IFERROR(VLOOKUP(B143,'Baremos actuales'!A:B,2,FALSE),
IFERROR(VLOOKUP(B143,'Baremos anteriores'!A:B,2,FALSE),
""))))</f>
        <v/>
      </c>
      <c r="E143" s="9"/>
      <c r="F143" s="89" t="str">
        <f>IF(D143="MATE",
IF(E143="","¿Unidades?",""),
IF(D143="",IF(E143="","","¿Código?"),
IF(E143="","¿Unidades?",
IF(D143="TARE",
IF(M143=$H$3,IFERROR(VLOOKUP(B143,'Baremos actuales'!A:C,3,FALSE),0),
IF(M143=$H$4,IFERROR(VLOOKUP(B143,'Baremos anteriores'!A:C,3,FALSE),0),0))))))</f>
        <v/>
      </c>
      <c r="G143" s="7"/>
      <c r="H143" s="8"/>
      <c r="I143" s="8"/>
      <c r="J143" s="78" t="str">
        <f>IF($D143="","",
IF($E143="","",
IF($D143="MATE","",
IF(VLOOKUP($B143,'Baremos actuales'!A:D,4,FALSE)=J$9,$E143*$F143,IF(VLOOKUP($B143,'Baremos anteriores'!A:D,4,FALSE)="Sin Definir",$E143*$F143,"")))))</f>
        <v/>
      </c>
      <c r="K143" s="79" t="str">
        <f>IF($D143="","",
IF($E143="","",
IF($D143="MATE","",
IF(VLOOKUP($B143,'Baremos actuales'!$A:$D,4,FALSE)=K$9,$E143*$F143,IF(VLOOKUP($B143,'Baremos anteriores'!$A:$D,4,FALSE)="Desmonte",$E143*$F143,"")))))</f>
        <v/>
      </c>
      <c r="L143" s="80" t="str">
        <f>IF($D143="","",
IF($E143="","",
IF($D143="MATE","",
IF(VLOOKUP($B143,'Baremos actuales'!$A:$D,4,FALSE)=L$9,$E143*$F143,""))))</f>
        <v/>
      </c>
      <c r="M143" s="91" t="str">
        <f t="shared" si="2"/>
        <v/>
      </c>
      <c r="N143" s="96"/>
      <c r="O143" s="95"/>
      <c r="P143" s="96"/>
      <c r="Q143" s="98"/>
    </row>
    <row r="144" spans="1:17" ht="15.75" x14ac:dyDescent="0.2">
      <c r="A144" s="17"/>
      <c r="B144" s="18"/>
      <c r="C144" s="87" t="str">
        <f>IF(B144="","",
IF(M144=$H$5,IFERROR(VLOOKUP(B144,'Baremos actuales'!A:E,5,FALSE),"No encontrado. Revisar código, fecha ejecución y/o contrato."),
IF(M144=$H$4,IFERROR(VLOOKUP(B144,'Baremos anteriores'!A:E,5,FALSE),"No encontrado. Revisar código, fecha ejecución y/o contrato."),
IF(M144=$H$3,IFERROR(VLOOKUP(B144,#REF!,5,FALSE),"No encontrado. Revisar código, fecha ejecución y/o contrato."),
IF(D144="","Código no encontrado",
IF(D144="ERROR","No encontrado. Revisar Código, fecha de ejecución y/o contrato.",
IF(D144="MATE",
IF(C143="DESCRIPCION","NO SE PUEDE COMENZAR SIN CÓDIGO DE TAREA",
IF(C143="","FALTA CÓDIGO DE TAREA",
CONCATENATE("          ",VLOOKUP(B144,'Maestro Materiales'!A:C,3,FALSE)))),IFERROR(VLOOKUP(B144,#REF!,5,FALSE),"No encontrado. Revisar código, fecha ejecución y/o contrato."))))))))</f>
        <v/>
      </c>
      <c r="D144" s="88" t="str">
        <f>IF(B144="","",
IFERROR(VLOOKUP(B144,'Maestro Materiales'!A:C,2,FALSE),
IFERROR(VLOOKUP(B144,'Baremos actuales'!A:B,2,FALSE),
IFERROR(VLOOKUP(B144,'Baremos anteriores'!A:B,2,FALSE),
""))))</f>
        <v/>
      </c>
      <c r="E144" s="9"/>
      <c r="F144" s="89" t="str">
        <f>IF(D144="MATE",
IF(E144="","¿Unidades?",""),
IF(D144="",IF(E144="","","¿Código?"),
IF(E144="","¿Unidades?",
IF(D144="TARE",
IF(M144=$H$3,IFERROR(VLOOKUP(B144,'Baremos actuales'!A:C,3,FALSE),0),
IF(M144=$H$4,IFERROR(VLOOKUP(B144,'Baremos anteriores'!A:C,3,FALSE),0),0))))))</f>
        <v/>
      </c>
      <c r="G144" s="7"/>
      <c r="H144" s="8"/>
      <c r="I144" s="8"/>
      <c r="J144" s="78" t="str">
        <f>IF($D144="","",
IF($E144="","",
IF($D144="MATE","",
IF(VLOOKUP($B144,'Baremos actuales'!A:D,4,FALSE)=J$9,$E144*$F144,IF(VLOOKUP($B144,'Baremos anteriores'!A:D,4,FALSE)="Sin Definir",$E144*$F144,"")))))</f>
        <v/>
      </c>
      <c r="K144" s="79" t="str">
        <f>IF($D144="","",
IF($E144="","",
IF($D144="MATE","",
IF(VLOOKUP($B144,'Baremos actuales'!$A:$D,4,FALSE)=K$9,$E144*$F144,IF(VLOOKUP($B144,'Baremos anteriores'!$A:$D,4,FALSE)="Desmonte",$E144*$F144,"")))))</f>
        <v/>
      </c>
      <c r="L144" s="80" t="str">
        <f>IF($D144="","",
IF($E144="","",
IF($D144="MATE","",
IF(VLOOKUP($B144,'Baremos actuales'!$A:$D,4,FALSE)=L$9,$E144*$F144,""))))</f>
        <v/>
      </c>
      <c r="M144" s="91" t="str">
        <f t="shared" si="2"/>
        <v/>
      </c>
      <c r="N144" s="96"/>
      <c r="O144" s="95"/>
      <c r="P144" s="96"/>
      <c r="Q144" s="98"/>
    </row>
    <row r="145" spans="1:17" ht="15.75" x14ac:dyDescent="0.2">
      <c r="A145" s="17"/>
      <c r="B145" s="18"/>
      <c r="C145" s="87" t="str">
        <f>IF(B145="","",
IF(M145=$H$5,IFERROR(VLOOKUP(B145,'Baremos actuales'!A:E,5,FALSE),"No encontrado. Revisar código, fecha ejecución y/o contrato."),
IF(M145=$H$4,IFERROR(VLOOKUP(B145,'Baremos anteriores'!A:E,5,FALSE),"No encontrado. Revisar código, fecha ejecución y/o contrato."),
IF(M145=$H$3,IFERROR(VLOOKUP(B145,#REF!,5,FALSE),"No encontrado. Revisar código, fecha ejecución y/o contrato."),
IF(D145="","Código no encontrado",
IF(D145="ERROR","No encontrado. Revisar Código, fecha de ejecución y/o contrato.",
IF(D145="MATE",
IF(C144="DESCRIPCION","NO SE PUEDE COMENZAR SIN CÓDIGO DE TAREA",
IF(C144="","FALTA CÓDIGO DE TAREA",
CONCATENATE("          ",VLOOKUP(B145,'Maestro Materiales'!A:C,3,FALSE)))),IFERROR(VLOOKUP(B145,#REF!,5,FALSE),"No encontrado. Revisar código, fecha ejecución y/o contrato."))))))))</f>
        <v/>
      </c>
      <c r="D145" s="88" t="str">
        <f>IF(B145="","",
IFERROR(VLOOKUP(B145,'Maestro Materiales'!A:C,2,FALSE),
IFERROR(VLOOKUP(B145,'Baremos actuales'!A:B,2,FALSE),
IFERROR(VLOOKUP(B145,'Baremos anteriores'!A:B,2,FALSE),
""))))</f>
        <v/>
      </c>
      <c r="E145" s="9"/>
      <c r="F145" s="89" t="str">
        <f>IF(D145="MATE",
IF(E145="","¿Unidades?",""),
IF(D145="",IF(E145="","","¿Código?"),
IF(E145="","¿Unidades?",
IF(D145="TARE",
IF(M145=$H$3,IFERROR(VLOOKUP(B145,'Baremos actuales'!A:C,3,FALSE),0),
IF(M145=$H$4,IFERROR(VLOOKUP(B145,'Baremos anteriores'!A:C,3,FALSE),0),0))))))</f>
        <v/>
      </c>
      <c r="G145" s="7"/>
      <c r="H145" s="8"/>
      <c r="I145" s="8"/>
      <c r="J145" s="78" t="str">
        <f>IF($D145="","",
IF($E145="","",
IF($D145="MATE","",
IF(VLOOKUP($B145,'Baremos actuales'!A:D,4,FALSE)=J$9,$E145*$F145,IF(VLOOKUP($B145,'Baremos anteriores'!A:D,4,FALSE)="Sin Definir",$E145*$F145,"")))))</f>
        <v/>
      </c>
      <c r="K145" s="79" t="str">
        <f>IF($D145="","",
IF($E145="","",
IF($D145="MATE","",
IF(VLOOKUP($B145,'Baremos actuales'!$A:$D,4,FALSE)=K$9,$E145*$F145,IF(VLOOKUP($B145,'Baremos anteriores'!$A:$D,4,FALSE)="Desmonte",$E145*$F145,"")))))</f>
        <v/>
      </c>
      <c r="L145" s="80" t="str">
        <f>IF($D145="","",
IF($E145="","",
IF($D145="MATE","",
IF(VLOOKUP($B145,'Baremos actuales'!$A:$D,4,FALSE)=L$9,$E145*$F145,""))))</f>
        <v/>
      </c>
      <c r="M145" s="91" t="str">
        <f t="shared" si="2"/>
        <v/>
      </c>
      <c r="N145" s="96"/>
      <c r="O145" s="95"/>
      <c r="P145" s="96"/>
      <c r="Q145" s="98"/>
    </row>
    <row r="146" spans="1:17" ht="15.75" x14ac:dyDescent="0.2">
      <c r="A146" s="17"/>
      <c r="B146" s="18"/>
      <c r="C146" s="87" t="str">
        <f>IF(B146="","",
IF(M146=$H$5,IFERROR(VLOOKUP(B146,'Baremos actuales'!A:E,5,FALSE),"No encontrado. Revisar código, fecha ejecución y/o contrato."),
IF(M146=$H$4,IFERROR(VLOOKUP(B146,'Baremos anteriores'!A:E,5,FALSE),"No encontrado. Revisar código, fecha ejecución y/o contrato."),
IF(M146=$H$3,IFERROR(VLOOKUP(B146,#REF!,5,FALSE),"No encontrado. Revisar código, fecha ejecución y/o contrato."),
IF(D146="","Código no encontrado",
IF(D146="ERROR","No encontrado. Revisar Código, fecha de ejecución y/o contrato.",
IF(D146="MATE",
IF(C145="DESCRIPCION","NO SE PUEDE COMENZAR SIN CÓDIGO DE TAREA",
IF(C145="","FALTA CÓDIGO DE TAREA",
CONCATENATE("          ",VLOOKUP(B146,'Maestro Materiales'!A:C,3,FALSE)))),IFERROR(VLOOKUP(B146,#REF!,5,FALSE),"No encontrado. Revisar código, fecha ejecución y/o contrato."))))))))</f>
        <v/>
      </c>
      <c r="D146" s="88" t="str">
        <f>IF(B146="","",
IFERROR(VLOOKUP(B146,'Maestro Materiales'!A:C,2,FALSE),
IFERROR(VLOOKUP(B146,'Baremos actuales'!A:B,2,FALSE),
IFERROR(VLOOKUP(B146,'Baremos anteriores'!A:B,2,FALSE),
""))))</f>
        <v/>
      </c>
      <c r="E146" s="9"/>
      <c r="F146" s="89" t="str">
        <f>IF(D146="MATE",
IF(E146="","¿Unidades?",""),
IF(D146="",IF(E146="","","¿Código?"),
IF(E146="","¿Unidades?",
IF(D146="TARE",
IF(M146=$H$3,IFERROR(VLOOKUP(B146,'Baremos actuales'!A:C,3,FALSE),0),
IF(M146=$H$4,IFERROR(VLOOKUP(B146,'Baremos anteriores'!A:C,3,FALSE),0),0))))))</f>
        <v/>
      </c>
      <c r="G146" s="7"/>
      <c r="H146" s="8"/>
      <c r="I146" s="8"/>
      <c r="J146" s="78" t="str">
        <f>IF($D146="","",
IF($E146="","",
IF($D146="MATE","",
IF(VLOOKUP($B146,'Baremos actuales'!A:D,4,FALSE)=J$9,$E146*$F146,IF(VLOOKUP($B146,'Baremos anteriores'!A:D,4,FALSE)="Sin Definir",$E146*$F146,"")))))</f>
        <v/>
      </c>
      <c r="K146" s="79" t="str">
        <f>IF($D146="","",
IF($E146="","",
IF($D146="MATE","",
IF(VLOOKUP($B146,'Baremos actuales'!$A:$D,4,FALSE)=K$9,$E146*$F146,IF(VLOOKUP($B146,'Baremos anteriores'!$A:$D,4,FALSE)="Desmonte",$E146*$F146,"")))))</f>
        <v/>
      </c>
      <c r="L146" s="80" t="str">
        <f>IF($D146="","",
IF($E146="","",
IF($D146="MATE","",
IF(VLOOKUP($B146,'Baremos actuales'!$A:$D,4,FALSE)=L$9,$E146*$F146,""))))</f>
        <v/>
      </c>
      <c r="M146" s="91" t="str">
        <f t="shared" si="2"/>
        <v/>
      </c>
      <c r="N146" s="96"/>
      <c r="O146" s="95"/>
      <c r="P146" s="96"/>
      <c r="Q146" s="98"/>
    </row>
    <row r="147" spans="1:17" ht="15.75" x14ac:dyDescent="0.2">
      <c r="A147" s="17"/>
      <c r="B147" s="18"/>
      <c r="C147" s="87" t="str">
        <f>IF(B147="","",
IF(M147=$H$5,IFERROR(VLOOKUP(B147,'Baremos actuales'!A:E,5,FALSE),"No encontrado. Revisar código, fecha ejecución y/o contrato."),
IF(M147=$H$4,IFERROR(VLOOKUP(B147,'Baremos anteriores'!A:E,5,FALSE),"No encontrado. Revisar código, fecha ejecución y/o contrato."),
IF(M147=$H$3,IFERROR(VLOOKUP(B147,#REF!,5,FALSE),"No encontrado. Revisar código, fecha ejecución y/o contrato."),
IF(D147="","Código no encontrado",
IF(D147="ERROR","No encontrado. Revisar Código, fecha de ejecución y/o contrato.",
IF(D147="MATE",
IF(C146="DESCRIPCION","NO SE PUEDE COMENZAR SIN CÓDIGO DE TAREA",
IF(C146="","FALTA CÓDIGO DE TAREA",
CONCATENATE("          ",VLOOKUP(B147,'Maestro Materiales'!A:C,3,FALSE)))),IFERROR(VLOOKUP(B147,#REF!,5,FALSE),"No encontrado. Revisar código, fecha ejecución y/o contrato."))))))))</f>
        <v/>
      </c>
      <c r="D147" s="88" t="str">
        <f>IF(B147="","",
IFERROR(VLOOKUP(B147,'Maestro Materiales'!A:C,2,FALSE),
IFERROR(VLOOKUP(B147,'Baremos actuales'!A:B,2,FALSE),
IFERROR(VLOOKUP(B147,'Baremos anteriores'!A:B,2,FALSE),
""))))</f>
        <v/>
      </c>
      <c r="E147" s="9"/>
      <c r="F147" s="89" t="str">
        <f>IF(D147="MATE",
IF(E147="","¿Unidades?",""),
IF(D147="",IF(E147="","","¿Código?"),
IF(E147="","¿Unidades?",
IF(D147="TARE",
IF(M147=$H$3,IFERROR(VLOOKUP(B147,'Baremos actuales'!A:C,3,FALSE),0),
IF(M147=$H$4,IFERROR(VLOOKUP(B147,'Baremos anteriores'!A:C,3,FALSE),0),0))))))</f>
        <v/>
      </c>
      <c r="G147" s="7"/>
      <c r="H147" s="8"/>
      <c r="I147" s="8"/>
      <c r="J147" s="78" t="str">
        <f>IF($D147="","",
IF($E147="","",
IF($D147="MATE","",
IF(VLOOKUP($B147,'Baremos actuales'!A:D,4,FALSE)=J$9,$E147*$F147,IF(VLOOKUP($B147,'Baremos anteriores'!A:D,4,FALSE)="Sin Definir",$E147*$F147,"")))))</f>
        <v/>
      </c>
      <c r="K147" s="79" t="str">
        <f>IF($D147="","",
IF($E147="","",
IF($D147="MATE","",
IF(VLOOKUP($B147,'Baremos actuales'!$A:$D,4,FALSE)=K$9,$E147*$F147,IF(VLOOKUP($B147,'Baremos anteriores'!$A:$D,4,FALSE)="Desmonte",$E147*$F147,"")))))</f>
        <v/>
      </c>
      <c r="L147" s="80" t="str">
        <f>IF($D147="","",
IF($E147="","",
IF($D147="MATE","",
IF(VLOOKUP($B147,'Baremos actuales'!$A:$D,4,FALSE)=L$9,$E147*$F147,""))))</f>
        <v/>
      </c>
      <c r="M147" s="91" t="str">
        <f t="shared" si="2"/>
        <v/>
      </c>
      <c r="N147" s="96"/>
      <c r="O147" s="95"/>
      <c r="P147" s="96"/>
      <c r="Q147" s="98"/>
    </row>
    <row r="148" spans="1:17" ht="15.75" x14ac:dyDescent="0.2">
      <c r="A148" s="17"/>
      <c r="B148" s="18"/>
      <c r="C148" s="87" t="str">
        <f>IF(B148="","",
IF(M148=$H$5,IFERROR(VLOOKUP(B148,'Baremos actuales'!A:E,5,FALSE),"No encontrado. Revisar código, fecha ejecución y/o contrato."),
IF(M148=$H$4,IFERROR(VLOOKUP(B148,'Baremos anteriores'!A:E,5,FALSE),"No encontrado. Revisar código, fecha ejecución y/o contrato."),
IF(M148=$H$3,IFERROR(VLOOKUP(B148,#REF!,5,FALSE),"No encontrado. Revisar código, fecha ejecución y/o contrato."),
IF(D148="","Código no encontrado",
IF(D148="ERROR","No encontrado. Revisar Código, fecha de ejecución y/o contrato.",
IF(D148="MATE",
IF(C147="DESCRIPCION","NO SE PUEDE COMENZAR SIN CÓDIGO DE TAREA",
IF(C147="","FALTA CÓDIGO DE TAREA",
CONCATENATE("          ",VLOOKUP(B148,'Maestro Materiales'!A:C,3,FALSE)))),IFERROR(VLOOKUP(B148,#REF!,5,FALSE),"No encontrado. Revisar código, fecha ejecución y/o contrato."))))))))</f>
        <v/>
      </c>
      <c r="D148" s="88" t="str">
        <f>IF(B148="","",
IFERROR(VLOOKUP(B148,'Maestro Materiales'!A:C,2,FALSE),
IFERROR(VLOOKUP(B148,'Baremos actuales'!A:B,2,FALSE),
IFERROR(VLOOKUP(B148,'Baremos anteriores'!A:B,2,FALSE),
""))))</f>
        <v/>
      </c>
      <c r="E148" s="9"/>
      <c r="F148" s="89" t="str">
        <f>IF(D148="MATE",
IF(E148="","¿Unidades?",""),
IF(D148="",IF(E148="","","¿Código?"),
IF(E148="","¿Unidades?",
IF(D148="TARE",
IF(M148=$H$3,IFERROR(VLOOKUP(B148,'Baremos actuales'!A:C,3,FALSE),0),
IF(M148=$H$4,IFERROR(VLOOKUP(B148,'Baremos anteriores'!A:C,3,FALSE),0),0))))))</f>
        <v/>
      </c>
      <c r="G148" s="7"/>
      <c r="H148" s="8"/>
      <c r="I148" s="8"/>
      <c r="J148" s="78" t="str">
        <f>IF($D148="","",
IF($E148="","",
IF($D148="MATE","",
IF(VLOOKUP($B148,'Baremos actuales'!A:D,4,FALSE)=J$9,$E148*$F148,IF(VLOOKUP($B148,'Baremos anteriores'!A:D,4,FALSE)="Sin Definir",$E148*$F148,"")))))</f>
        <v/>
      </c>
      <c r="K148" s="79" t="str">
        <f>IF($D148="","",
IF($E148="","",
IF($D148="MATE","",
IF(VLOOKUP($B148,'Baremos actuales'!$A:$D,4,FALSE)=K$9,$E148*$F148,IF(VLOOKUP($B148,'Baremos anteriores'!$A:$D,4,FALSE)="Desmonte",$E148*$F148,"")))))</f>
        <v/>
      </c>
      <c r="L148" s="80" t="str">
        <f>IF($D148="","",
IF($E148="","",
IF($D148="MATE","",
IF(VLOOKUP($B148,'Baremos actuales'!$A:$D,4,FALSE)=L$9,$E148*$F148,""))))</f>
        <v/>
      </c>
      <c r="M148" s="91" t="str">
        <f t="shared" si="2"/>
        <v/>
      </c>
      <c r="N148" s="96"/>
      <c r="O148" s="95"/>
      <c r="P148" s="96"/>
      <c r="Q148" s="98"/>
    </row>
    <row r="149" spans="1:17" ht="15.75" x14ac:dyDescent="0.2">
      <c r="A149" s="17"/>
      <c r="B149" s="18"/>
      <c r="C149" s="87" t="str">
        <f>IF(B149="","",
IF(M149=$H$5,IFERROR(VLOOKUP(B149,'Baremos actuales'!A:E,5,FALSE),"No encontrado. Revisar código, fecha ejecución y/o contrato."),
IF(M149=$H$4,IFERROR(VLOOKUP(B149,'Baremos anteriores'!A:E,5,FALSE),"No encontrado. Revisar código, fecha ejecución y/o contrato."),
IF(M149=$H$3,IFERROR(VLOOKUP(B149,#REF!,5,FALSE),"No encontrado. Revisar código, fecha ejecución y/o contrato."),
IF(D149="","Código no encontrado",
IF(D149="ERROR","No encontrado. Revisar Código, fecha de ejecución y/o contrato.",
IF(D149="MATE",
IF(C148="DESCRIPCION","NO SE PUEDE COMENZAR SIN CÓDIGO DE TAREA",
IF(C148="","FALTA CÓDIGO DE TAREA",
CONCATENATE("          ",VLOOKUP(B149,'Maestro Materiales'!A:C,3,FALSE)))),IFERROR(VLOOKUP(B149,#REF!,5,FALSE),"No encontrado. Revisar código, fecha ejecución y/o contrato."))))))))</f>
        <v/>
      </c>
      <c r="D149" s="88" t="str">
        <f>IF(B149="","",
IFERROR(VLOOKUP(B149,'Maestro Materiales'!A:C,2,FALSE),
IFERROR(VLOOKUP(B149,'Baremos actuales'!A:B,2,FALSE),
IFERROR(VLOOKUP(B149,'Baremos anteriores'!A:B,2,FALSE),
""))))</f>
        <v/>
      </c>
      <c r="E149" s="9"/>
      <c r="F149" s="89" t="str">
        <f>IF(D149="MATE",
IF(E149="","¿Unidades?",""),
IF(D149="",IF(E149="","","¿Código?"),
IF(E149="","¿Unidades?",
IF(D149="TARE",
IF(M149=$H$3,IFERROR(VLOOKUP(B149,'Baremos actuales'!A:C,3,FALSE),0),
IF(M149=$H$4,IFERROR(VLOOKUP(B149,'Baremos anteriores'!A:C,3,FALSE),0),0))))))</f>
        <v/>
      </c>
      <c r="G149" s="7"/>
      <c r="H149" s="8"/>
      <c r="I149" s="8"/>
      <c r="J149" s="78" t="str">
        <f>IF($D149="","",
IF($E149="","",
IF($D149="MATE","",
IF(VLOOKUP($B149,'Baremos actuales'!A:D,4,FALSE)=J$9,$E149*$F149,IF(VLOOKUP($B149,'Baremos anteriores'!A:D,4,FALSE)="Sin Definir",$E149*$F149,"")))))</f>
        <v/>
      </c>
      <c r="K149" s="79" t="str">
        <f>IF($D149="","",
IF($E149="","",
IF($D149="MATE","",
IF(VLOOKUP($B149,'Baremos actuales'!$A:$D,4,FALSE)=K$9,$E149*$F149,IF(VLOOKUP($B149,'Baremos anteriores'!$A:$D,4,FALSE)="Desmonte",$E149*$F149,"")))))</f>
        <v/>
      </c>
      <c r="L149" s="80" t="str">
        <f>IF($D149="","",
IF($E149="","",
IF($D149="MATE","",
IF(VLOOKUP($B149,'Baremos actuales'!$A:$D,4,FALSE)=L$9,$E149*$F149,""))))</f>
        <v/>
      </c>
      <c r="M149" s="91" t="str">
        <f t="shared" si="2"/>
        <v/>
      </c>
      <c r="N149" s="96"/>
      <c r="O149" s="95"/>
      <c r="P149" s="96"/>
      <c r="Q149" s="98"/>
    </row>
    <row r="150" spans="1:17" ht="15.75" x14ac:dyDescent="0.2">
      <c r="A150" s="17"/>
      <c r="B150" s="18"/>
      <c r="C150" s="87" t="str">
        <f>IF(B150="","",
IF(M150=$H$5,IFERROR(VLOOKUP(B150,'Baremos actuales'!A:E,5,FALSE),"No encontrado. Revisar código, fecha ejecución y/o contrato."),
IF(M150=$H$4,IFERROR(VLOOKUP(B150,'Baremos anteriores'!A:E,5,FALSE),"No encontrado. Revisar código, fecha ejecución y/o contrato."),
IF(M150=$H$3,IFERROR(VLOOKUP(B150,#REF!,5,FALSE),"No encontrado. Revisar código, fecha ejecución y/o contrato."),
IF(D150="","Código no encontrado",
IF(D150="ERROR","No encontrado. Revisar Código, fecha de ejecución y/o contrato.",
IF(D150="MATE",
IF(C149="DESCRIPCION","NO SE PUEDE COMENZAR SIN CÓDIGO DE TAREA",
IF(C149="","FALTA CÓDIGO DE TAREA",
CONCATENATE("          ",VLOOKUP(B150,'Maestro Materiales'!A:C,3,FALSE)))),IFERROR(VLOOKUP(B150,#REF!,5,FALSE),"No encontrado. Revisar código, fecha ejecución y/o contrato."))))))))</f>
        <v/>
      </c>
      <c r="D150" s="88" t="str">
        <f>IF(B150="","",
IFERROR(VLOOKUP(B150,'Maestro Materiales'!A:C,2,FALSE),
IFERROR(VLOOKUP(B150,'Baremos actuales'!A:B,2,FALSE),
IFERROR(VLOOKUP(B150,'Baremos anteriores'!A:B,2,FALSE),
""))))</f>
        <v/>
      </c>
      <c r="E150" s="9"/>
      <c r="F150" s="89" t="str">
        <f>IF(D150="MATE",
IF(E150="","¿Unidades?",""),
IF(D150="",IF(E150="","","¿Código?"),
IF(E150="","¿Unidades?",
IF(D150="TARE",
IF(M150=$H$3,IFERROR(VLOOKUP(B150,'Baremos actuales'!A:C,3,FALSE),0),
IF(M150=$H$4,IFERROR(VLOOKUP(B150,'Baremos anteriores'!A:C,3,FALSE),0),0))))))</f>
        <v/>
      </c>
      <c r="G150" s="7"/>
      <c r="H150" s="8"/>
      <c r="I150" s="8"/>
      <c r="J150" s="78" t="str">
        <f>IF($D150="","",
IF($E150="","",
IF($D150="MATE","",
IF(VLOOKUP($B150,'Baremos actuales'!A:D,4,FALSE)=J$9,$E150*$F150,IF(VLOOKUP($B150,'Baremos anteriores'!A:D,4,FALSE)="Sin Definir",$E150*$F150,"")))))</f>
        <v/>
      </c>
      <c r="K150" s="79" t="str">
        <f>IF($D150="","",
IF($E150="","",
IF($D150="MATE","",
IF(VLOOKUP($B150,'Baremos actuales'!$A:$D,4,FALSE)=K$9,$E150*$F150,IF(VLOOKUP($B150,'Baremos anteriores'!$A:$D,4,FALSE)="Desmonte",$E150*$F150,"")))))</f>
        <v/>
      </c>
      <c r="L150" s="80" t="str">
        <f>IF($D150="","",
IF($E150="","",
IF($D150="MATE","",
IF(VLOOKUP($B150,'Baremos actuales'!$A:$D,4,FALSE)=L$9,$E150*$F150,""))))</f>
        <v/>
      </c>
      <c r="M150" s="91" t="str">
        <f t="shared" si="2"/>
        <v/>
      </c>
      <c r="N150" s="96"/>
      <c r="O150" s="95"/>
      <c r="P150" s="96"/>
      <c r="Q150" s="98"/>
    </row>
    <row r="151" spans="1:17" ht="15.75" x14ac:dyDescent="0.2">
      <c r="A151" s="17"/>
      <c r="B151" s="18"/>
      <c r="C151" s="87" t="str">
        <f>IF(B151="","",
IF(M151=$H$5,IFERROR(VLOOKUP(B151,'Baremos actuales'!A:E,5,FALSE),"No encontrado. Revisar código, fecha ejecución y/o contrato."),
IF(M151=$H$4,IFERROR(VLOOKUP(B151,'Baremos anteriores'!A:E,5,FALSE),"No encontrado. Revisar código, fecha ejecución y/o contrato."),
IF(M151=$H$3,IFERROR(VLOOKUP(B151,#REF!,5,FALSE),"No encontrado. Revisar código, fecha ejecución y/o contrato."),
IF(D151="","Código no encontrado",
IF(D151="ERROR","No encontrado. Revisar Código, fecha de ejecución y/o contrato.",
IF(D151="MATE",
IF(C150="DESCRIPCION","NO SE PUEDE COMENZAR SIN CÓDIGO DE TAREA",
IF(C150="","FALTA CÓDIGO DE TAREA",
CONCATENATE("          ",VLOOKUP(B151,'Maestro Materiales'!A:C,3,FALSE)))),IFERROR(VLOOKUP(B151,#REF!,5,FALSE),"No encontrado. Revisar código, fecha ejecución y/o contrato."))))))))</f>
        <v/>
      </c>
      <c r="D151" s="88" t="str">
        <f>IF(B151="","",
IFERROR(VLOOKUP(B151,'Maestro Materiales'!A:C,2,FALSE),
IFERROR(VLOOKUP(B151,'Baremos actuales'!A:B,2,FALSE),
IFERROR(VLOOKUP(B151,'Baremos anteriores'!A:B,2,FALSE),
""))))</f>
        <v/>
      </c>
      <c r="E151" s="9"/>
      <c r="F151" s="89" t="str">
        <f>IF(D151="MATE",
IF(E151="","¿Unidades?",""),
IF(D151="",IF(E151="","","¿Código?"),
IF(E151="","¿Unidades?",
IF(D151="TARE",
IF(M151=$H$3,IFERROR(VLOOKUP(B151,'Baremos actuales'!A:C,3,FALSE),0),
IF(M151=$H$4,IFERROR(VLOOKUP(B151,'Baremos anteriores'!A:C,3,FALSE),0),0))))))</f>
        <v/>
      </c>
      <c r="G151" s="7"/>
      <c r="H151" s="8"/>
      <c r="I151" s="8"/>
      <c r="J151" s="78" t="str">
        <f>IF($D151="","",
IF($E151="","",
IF($D151="MATE","",
IF(VLOOKUP($B151,'Baremos actuales'!A:D,4,FALSE)=J$9,$E151*$F151,IF(VLOOKUP($B151,'Baremos anteriores'!A:D,4,FALSE)="Sin Definir",$E151*$F151,"")))))</f>
        <v/>
      </c>
      <c r="K151" s="79" t="str">
        <f>IF($D151="","",
IF($E151="","",
IF($D151="MATE","",
IF(VLOOKUP($B151,'Baremos actuales'!$A:$D,4,FALSE)=K$9,$E151*$F151,IF(VLOOKUP($B151,'Baremos anteriores'!$A:$D,4,FALSE)="Desmonte",$E151*$F151,"")))))</f>
        <v/>
      </c>
      <c r="L151" s="80" t="str">
        <f>IF($D151="","",
IF($E151="","",
IF($D151="MATE","",
IF(VLOOKUP($B151,'Baremos actuales'!$A:$D,4,FALSE)=L$9,$E151*$F151,""))))</f>
        <v/>
      </c>
      <c r="M151" s="91" t="str">
        <f t="shared" si="2"/>
        <v/>
      </c>
      <c r="N151" s="96"/>
      <c r="O151" s="95"/>
      <c r="P151" s="96"/>
      <c r="Q151" s="98"/>
    </row>
    <row r="152" spans="1:17" ht="15.75" x14ac:dyDescent="0.2">
      <c r="A152" s="17"/>
      <c r="B152" s="18"/>
      <c r="C152" s="87" t="str">
        <f>IF(B152="","",
IF(M152=$H$5,IFERROR(VLOOKUP(B152,'Baremos actuales'!A:E,5,FALSE),"No encontrado. Revisar código, fecha ejecución y/o contrato."),
IF(M152=$H$4,IFERROR(VLOOKUP(B152,'Baremos anteriores'!A:E,5,FALSE),"No encontrado. Revisar código, fecha ejecución y/o contrato."),
IF(M152=$H$3,IFERROR(VLOOKUP(B152,#REF!,5,FALSE),"No encontrado. Revisar código, fecha ejecución y/o contrato."),
IF(D152="","Código no encontrado",
IF(D152="ERROR","No encontrado. Revisar Código, fecha de ejecución y/o contrato.",
IF(D152="MATE",
IF(C151="DESCRIPCION","NO SE PUEDE COMENZAR SIN CÓDIGO DE TAREA",
IF(C151="","FALTA CÓDIGO DE TAREA",
CONCATENATE("          ",VLOOKUP(B152,'Maestro Materiales'!A:C,3,FALSE)))),IFERROR(VLOOKUP(B152,#REF!,5,FALSE),"No encontrado. Revisar código, fecha ejecución y/o contrato."))))))))</f>
        <v/>
      </c>
      <c r="D152" s="88" t="str">
        <f>IF(B152="","",
IFERROR(VLOOKUP(B152,'Maestro Materiales'!A:C,2,FALSE),
IFERROR(VLOOKUP(B152,'Baremos actuales'!A:B,2,FALSE),
IFERROR(VLOOKUP(B152,'Baremos anteriores'!A:B,2,FALSE),
""))))</f>
        <v/>
      </c>
      <c r="E152" s="9"/>
      <c r="F152" s="89" t="str">
        <f>IF(D152="MATE",
IF(E152="","¿Unidades?",""),
IF(D152="",IF(E152="","","¿Código?"),
IF(E152="","¿Unidades?",
IF(D152="TARE",
IF(M152=$H$3,IFERROR(VLOOKUP(B152,'Baremos actuales'!A:C,3,FALSE),0),
IF(M152=$H$4,IFERROR(VLOOKUP(B152,'Baremos anteriores'!A:C,3,FALSE),0),0))))))</f>
        <v/>
      </c>
      <c r="G152" s="7"/>
      <c r="H152" s="8"/>
      <c r="I152" s="8"/>
      <c r="J152" s="78" t="str">
        <f>IF($D152="","",
IF($E152="","",
IF($D152="MATE","",
IF(VLOOKUP($B152,'Baremos actuales'!A:D,4,FALSE)=J$9,$E152*$F152,IF(VLOOKUP($B152,'Baremos anteriores'!A:D,4,FALSE)="Sin Definir",$E152*$F152,"")))))</f>
        <v/>
      </c>
      <c r="K152" s="79" t="str">
        <f>IF($D152="","",
IF($E152="","",
IF($D152="MATE","",
IF(VLOOKUP($B152,'Baremos actuales'!$A:$D,4,FALSE)=K$9,$E152*$F152,IF(VLOOKUP($B152,'Baremos anteriores'!$A:$D,4,FALSE)="Desmonte",$E152*$F152,"")))))</f>
        <v/>
      </c>
      <c r="L152" s="80" t="str">
        <f>IF($D152="","",
IF($E152="","",
IF($D152="MATE","",
IF(VLOOKUP($B152,'Baremos actuales'!$A:$D,4,FALSE)=L$9,$E152*$F152,""))))</f>
        <v/>
      </c>
      <c r="M152" s="91" t="str">
        <f t="shared" si="2"/>
        <v/>
      </c>
      <c r="N152" s="96"/>
      <c r="O152" s="95"/>
      <c r="P152" s="96"/>
      <c r="Q152" s="98"/>
    </row>
    <row r="153" spans="1:17" ht="15.75" x14ac:dyDescent="0.2">
      <c r="A153" s="17"/>
      <c r="B153" s="18"/>
      <c r="C153" s="87" t="str">
        <f>IF(B153="","",
IF(M153=$H$5,IFERROR(VLOOKUP(B153,'Baremos actuales'!A:E,5,FALSE),"No encontrado. Revisar código, fecha ejecución y/o contrato."),
IF(M153=$H$4,IFERROR(VLOOKUP(B153,'Baremos anteriores'!A:E,5,FALSE),"No encontrado. Revisar código, fecha ejecución y/o contrato."),
IF(M153=$H$3,IFERROR(VLOOKUP(B153,#REF!,5,FALSE),"No encontrado. Revisar código, fecha ejecución y/o contrato."),
IF(D153="","Código no encontrado",
IF(D153="ERROR","No encontrado. Revisar Código, fecha de ejecución y/o contrato.",
IF(D153="MATE",
IF(C152="DESCRIPCION","NO SE PUEDE COMENZAR SIN CÓDIGO DE TAREA",
IF(C152="","FALTA CÓDIGO DE TAREA",
CONCATENATE("          ",VLOOKUP(B153,'Maestro Materiales'!A:C,3,FALSE)))),IFERROR(VLOOKUP(B153,#REF!,5,FALSE),"No encontrado. Revisar código, fecha ejecución y/o contrato."))))))))</f>
        <v/>
      </c>
      <c r="D153" s="88" t="str">
        <f>IF(B153="","",
IFERROR(VLOOKUP(B153,'Maestro Materiales'!A:C,2,FALSE),
IFERROR(VLOOKUP(B153,'Baremos actuales'!A:B,2,FALSE),
IFERROR(VLOOKUP(B153,'Baremos anteriores'!A:B,2,FALSE),
""))))</f>
        <v/>
      </c>
      <c r="E153" s="9"/>
      <c r="F153" s="89" t="str">
        <f>IF(D153="MATE",
IF(E153="","¿Unidades?",""),
IF(D153="",IF(E153="","","¿Código?"),
IF(E153="","¿Unidades?",
IF(D153="TARE",
IF(M153=$H$3,IFERROR(VLOOKUP(B153,'Baremos actuales'!A:C,3,FALSE),0),
IF(M153=$H$4,IFERROR(VLOOKUP(B153,'Baremos anteriores'!A:C,3,FALSE),0),0))))))</f>
        <v/>
      </c>
      <c r="G153" s="7"/>
      <c r="H153" s="8"/>
      <c r="I153" s="8"/>
      <c r="J153" s="78" t="str">
        <f>IF($D153="","",
IF($E153="","",
IF($D153="MATE","",
IF(VLOOKUP($B153,'Baremos actuales'!A:D,4,FALSE)=J$9,$E153*$F153,IF(VLOOKUP($B153,'Baremos anteriores'!A:D,4,FALSE)="Sin Definir",$E153*$F153,"")))))</f>
        <v/>
      </c>
      <c r="K153" s="79" t="str">
        <f>IF($D153="","",
IF($E153="","",
IF($D153="MATE","",
IF(VLOOKUP($B153,'Baremos actuales'!$A:$D,4,FALSE)=K$9,$E153*$F153,IF(VLOOKUP($B153,'Baremos anteriores'!$A:$D,4,FALSE)="Desmonte",$E153*$F153,"")))))</f>
        <v/>
      </c>
      <c r="L153" s="80" t="str">
        <f>IF($D153="","",
IF($E153="","",
IF($D153="MATE","",
IF(VLOOKUP($B153,'Baremos actuales'!$A:$D,4,FALSE)=L$9,$E153*$F153,""))))</f>
        <v/>
      </c>
      <c r="M153" s="91" t="str">
        <f t="shared" si="2"/>
        <v/>
      </c>
      <c r="N153" s="96"/>
      <c r="O153" s="95"/>
      <c r="P153" s="96"/>
      <c r="Q153" s="98"/>
    </row>
    <row r="154" spans="1:17" ht="15.75" x14ac:dyDescent="0.2">
      <c r="A154" s="17"/>
      <c r="B154" s="18"/>
      <c r="C154" s="87" t="str">
        <f>IF(B154="","",
IF(M154=$H$5,IFERROR(VLOOKUP(B154,'Baremos actuales'!A:E,5,FALSE),"No encontrado. Revisar código, fecha ejecución y/o contrato."),
IF(M154=$H$4,IFERROR(VLOOKUP(B154,'Baremos anteriores'!A:E,5,FALSE),"No encontrado. Revisar código, fecha ejecución y/o contrato."),
IF(M154=$H$3,IFERROR(VLOOKUP(B154,#REF!,5,FALSE),"No encontrado. Revisar código, fecha ejecución y/o contrato."),
IF(D154="","Código no encontrado",
IF(D154="ERROR","No encontrado. Revisar Código, fecha de ejecución y/o contrato.",
IF(D154="MATE",
IF(C153="DESCRIPCION","NO SE PUEDE COMENZAR SIN CÓDIGO DE TAREA",
IF(C153="","FALTA CÓDIGO DE TAREA",
CONCATENATE("          ",VLOOKUP(B154,'Maestro Materiales'!A:C,3,FALSE)))),IFERROR(VLOOKUP(B154,#REF!,5,FALSE),"No encontrado. Revisar código, fecha ejecución y/o contrato."))))))))</f>
        <v/>
      </c>
      <c r="D154" s="88" t="str">
        <f>IF(B154="","",
IFERROR(VLOOKUP(B154,'Maestro Materiales'!A:C,2,FALSE),
IFERROR(VLOOKUP(B154,'Baremos actuales'!A:B,2,FALSE),
IFERROR(VLOOKUP(B154,'Baremos anteriores'!A:B,2,FALSE),
""))))</f>
        <v/>
      </c>
      <c r="E154" s="9"/>
      <c r="F154" s="89" t="str">
        <f>IF(D154="MATE",
IF(E154="","¿Unidades?",""),
IF(D154="",IF(E154="","","¿Código?"),
IF(E154="","¿Unidades?",
IF(D154="TARE",
IF(M154=$H$3,IFERROR(VLOOKUP(B154,'Baremos actuales'!A:C,3,FALSE),0),
IF(M154=$H$4,IFERROR(VLOOKUP(B154,'Baremos anteriores'!A:C,3,FALSE),0),0))))))</f>
        <v/>
      </c>
      <c r="G154" s="7"/>
      <c r="H154" s="8"/>
      <c r="I154" s="8"/>
      <c r="J154" s="78" t="str">
        <f>IF($D154="","",
IF($E154="","",
IF($D154="MATE","",
IF(VLOOKUP($B154,'Baremos actuales'!A:D,4,FALSE)=J$9,$E154*$F154,IF(VLOOKUP($B154,'Baremos anteriores'!A:D,4,FALSE)="Sin Definir",$E154*$F154,"")))))</f>
        <v/>
      </c>
      <c r="K154" s="79" t="str">
        <f>IF($D154="","",
IF($E154="","",
IF($D154="MATE","",
IF(VLOOKUP($B154,'Baremos actuales'!$A:$D,4,FALSE)=K$9,$E154*$F154,IF(VLOOKUP($B154,'Baremos anteriores'!$A:$D,4,FALSE)="Desmonte",$E154*$F154,"")))))</f>
        <v/>
      </c>
      <c r="L154" s="80" t="str">
        <f>IF($D154="","",
IF($E154="","",
IF($D154="MATE","",
IF(VLOOKUP($B154,'Baremos actuales'!$A:$D,4,FALSE)=L$9,$E154*$F154,""))))</f>
        <v/>
      </c>
      <c r="M154" s="91" t="str">
        <f t="shared" si="2"/>
        <v/>
      </c>
      <c r="N154" s="96"/>
      <c r="O154" s="95"/>
      <c r="P154" s="96"/>
      <c r="Q154" s="98"/>
    </row>
    <row r="155" spans="1:17" ht="15.75" x14ac:dyDescent="0.2">
      <c r="A155" s="17"/>
      <c r="B155" s="18"/>
      <c r="C155" s="87" t="str">
        <f>IF(B155="","",
IF(M155=$H$5,IFERROR(VLOOKUP(B155,'Baremos actuales'!A:E,5,FALSE),"No encontrado. Revisar código, fecha ejecución y/o contrato."),
IF(M155=$H$4,IFERROR(VLOOKUP(B155,'Baremos anteriores'!A:E,5,FALSE),"No encontrado. Revisar código, fecha ejecución y/o contrato."),
IF(M155=$H$3,IFERROR(VLOOKUP(B155,#REF!,5,FALSE),"No encontrado. Revisar código, fecha ejecución y/o contrato."),
IF(D155="","Código no encontrado",
IF(D155="ERROR","No encontrado. Revisar Código, fecha de ejecución y/o contrato.",
IF(D155="MATE",
IF(C154="DESCRIPCION","NO SE PUEDE COMENZAR SIN CÓDIGO DE TAREA",
IF(C154="","FALTA CÓDIGO DE TAREA",
CONCATENATE("          ",VLOOKUP(B155,'Maestro Materiales'!A:C,3,FALSE)))),IFERROR(VLOOKUP(B155,#REF!,5,FALSE),"No encontrado. Revisar código, fecha ejecución y/o contrato."))))))))</f>
        <v/>
      </c>
      <c r="D155" s="88" t="str">
        <f>IF(B155="","",
IFERROR(VLOOKUP(B155,'Maestro Materiales'!A:C,2,FALSE),
IFERROR(VLOOKUP(B155,'Baremos actuales'!A:B,2,FALSE),
IFERROR(VLOOKUP(B155,'Baremos anteriores'!A:B,2,FALSE),
""))))</f>
        <v/>
      </c>
      <c r="E155" s="9"/>
      <c r="F155" s="89" t="str">
        <f>IF(D155="MATE",
IF(E155="","¿Unidades?",""),
IF(D155="",IF(E155="","","¿Código?"),
IF(E155="","¿Unidades?",
IF(D155="TARE",
IF(M155=$H$3,IFERROR(VLOOKUP(B155,'Baremos actuales'!A:C,3,FALSE),0),
IF(M155=$H$4,IFERROR(VLOOKUP(B155,'Baremos anteriores'!A:C,3,FALSE),0),0))))))</f>
        <v/>
      </c>
      <c r="G155" s="7"/>
      <c r="H155" s="8"/>
      <c r="I155" s="8"/>
      <c r="J155" s="78" t="str">
        <f>IF($D155="","",
IF($E155="","",
IF($D155="MATE","",
IF(VLOOKUP($B155,'Baremos actuales'!A:D,4,FALSE)=J$9,$E155*$F155,IF(VLOOKUP($B155,'Baremos anteriores'!A:D,4,FALSE)="Sin Definir",$E155*$F155,"")))))</f>
        <v/>
      </c>
      <c r="K155" s="79" t="str">
        <f>IF($D155="","",
IF($E155="","",
IF($D155="MATE","",
IF(VLOOKUP($B155,'Baremos actuales'!$A:$D,4,FALSE)=K$9,$E155*$F155,IF(VLOOKUP($B155,'Baremos anteriores'!$A:$D,4,FALSE)="Desmonte",$E155*$F155,"")))))</f>
        <v/>
      </c>
      <c r="L155" s="80" t="str">
        <f>IF($D155="","",
IF($E155="","",
IF($D155="MATE","",
IF(VLOOKUP($B155,'Baremos actuales'!$A:$D,4,FALSE)=L$9,$E155*$F155,""))))</f>
        <v/>
      </c>
      <c r="M155" s="91" t="str">
        <f t="shared" si="2"/>
        <v/>
      </c>
      <c r="N155" s="96"/>
      <c r="O155" s="95"/>
      <c r="P155" s="96"/>
      <c r="Q155" s="98"/>
    </row>
    <row r="156" spans="1:17" ht="15.75" x14ac:dyDescent="0.2">
      <c r="A156" s="17"/>
      <c r="B156" s="18"/>
      <c r="C156" s="87" t="str">
        <f>IF(B156="","",
IF(M156=$H$5,IFERROR(VLOOKUP(B156,'Baremos actuales'!A:E,5,FALSE),"No encontrado. Revisar código, fecha ejecución y/o contrato."),
IF(M156=$H$4,IFERROR(VLOOKUP(B156,'Baremos anteriores'!A:E,5,FALSE),"No encontrado. Revisar código, fecha ejecución y/o contrato."),
IF(M156=$H$3,IFERROR(VLOOKUP(B156,#REF!,5,FALSE),"No encontrado. Revisar código, fecha ejecución y/o contrato."),
IF(D156="","Código no encontrado",
IF(D156="ERROR","No encontrado. Revisar Código, fecha de ejecución y/o contrato.",
IF(D156="MATE",
IF(C155="DESCRIPCION","NO SE PUEDE COMENZAR SIN CÓDIGO DE TAREA",
IF(C155="","FALTA CÓDIGO DE TAREA",
CONCATENATE("          ",VLOOKUP(B156,'Maestro Materiales'!A:C,3,FALSE)))),IFERROR(VLOOKUP(B156,#REF!,5,FALSE),"No encontrado. Revisar código, fecha ejecución y/o contrato."))))))))</f>
        <v/>
      </c>
      <c r="D156" s="88" t="str">
        <f>IF(B156="","",
IFERROR(VLOOKUP(B156,'Maestro Materiales'!A:C,2,FALSE),
IFERROR(VLOOKUP(B156,'Baremos actuales'!A:B,2,FALSE),
IFERROR(VLOOKUP(B156,'Baremos anteriores'!A:B,2,FALSE),
""))))</f>
        <v/>
      </c>
      <c r="E156" s="9"/>
      <c r="F156" s="89" t="str">
        <f>IF(D156="MATE",
IF(E156="","¿Unidades?",""),
IF(D156="",IF(E156="","","¿Código?"),
IF(E156="","¿Unidades?",
IF(D156="TARE",
IF(M156=$H$3,IFERROR(VLOOKUP(B156,'Baremos actuales'!A:C,3,FALSE),0),
IF(M156=$H$4,IFERROR(VLOOKUP(B156,'Baremos anteriores'!A:C,3,FALSE),0),0))))))</f>
        <v/>
      </c>
      <c r="G156" s="7"/>
      <c r="H156" s="8"/>
      <c r="I156" s="8"/>
      <c r="J156" s="78" t="str">
        <f>IF($D156="","",
IF($E156="","",
IF($D156="MATE","",
IF(VLOOKUP($B156,'Baremos actuales'!A:D,4,FALSE)=J$9,$E156*$F156,IF(VLOOKUP($B156,'Baremos anteriores'!A:D,4,FALSE)="Sin Definir",$E156*$F156,"")))))</f>
        <v/>
      </c>
      <c r="K156" s="79" t="str">
        <f>IF($D156="","",
IF($E156="","",
IF($D156="MATE","",
IF(VLOOKUP($B156,'Baremos actuales'!$A:$D,4,FALSE)=K$9,$E156*$F156,IF(VLOOKUP($B156,'Baremos anteriores'!$A:$D,4,FALSE)="Desmonte",$E156*$F156,"")))))</f>
        <v/>
      </c>
      <c r="L156" s="80" t="str">
        <f>IF($D156="","",
IF($E156="","",
IF($D156="MATE","",
IF(VLOOKUP($B156,'Baremos actuales'!$A:$D,4,FALSE)=L$9,$E156*$F156,""))))</f>
        <v/>
      </c>
      <c r="M156" s="91" t="str">
        <f t="shared" si="2"/>
        <v/>
      </c>
      <c r="N156" s="96"/>
      <c r="O156" s="95"/>
      <c r="P156" s="96"/>
      <c r="Q156" s="98"/>
    </row>
    <row r="157" spans="1:17" ht="15.75" x14ac:dyDescent="0.2">
      <c r="A157" s="17"/>
      <c r="B157" s="18"/>
      <c r="C157" s="87" t="str">
        <f>IF(B157="","",
IF(M157=$H$5,IFERROR(VLOOKUP(B157,'Baremos actuales'!A:E,5,FALSE),"No encontrado. Revisar código, fecha ejecución y/o contrato."),
IF(M157=$H$4,IFERROR(VLOOKUP(B157,'Baremos anteriores'!A:E,5,FALSE),"No encontrado. Revisar código, fecha ejecución y/o contrato."),
IF(M157=$H$3,IFERROR(VLOOKUP(B157,#REF!,5,FALSE),"No encontrado. Revisar código, fecha ejecución y/o contrato."),
IF(D157="","Código no encontrado",
IF(D157="ERROR","No encontrado. Revisar Código, fecha de ejecución y/o contrato.",
IF(D157="MATE",
IF(C156="DESCRIPCION","NO SE PUEDE COMENZAR SIN CÓDIGO DE TAREA",
IF(C156="","FALTA CÓDIGO DE TAREA",
CONCATENATE("          ",VLOOKUP(B157,'Maestro Materiales'!A:C,3,FALSE)))),IFERROR(VLOOKUP(B157,#REF!,5,FALSE),"No encontrado. Revisar código, fecha ejecución y/o contrato."))))))))</f>
        <v/>
      </c>
      <c r="D157" s="88" t="str">
        <f>IF(B157="","",
IFERROR(VLOOKUP(B157,'Maestro Materiales'!A:C,2,FALSE),
IFERROR(VLOOKUP(B157,'Baremos actuales'!A:B,2,FALSE),
IFERROR(VLOOKUP(B157,'Baremos anteriores'!A:B,2,FALSE),
""))))</f>
        <v/>
      </c>
      <c r="E157" s="9"/>
      <c r="F157" s="89" t="str">
        <f>IF(D157="MATE",
IF(E157="","¿Unidades?",""),
IF(D157="",IF(E157="","","¿Código?"),
IF(E157="","¿Unidades?",
IF(D157="TARE",
IF(M157=$H$3,IFERROR(VLOOKUP(B157,'Baremos actuales'!A:C,3,FALSE),0),
IF(M157=$H$4,IFERROR(VLOOKUP(B157,'Baremos anteriores'!A:C,3,FALSE),0),0))))))</f>
        <v/>
      </c>
      <c r="G157" s="7"/>
      <c r="H157" s="8"/>
      <c r="I157" s="8"/>
      <c r="J157" s="78" t="str">
        <f>IF($D157="","",
IF($E157="","",
IF($D157="MATE","",
IF(VLOOKUP($B157,'Baremos actuales'!A:D,4,FALSE)=J$9,$E157*$F157,IF(VLOOKUP($B157,'Baremos anteriores'!A:D,4,FALSE)="Sin Definir",$E157*$F157,"")))))</f>
        <v/>
      </c>
      <c r="K157" s="79" t="str">
        <f>IF($D157="","",
IF($E157="","",
IF($D157="MATE","",
IF(VLOOKUP($B157,'Baremos actuales'!$A:$D,4,FALSE)=K$9,$E157*$F157,IF(VLOOKUP($B157,'Baremos anteriores'!$A:$D,4,FALSE)="Desmonte",$E157*$F157,"")))))</f>
        <v/>
      </c>
      <c r="L157" s="80" t="str">
        <f>IF($D157="","",
IF($E157="","",
IF($D157="MATE","",
IF(VLOOKUP($B157,'Baremos actuales'!$A:$D,4,FALSE)=L$9,$E157*$F157,""))))</f>
        <v/>
      </c>
      <c r="M157" s="91" t="str">
        <f t="shared" si="2"/>
        <v/>
      </c>
      <c r="N157" s="96"/>
      <c r="O157" s="95"/>
      <c r="P157" s="96"/>
      <c r="Q157" s="98"/>
    </row>
    <row r="158" spans="1:17" ht="15.75" x14ac:dyDescent="0.2">
      <c r="A158" s="17"/>
      <c r="B158" s="18"/>
      <c r="C158" s="87" t="str">
        <f>IF(B158="","",
IF(M158=$H$5,IFERROR(VLOOKUP(B158,'Baremos actuales'!A:E,5,FALSE),"No encontrado. Revisar código, fecha ejecución y/o contrato."),
IF(M158=$H$4,IFERROR(VLOOKUP(B158,'Baremos anteriores'!A:E,5,FALSE),"No encontrado. Revisar código, fecha ejecución y/o contrato."),
IF(M158=$H$3,IFERROR(VLOOKUP(B158,#REF!,5,FALSE),"No encontrado. Revisar código, fecha ejecución y/o contrato."),
IF(D158="","Código no encontrado",
IF(D158="ERROR","No encontrado. Revisar Código, fecha de ejecución y/o contrato.",
IF(D158="MATE",
IF(C157="DESCRIPCION","NO SE PUEDE COMENZAR SIN CÓDIGO DE TAREA",
IF(C157="","FALTA CÓDIGO DE TAREA",
CONCATENATE("          ",VLOOKUP(B158,'Maestro Materiales'!A:C,3,FALSE)))),IFERROR(VLOOKUP(B158,#REF!,5,FALSE),"No encontrado. Revisar código, fecha ejecución y/o contrato."))))))))</f>
        <v/>
      </c>
      <c r="D158" s="88" t="str">
        <f>IF(B158="","",
IFERROR(VLOOKUP(B158,'Maestro Materiales'!A:C,2,FALSE),
IFERROR(VLOOKUP(B158,'Baremos actuales'!A:B,2,FALSE),
IFERROR(VLOOKUP(B158,'Baremos anteriores'!A:B,2,FALSE),
""))))</f>
        <v/>
      </c>
      <c r="E158" s="9"/>
      <c r="F158" s="89" t="str">
        <f>IF(D158="MATE",
IF(E158="","¿Unidades?",""),
IF(D158="",IF(E158="","","¿Código?"),
IF(E158="","¿Unidades?",
IF(D158="TARE",
IF(M158=$H$3,IFERROR(VLOOKUP(B158,'Baremos actuales'!A:C,3,FALSE),0),
IF(M158=$H$4,IFERROR(VLOOKUP(B158,'Baremos anteriores'!A:C,3,FALSE),0),0))))))</f>
        <v/>
      </c>
      <c r="G158" s="7"/>
      <c r="H158" s="8"/>
      <c r="I158" s="8"/>
      <c r="J158" s="78" t="str">
        <f>IF($D158="","",
IF($E158="","",
IF($D158="MATE","",
IF(VLOOKUP($B158,'Baremos actuales'!A:D,4,FALSE)=J$9,$E158*$F158,IF(VLOOKUP($B158,'Baremos anteriores'!A:D,4,FALSE)="Sin Definir",$E158*$F158,"")))))</f>
        <v/>
      </c>
      <c r="K158" s="79" t="str">
        <f>IF($D158="","",
IF($E158="","",
IF($D158="MATE","",
IF(VLOOKUP($B158,'Baremos actuales'!$A:$D,4,FALSE)=K$9,$E158*$F158,IF(VLOOKUP($B158,'Baremos anteriores'!$A:$D,4,FALSE)="Desmonte",$E158*$F158,"")))))</f>
        <v/>
      </c>
      <c r="L158" s="80" t="str">
        <f>IF($D158="","",
IF($E158="","",
IF($D158="MATE","",
IF(VLOOKUP($B158,'Baremos actuales'!$A:$D,4,FALSE)=L$9,$E158*$F158,""))))</f>
        <v/>
      </c>
      <c r="M158" s="91" t="str">
        <f t="shared" si="2"/>
        <v/>
      </c>
      <c r="N158" s="96"/>
      <c r="O158" s="95"/>
      <c r="P158" s="96"/>
      <c r="Q158" s="98"/>
    </row>
    <row r="159" spans="1:17" ht="15.75" x14ac:dyDescent="0.2">
      <c r="A159" s="17"/>
      <c r="B159" s="18"/>
      <c r="C159" s="87" t="str">
        <f>IF(B159="","",
IF(M159=$H$5,IFERROR(VLOOKUP(B159,'Baremos actuales'!A:E,5,FALSE),"No encontrado. Revisar código, fecha ejecución y/o contrato."),
IF(M159=$H$4,IFERROR(VLOOKUP(B159,'Baremos anteriores'!A:E,5,FALSE),"No encontrado. Revisar código, fecha ejecución y/o contrato."),
IF(M159=$H$3,IFERROR(VLOOKUP(B159,#REF!,5,FALSE),"No encontrado. Revisar código, fecha ejecución y/o contrato."),
IF(D159="","Código no encontrado",
IF(D159="ERROR","No encontrado. Revisar Código, fecha de ejecución y/o contrato.",
IF(D159="MATE",
IF(C158="DESCRIPCION","NO SE PUEDE COMENZAR SIN CÓDIGO DE TAREA",
IF(C158="","FALTA CÓDIGO DE TAREA",
CONCATENATE("          ",VLOOKUP(B159,'Maestro Materiales'!A:C,3,FALSE)))),IFERROR(VLOOKUP(B159,#REF!,5,FALSE),"No encontrado. Revisar código, fecha ejecución y/o contrato."))))))))</f>
        <v/>
      </c>
      <c r="D159" s="88" t="str">
        <f>IF(B159="","",
IFERROR(VLOOKUP(B159,'Maestro Materiales'!A:C,2,FALSE),
IFERROR(VLOOKUP(B159,'Baremos actuales'!A:B,2,FALSE),
IFERROR(VLOOKUP(B159,'Baremos anteriores'!A:B,2,FALSE),
""))))</f>
        <v/>
      </c>
      <c r="E159" s="9"/>
      <c r="F159" s="89" t="str">
        <f>IF(D159="MATE",
IF(E159="","¿Unidades?",""),
IF(D159="",IF(E159="","","¿Código?"),
IF(E159="","¿Unidades?",
IF(D159="TARE",
IF(M159=$H$3,IFERROR(VLOOKUP(B159,'Baremos actuales'!A:C,3,FALSE),0),
IF(M159=$H$4,IFERROR(VLOOKUP(B159,'Baremos anteriores'!A:C,3,FALSE),0),0))))))</f>
        <v/>
      </c>
      <c r="G159" s="7"/>
      <c r="H159" s="8"/>
      <c r="I159" s="8"/>
      <c r="J159" s="78" t="str">
        <f>IF($D159="","",
IF($E159="","",
IF($D159="MATE","",
IF(VLOOKUP($B159,'Baremos actuales'!A:D,4,FALSE)=J$9,$E159*$F159,IF(VLOOKUP($B159,'Baremos anteriores'!A:D,4,FALSE)="Sin Definir",$E159*$F159,"")))))</f>
        <v/>
      </c>
      <c r="K159" s="79" t="str">
        <f>IF($D159="","",
IF($E159="","",
IF($D159="MATE","",
IF(VLOOKUP($B159,'Baremos actuales'!$A:$D,4,FALSE)=K$9,$E159*$F159,IF(VLOOKUP($B159,'Baremos anteriores'!$A:$D,4,FALSE)="Desmonte",$E159*$F159,"")))))</f>
        <v/>
      </c>
      <c r="L159" s="80" t="str">
        <f>IF($D159="","",
IF($E159="","",
IF($D159="MATE","",
IF(VLOOKUP($B159,'Baremos actuales'!$A:$D,4,FALSE)=L$9,$E159*$F159,""))))</f>
        <v/>
      </c>
      <c r="M159" s="91" t="str">
        <f t="shared" si="2"/>
        <v/>
      </c>
      <c r="N159" s="96"/>
      <c r="O159" s="95"/>
      <c r="P159" s="96"/>
      <c r="Q159" s="98"/>
    </row>
    <row r="160" spans="1:17" ht="15.75" x14ac:dyDescent="0.2">
      <c r="A160" s="17"/>
      <c r="B160" s="18"/>
      <c r="C160" s="87" t="str">
        <f>IF(B160="","",
IF(M160=$H$5,IFERROR(VLOOKUP(B160,'Baremos actuales'!A:E,5,FALSE),"No encontrado. Revisar código, fecha ejecución y/o contrato."),
IF(M160=$H$4,IFERROR(VLOOKUP(B160,'Baremos anteriores'!A:E,5,FALSE),"No encontrado. Revisar código, fecha ejecución y/o contrato."),
IF(M160=$H$3,IFERROR(VLOOKUP(B160,#REF!,5,FALSE),"No encontrado. Revisar código, fecha ejecución y/o contrato."),
IF(D160="","Código no encontrado",
IF(D160="ERROR","No encontrado. Revisar Código, fecha de ejecución y/o contrato.",
IF(D160="MATE",
IF(C159="DESCRIPCION","NO SE PUEDE COMENZAR SIN CÓDIGO DE TAREA",
IF(C159="","FALTA CÓDIGO DE TAREA",
CONCATENATE("          ",VLOOKUP(B160,'Maestro Materiales'!A:C,3,FALSE)))),IFERROR(VLOOKUP(B160,#REF!,5,FALSE),"No encontrado. Revisar código, fecha ejecución y/o contrato."))))))))</f>
        <v/>
      </c>
      <c r="D160" s="88" t="str">
        <f>IF(B160="","",
IFERROR(VLOOKUP(B160,'Maestro Materiales'!A:C,2,FALSE),
IFERROR(VLOOKUP(B160,'Baremos actuales'!A:B,2,FALSE),
IFERROR(VLOOKUP(B160,'Baremos anteriores'!A:B,2,FALSE),
""))))</f>
        <v/>
      </c>
      <c r="E160" s="9"/>
      <c r="F160" s="89" t="str">
        <f>IF(D160="MATE",
IF(E160="","¿Unidades?",""),
IF(D160="",IF(E160="","","¿Código?"),
IF(E160="","¿Unidades?",
IF(D160="TARE",
IF(M160=$H$3,IFERROR(VLOOKUP(B160,'Baremos actuales'!A:C,3,FALSE),0),
IF(M160=$H$4,IFERROR(VLOOKUP(B160,'Baremos anteriores'!A:C,3,FALSE),0),0))))))</f>
        <v/>
      </c>
      <c r="G160" s="7"/>
      <c r="H160" s="8"/>
      <c r="I160" s="8"/>
      <c r="J160" s="78" t="str">
        <f>IF($D160="","",
IF($E160="","",
IF($D160="MATE","",
IF(VLOOKUP($B160,'Baremos actuales'!A:D,4,FALSE)=J$9,$E160*$F160,IF(VLOOKUP($B160,'Baremos anteriores'!A:D,4,FALSE)="Sin Definir",$E160*$F160,"")))))</f>
        <v/>
      </c>
      <c r="K160" s="79" t="str">
        <f>IF($D160="","",
IF($E160="","",
IF($D160="MATE","",
IF(VLOOKUP($B160,'Baremos actuales'!$A:$D,4,FALSE)=K$9,$E160*$F160,IF(VLOOKUP($B160,'Baremos anteriores'!$A:$D,4,FALSE)="Desmonte",$E160*$F160,"")))))</f>
        <v/>
      </c>
      <c r="L160" s="80" t="str">
        <f>IF($D160="","",
IF($E160="","",
IF($D160="MATE","",
IF(VLOOKUP($B160,'Baremos actuales'!$A:$D,4,FALSE)=L$9,$E160*$F160,""))))</f>
        <v/>
      </c>
      <c r="M160" s="91" t="str">
        <f t="shared" si="2"/>
        <v/>
      </c>
      <c r="N160" s="96"/>
      <c r="O160" s="95"/>
      <c r="P160" s="96"/>
      <c r="Q160" s="98"/>
    </row>
    <row r="161" spans="1:17" ht="15.75" x14ac:dyDescent="0.2">
      <c r="A161" s="17"/>
      <c r="B161" s="18"/>
      <c r="C161" s="87" t="str">
        <f>IF(B161="","",
IF(M161=$H$5,IFERROR(VLOOKUP(B161,'Baremos actuales'!A:E,5,FALSE),"No encontrado. Revisar código, fecha ejecución y/o contrato."),
IF(M161=$H$4,IFERROR(VLOOKUP(B161,'Baremos anteriores'!A:E,5,FALSE),"No encontrado. Revisar código, fecha ejecución y/o contrato."),
IF(M161=$H$3,IFERROR(VLOOKUP(B161,#REF!,5,FALSE),"No encontrado. Revisar código, fecha ejecución y/o contrato."),
IF(D161="","Código no encontrado",
IF(D161="ERROR","No encontrado. Revisar Código, fecha de ejecución y/o contrato.",
IF(D161="MATE",
IF(C160="DESCRIPCION","NO SE PUEDE COMENZAR SIN CÓDIGO DE TAREA",
IF(C160="","FALTA CÓDIGO DE TAREA",
CONCATENATE("          ",VLOOKUP(B161,'Maestro Materiales'!A:C,3,FALSE)))),IFERROR(VLOOKUP(B161,#REF!,5,FALSE),"No encontrado. Revisar código, fecha ejecución y/o contrato."))))))))</f>
        <v/>
      </c>
      <c r="D161" s="88" t="str">
        <f>IF(B161="","",
IFERROR(VLOOKUP(B161,'Maestro Materiales'!A:C,2,FALSE),
IFERROR(VLOOKUP(B161,'Baremos actuales'!A:B,2,FALSE),
IFERROR(VLOOKUP(B161,'Baremos anteriores'!A:B,2,FALSE),
""))))</f>
        <v/>
      </c>
      <c r="E161" s="9"/>
      <c r="F161" s="89" t="str">
        <f>IF(D161="MATE",
IF(E161="","¿Unidades?",""),
IF(D161="",IF(E161="","","¿Código?"),
IF(E161="","¿Unidades?",
IF(D161="TARE",
IF(M161=$H$3,IFERROR(VLOOKUP(B161,'Baremos actuales'!A:C,3,FALSE),0),
IF(M161=$H$4,IFERROR(VLOOKUP(B161,'Baremos anteriores'!A:C,3,FALSE),0),0))))))</f>
        <v/>
      </c>
      <c r="G161" s="7"/>
      <c r="H161" s="8"/>
      <c r="I161" s="8"/>
      <c r="J161" s="78" t="str">
        <f>IF($D161="","",
IF($E161="","",
IF($D161="MATE","",
IF(VLOOKUP($B161,'Baremos actuales'!A:D,4,FALSE)=J$9,$E161*$F161,IF(VLOOKUP($B161,'Baremos anteriores'!A:D,4,FALSE)="Sin Definir",$E161*$F161,"")))))</f>
        <v/>
      </c>
      <c r="K161" s="79" t="str">
        <f>IF($D161="","",
IF($E161="","",
IF($D161="MATE","",
IF(VLOOKUP($B161,'Baremos actuales'!$A:$D,4,FALSE)=K$9,$E161*$F161,IF(VLOOKUP($B161,'Baremos anteriores'!$A:$D,4,FALSE)="Desmonte",$E161*$F161,"")))))</f>
        <v/>
      </c>
      <c r="L161" s="80" t="str">
        <f>IF($D161="","",
IF($E161="","",
IF($D161="MATE","",
IF(VLOOKUP($B161,'Baremos actuales'!$A:$D,4,FALSE)=L$9,$E161*$F161,""))))</f>
        <v/>
      </c>
      <c r="M161" s="91" t="str">
        <f t="shared" si="2"/>
        <v/>
      </c>
      <c r="N161" s="96"/>
      <c r="O161" s="95"/>
      <c r="P161" s="96"/>
      <c r="Q161" s="98"/>
    </row>
    <row r="162" spans="1:17" ht="15.75" x14ac:dyDescent="0.2">
      <c r="A162" s="17"/>
      <c r="B162" s="18"/>
      <c r="C162" s="87" t="str">
        <f>IF(B162="","",
IF(M162=$H$5,IFERROR(VLOOKUP(B162,'Baremos actuales'!A:E,5,FALSE),"No encontrado. Revisar código, fecha ejecución y/o contrato."),
IF(M162=$H$4,IFERROR(VLOOKUP(B162,'Baremos anteriores'!A:E,5,FALSE),"No encontrado. Revisar código, fecha ejecución y/o contrato."),
IF(M162=$H$3,IFERROR(VLOOKUP(B162,#REF!,5,FALSE),"No encontrado. Revisar código, fecha ejecución y/o contrato."),
IF(D162="","Código no encontrado",
IF(D162="ERROR","No encontrado. Revisar Código, fecha de ejecución y/o contrato.",
IF(D162="MATE",
IF(C161="DESCRIPCION","NO SE PUEDE COMENZAR SIN CÓDIGO DE TAREA",
IF(C161="","FALTA CÓDIGO DE TAREA",
CONCATENATE("          ",VLOOKUP(B162,'Maestro Materiales'!A:C,3,FALSE)))),IFERROR(VLOOKUP(B162,#REF!,5,FALSE),"No encontrado. Revisar código, fecha ejecución y/o contrato."))))))))</f>
        <v/>
      </c>
      <c r="D162" s="88" t="str">
        <f>IF(B162="","",
IFERROR(VLOOKUP(B162,'Maestro Materiales'!A:C,2,FALSE),
IFERROR(VLOOKUP(B162,'Baremos actuales'!A:B,2,FALSE),
IFERROR(VLOOKUP(B162,'Baremos anteriores'!A:B,2,FALSE),
""))))</f>
        <v/>
      </c>
      <c r="E162" s="9"/>
      <c r="F162" s="89" t="str">
        <f>IF(D162="MATE",
IF(E162="","¿Unidades?",""),
IF(D162="",IF(E162="","","¿Código?"),
IF(E162="","¿Unidades?",
IF(D162="TARE",
IF(M162=$H$3,IFERROR(VLOOKUP(B162,'Baremos actuales'!A:C,3,FALSE),0),
IF(M162=$H$4,IFERROR(VLOOKUP(B162,'Baremos anteriores'!A:C,3,FALSE),0),0))))))</f>
        <v/>
      </c>
      <c r="G162" s="7"/>
      <c r="H162" s="8"/>
      <c r="I162" s="8"/>
      <c r="J162" s="78" t="str">
        <f>IF($D162="","",
IF($E162="","",
IF($D162="MATE","",
IF(VLOOKUP($B162,'Baremos actuales'!A:D,4,FALSE)=J$9,$E162*$F162,IF(VLOOKUP($B162,'Baremos anteriores'!A:D,4,FALSE)="Sin Definir",$E162*$F162,"")))))</f>
        <v/>
      </c>
      <c r="K162" s="79" t="str">
        <f>IF($D162="","",
IF($E162="","",
IF($D162="MATE","",
IF(VLOOKUP($B162,'Baremos actuales'!$A:$D,4,FALSE)=K$9,$E162*$F162,IF(VLOOKUP($B162,'Baremos anteriores'!$A:$D,4,FALSE)="Desmonte",$E162*$F162,"")))))</f>
        <v/>
      </c>
      <c r="L162" s="80" t="str">
        <f>IF($D162="","",
IF($E162="","",
IF($D162="MATE","",
IF(VLOOKUP($B162,'Baremos actuales'!$A:$D,4,FALSE)=L$9,$E162*$F162,""))))</f>
        <v/>
      </c>
      <c r="M162" s="91" t="str">
        <f t="shared" si="2"/>
        <v/>
      </c>
      <c r="N162" s="96"/>
      <c r="O162" s="95"/>
      <c r="P162" s="96"/>
      <c r="Q162" s="98"/>
    </row>
    <row r="163" spans="1:17" ht="15.75" x14ac:dyDescent="0.2">
      <c r="A163" s="17"/>
      <c r="B163" s="18"/>
      <c r="C163" s="87" t="str">
        <f>IF(B163="","",
IF(M163=$H$5,IFERROR(VLOOKUP(B163,'Baremos actuales'!A:E,5,FALSE),"No encontrado. Revisar código, fecha ejecución y/o contrato."),
IF(M163=$H$4,IFERROR(VLOOKUP(B163,'Baremos anteriores'!A:E,5,FALSE),"No encontrado. Revisar código, fecha ejecución y/o contrato."),
IF(M163=$H$3,IFERROR(VLOOKUP(B163,#REF!,5,FALSE),"No encontrado. Revisar código, fecha ejecución y/o contrato."),
IF(D163="","Código no encontrado",
IF(D163="ERROR","No encontrado. Revisar Código, fecha de ejecución y/o contrato.",
IF(D163="MATE",
IF(C162="DESCRIPCION","NO SE PUEDE COMENZAR SIN CÓDIGO DE TAREA",
IF(C162="","FALTA CÓDIGO DE TAREA",
CONCATENATE("          ",VLOOKUP(B163,'Maestro Materiales'!A:C,3,FALSE)))),IFERROR(VLOOKUP(B163,#REF!,5,FALSE),"No encontrado. Revisar código, fecha ejecución y/o contrato."))))))))</f>
        <v/>
      </c>
      <c r="D163" s="88" t="str">
        <f>IF(B163="","",
IFERROR(VLOOKUP(B163,'Maestro Materiales'!A:C,2,FALSE),
IFERROR(VLOOKUP(B163,'Baremos actuales'!A:B,2,FALSE),
IFERROR(VLOOKUP(B163,'Baremos anteriores'!A:B,2,FALSE),
""))))</f>
        <v/>
      </c>
      <c r="E163" s="9"/>
      <c r="F163" s="89" t="str">
        <f>IF(D163="MATE",
IF(E163="","¿Unidades?",""),
IF(D163="",IF(E163="","","¿Código?"),
IF(E163="","¿Unidades?",
IF(D163="TARE",
IF(M163=$H$3,IFERROR(VLOOKUP(B163,'Baremos actuales'!A:C,3,FALSE),0),
IF(M163=$H$4,IFERROR(VLOOKUP(B163,'Baremos anteriores'!A:C,3,FALSE),0),0))))))</f>
        <v/>
      </c>
      <c r="G163" s="7"/>
      <c r="H163" s="8"/>
      <c r="I163" s="8"/>
      <c r="J163" s="78" t="str">
        <f>IF($D163="","",
IF($E163="","",
IF($D163="MATE","",
IF(VLOOKUP($B163,'Baremos actuales'!A:D,4,FALSE)=J$9,$E163*$F163,IF(VLOOKUP($B163,'Baremos anteriores'!A:D,4,FALSE)="Sin Definir",$E163*$F163,"")))))</f>
        <v/>
      </c>
      <c r="K163" s="79" t="str">
        <f>IF($D163="","",
IF($E163="","",
IF($D163="MATE","",
IF(VLOOKUP($B163,'Baremos actuales'!$A:$D,4,FALSE)=K$9,$E163*$F163,IF(VLOOKUP($B163,'Baremos anteriores'!$A:$D,4,FALSE)="Desmonte",$E163*$F163,"")))))</f>
        <v/>
      </c>
      <c r="L163" s="80" t="str">
        <f>IF($D163="","",
IF($E163="","",
IF($D163="MATE","",
IF(VLOOKUP($B163,'Baremos actuales'!$A:$D,4,FALSE)=L$9,$E163*$F163,""))))</f>
        <v/>
      </c>
      <c r="M163" s="91" t="str">
        <f t="shared" si="2"/>
        <v/>
      </c>
      <c r="N163" s="96"/>
      <c r="O163" s="95"/>
      <c r="P163" s="96"/>
      <c r="Q163" s="98"/>
    </row>
    <row r="164" spans="1:17" ht="15.75" x14ac:dyDescent="0.2">
      <c r="A164" s="17"/>
      <c r="B164" s="18"/>
      <c r="C164" s="87" t="str">
        <f>IF(B164="","",
IF(M164=$H$5,IFERROR(VLOOKUP(B164,'Baremos actuales'!A:E,5,FALSE),"No encontrado. Revisar código, fecha ejecución y/o contrato."),
IF(M164=$H$4,IFERROR(VLOOKUP(B164,'Baremos anteriores'!A:E,5,FALSE),"No encontrado. Revisar código, fecha ejecución y/o contrato."),
IF(M164=$H$3,IFERROR(VLOOKUP(B164,#REF!,5,FALSE),"No encontrado. Revisar código, fecha ejecución y/o contrato."),
IF(D164="","Código no encontrado",
IF(D164="ERROR","No encontrado. Revisar Código, fecha de ejecución y/o contrato.",
IF(D164="MATE",
IF(C163="DESCRIPCION","NO SE PUEDE COMENZAR SIN CÓDIGO DE TAREA",
IF(C163="","FALTA CÓDIGO DE TAREA",
CONCATENATE("          ",VLOOKUP(B164,'Maestro Materiales'!A:C,3,FALSE)))),IFERROR(VLOOKUP(B164,#REF!,5,FALSE),"No encontrado. Revisar código, fecha ejecución y/o contrato."))))))))</f>
        <v/>
      </c>
      <c r="D164" s="88" t="str">
        <f>IF(B164="","",
IFERROR(VLOOKUP(B164,'Maestro Materiales'!A:C,2,FALSE),
IFERROR(VLOOKUP(B164,'Baremos actuales'!A:B,2,FALSE),
IFERROR(VLOOKUP(B164,'Baremos anteriores'!A:B,2,FALSE),
""))))</f>
        <v/>
      </c>
      <c r="E164" s="9"/>
      <c r="F164" s="89" t="str">
        <f>IF(D164="MATE",
IF(E164="","¿Unidades?",""),
IF(D164="",IF(E164="","","¿Código?"),
IF(E164="","¿Unidades?",
IF(D164="TARE",
IF(M164=$H$3,IFERROR(VLOOKUP(B164,'Baremos actuales'!A:C,3,FALSE),0),
IF(M164=$H$4,IFERROR(VLOOKUP(B164,'Baremos anteriores'!A:C,3,FALSE),0),0))))))</f>
        <v/>
      </c>
      <c r="G164" s="7"/>
      <c r="H164" s="8"/>
      <c r="I164" s="8"/>
      <c r="J164" s="78" t="str">
        <f>IF($D164="","",
IF($E164="","",
IF($D164="MATE","",
IF(VLOOKUP($B164,'Baremos actuales'!A:D,4,FALSE)=J$9,$E164*$F164,IF(VLOOKUP($B164,'Baremos anteriores'!A:D,4,FALSE)="Sin Definir",$E164*$F164,"")))))</f>
        <v/>
      </c>
      <c r="K164" s="79" t="str">
        <f>IF($D164="","",
IF($E164="","",
IF($D164="MATE","",
IF(VLOOKUP($B164,'Baremos actuales'!$A:$D,4,FALSE)=K$9,$E164*$F164,IF(VLOOKUP($B164,'Baremos anteriores'!$A:$D,4,FALSE)="Desmonte",$E164*$F164,"")))))</f>
        <v/>
      </c>
      <c r="L164" s="80" t="str">
        <f>IF($D164="","",
IF($E164="","",
IF($D164="MATE","",
IF(VLOOKUP($B164,'Baremos actuales'!$A:$D,4,FALSE)=L$9,$E164*$F164,""))))</f>
        <v/>
      </c>
      <c r="M164" s="91" t="str">
        <f t="shared" si="2"/>
        <v/>
      </c>
      <c r="N164" s="96"/>
      <c r="O164" s="95"/>
      <c r="P164" s="96"/>
      <c r="Q164" s="98"/>
    </row>
    <row r="165" spans="1:17" ht="15.75" x14ac:dyDescent="0.2">
      <c r="A165" s="17"/>
      <c r="B165" s="18"/>
      <c r="C165" s="87" t="str">
        <f>IF(B165="","",
IF(M165=$H$5,IFERROR(VLOOKUP(B165,'Baremos actuales'!A:E,5,FALSE),"No encontrado. Revisar código, fecha ejecución y/o contrato."),
IF(M165=$H$4,IFERROR(VLOOKUP(B165,'Baremos anteriores'!A:E,5,FALSE),"No encontrado. Revisar código, fecha ejecución y/o contrato."),
IF(M165=$H$3,IFERROR(VLOOKUP(B165,#REF!,5,FALSE),"No encontrado. Revisar código, fecha ejecución y/o contrato."),
IF(D165="","Código no encontrado",
IF(D165="ERROR","No encontrado. Revisar Código, fecha de ejecución y/o contrato.",
IF(D165="MATE",
IF(C164="DESCRIPCION","NO SE PUEDE COMENZAR SIN CÓDIGO DE TAREA",
IF(C164="","FALTA CÓDIGO DE TAREA",
CONCATENATE("          ",VLOOKUP(B165,'Maestro Materiales'!A:C,3,FALSE)))),IFERROR(VLOOKUP(B165,#REF!,5,FALSE),"No encontrado. Revisar código, fecha ejecución y/o contrato."))))))))</f>
        <v/>
      </c>
      <c r="D165" s="88" t="str">
        <f>IF(B165="","",
IFERROR(VLOOKUP(B165,'Maestro Materiales'!A:C,2,FALSE),
IFERROR(VLOOKUP(B165,'Baremos actuales'!A:B,2,FALSE),
IFERROR(VLOOKUP(B165,'Baremos anteriores'!A:B,2,FALSE),
""))))</f>
        <v/>
      </c>
      <c r="E165" s="9"/>
      <c r="F165" s="89" t="str">
        <f>IF(D165="MATE",
IF(E165="","¿Unidades?",""),
IF(D165="",IF(E165="","","¿Código?"),
IF(E165="","¿Unidades?",
IF(D165="TARE",
IF(M165=$H$3,IFERROR(VLOOKUP(B165,'Baremos actuales'!A:C,3,FALSE),0),
IF(M165=$H$4,IFERROR(VLOOKUP(B165,'Baremos anteriores'!A:C,3,FALSE),0),0))))))</f>
        <v/>
      </c>
      <c r="G165" s="7"/>
      <c r="H165" s="8"/>
      <c r="I165" s="8"/>
      <c r="J165" s="78" t="str">
        <f>IF($D165="","",
IF($E165="","",
IF($D165="MATE","",
IF(VLOOKUP($B165,'Baremos actuales'!A:D,4,FALSE)=J$9,$E165*$F165,IF(VLOOKUP($B165,'Baremos anteriores'!A:D,4,FALSE)="Sin Definir",$E165*$F165,"")))))</f>
        <v/>
      </c>
      <c r="K165" s="79" t="str">
        <f>IF($D165="","",
IF($E165="","",
IF($D165="MATE","",
IF(VLOOKUP($B165,'Baremos actuales'!$A:$D,4,FALSE)=K$9,$E165*$F165,IF(VLOOKUP($B165,'Baremos anteriores'!$A:$D,4,FALSE)="Desmonte",$E165*$F165,"")))))</f>
        <v/>
      </c>
      <c r="L165" s="80" t="str">
        <f>IF($D165="","",
IF($E165="","",
IF($D165="MATE","",
IF(VLOOKUP($B165,'Baremos actuales'!$A:$D,4,FALSE)=L$9,$E165*$F165,""))))</f>
        <v/>
      </c>
      <c r="M165" s="91" t="str">
        <f t="shared" si="2"/>
        <v/>
      </c>
      <c r="N165" s="96"/>
      <c r="O165" s="95"/>
      <c r="P165" s="96"/>
      <c r="Q165" s="98"/>
    </row>
    <row r="166" spans="1:17" ht="15.75" x14ac:dyDescent="0.2">
      <c r="A166" s="17"/>
      <c r="B166" s="18"/>
      <c r="C166" s="87" t="str">
        <f>IF(B166="","",
IF(M166=$H$5,IFERROR(VLOOKUP(B166,'Baremos actuales'!A:E,5,FALSE),"No encontrado. Revisar código, fecha ejecución y/o contrato."),
IF(M166=$H$4,IFERROR(VLOOKUP(B166,'Baremos anteriores'!A:E,5,FALSE),"No encontrado. Revisar código, fecha ejecución y/o contrato."),
IF(M166=$H$3,IFERROR(VLOOKUP(B166,#REF!,5,FALSE),"No encontrado. Revisar código, fecha ejecución y/o contrato."),
IF(D166="","Código no encontrado",
IF(D166="ERROR","No encontrado. Revisar Código, fecha de ejecución y/o contrato.",
IF(D166="MATE",
IF(C165="DESCRIPCION","NO SE PUEDE COMENZAR SIN CÓDIGO DE TAREA",
IF(C165="","FALTA CÓDIGO DE TAREA",
CONCATENATE("          ",VLOOKUP(B166,'Maestro Materiales'!A:C,3,FALSE)))),IFERROR(VLOOKUP(B166,#REF!,5,FALSE),"No encontrado. Revisar código, fecha ejecución y/o contrato."))))))))</f>
        <v/>
      </c>
      <c r="D166" s="88" t="str">
        <f>IF(B166="","",
IFERROR(VLOOKUP(B166,'Maestro Materiales'!A:C,2,FALSE),
IFERROR(VLOOKUP(B166,'Baremos actuales'!A:B,2,FALSE),
IFERROR(VLOOKUP(B166,'Baremos anteriores'!A:B,2,FALSE),
""))))</f>
        <v/>
      </c>
      <c r="E166" s="9"/>
      <c r="F166" s="89" t="str">
        <f>IF(D166="MATE",
IF(E166="","¿Unidades?",""),
IF(D166="",IF(E166="","","¿Código?"),
IF(E166="","¿Unidades?",
IF(D166="TARE",
IF(M166=$H$3,IFERROR(VLOOKUP(B166,'Baremos actuales'!A:C,3,FALSE),0),
IF(M166=$H$4,IFERROR(VLOOKUP(B166,'Baremos anteriores'!A:C,3,FALSE),0),0))))))</f>
        <v/>
      </c>
      <c r="G166" s="7"/>
      <c r="H166" s="8"/>
      <c r="I166" s="8"/>
      <c r="J166" s="78" t="str">
        <f>IF($D166="","",
IF($E166="","",
IF($D166="MATE","",
IF(VLOOKUP($B166,'Baremos actuales'!A:D,4,FALSE)=J$9,$E166*$F166,IF(VLOOKUP($B166,'Baremos anteriores'!A:D,4,FALSE)="Sin Definir",$E166*$F166,"")))))</f>
        <v/>
      </c>
      <c r="K166" s="79" t="str">
        <f>IF($D166="","",
IF($E166="","",
IF($D166="MATE","",
IF(VLOOKUP($B166,'Baremos actuales'!$A:$D,4,FALSE)=K$9,$E166*$F166,IF(VLOOKUP($B166,'Baremos anteriores'!$A:$D,4,FALSE)="Desmonte",$E166*$F166,"")))))</f>
        <v/>
      </c>
      <c r="L166" s="80" t="str">
        <f>IF($D166="","",
IF($E166="","",
IF($D166="MATE","",
IF(VLOOKUP($B166,'Baremos actuales'!$A:$D,4,FALSE)=L$9,$E166*$F166,""))))</f>
        <v/>
      </c>
      <c r="M166" s="91" t="str">
        <f t="shared" si="2"/>
        <v/>
      </c>
      <c r="N166" s="96"/>
      <c r="O166" s="95"/>
      <c r="P166" s="96"/>
      <c r="Q166" s="98"/>
    </row>
    <row r="167" spans="1:17" ht="15.75" x14ac:dyDescent="0.2">
      <c r="A167" s="17"/>
      <c r="B167" s="18"/>
      <c r="C167" s="87" t="str">
        <f>IF(B167="","",
IF(M167=$H$5,IFERROR(VLOOKUP(B167,'Baremos actuales'!A:E,5,FALSE),"No encontrado. Revisar código, fecha ejecución y/o contrato."),
IF(M167=$H$4,IFERROR(VLOOKUP(B167,'Baremos anteriores'!A:E,5,FALSE),"No encontrado. Revisar código, fecha ejecución y/o contrato."),
IF(M167=$H$3,IFERROR(VLOOKUP(B167,#REF!,5,FALSE),"No encontrado. Revisar código, fecha ejecución y/o contrato."),
IF(D167="","Código no encontrado",
IF(D167="ERROR","No encontrado. Revisar Código, fecha de ejecución y/o contrato.",
IF(D167="MATE",
IF(C166="DESCRIPCION","NO SE PUEDE COMENZAR SIN CÓDIGO DE TAREA",
IF(C166="","FALTA CÓDIGO DE TAREA",
CONCATENATE("          ",VLOOKUP(B167,'Maestro Materiales'!A:C,3,FALSE)))),IFERROR(VLOOKUP(B167,#REF!,5,FALSE),"No encontrado. Revisar código, fecha ejecución y/o contrato."))))))))</f>
        <v/>
      </c>
      <c r="D167" s="88" t="str">
        <f>IF(B167="","",
IFERROR(VLOOKUP(B167,'Maestro Materiales'!A:C,2,FALSE),
IFERROR(VLOOKUP(B167,'Baremos actuales'!A:B,2,FALSE),
IFERROR(VLOOKUP(B167,'Baremos anteriores'!A:B,2,FALSE),
""))))</f>
        <v/>
      </c>
      <c r="E167" s="9"/>
      <c r="F167" s="89" t="str">
        <f>IF(D167="MATE",
IF(E167="","¿Unidades?",""),
IF(D167="",IF(E167="","","¿Código?"),
IF(E167="","¿Unidades?",
IF(D167="TARE",
IF(M167=$H$3,IFERROR(VLOOKUP(B167,'Baremos actuales'!A:C,3,FALSE),0),
IF(M167=$H$4,IFERROR(VLOOKUP(B167,'Baremos anteriores'!A:C,3,FALSE),0),0))))))</f>
        <v/>
      </c>
      <c r="G167" s="7"/>
      <c r="H167" s="8"/>
      <c r="I167" s="8"/>
      <c r="J167" s="78" t="str">
        <f>IF($D167="","",
IF($E167="","",
IF($D167="MATE","",
IF(VLOOKUP($B167,'Baremos actuales'!A:D,4,FALSE)=J$9,$E167*$F167,IF(VLOOKUP($B167,'Baremos anteriores'!A:D,4,FALSE)="Sin Definir",$E167*$F167,"")))))</f>
        <v/>
      </c>
      <c r="K167" s="79" t="str">
        <f>IF($D167="","",
IF($E167="","",
IF($D167="MATE","",
IF(VLOOKUP($B167,'Baremos actuales'!$A:$D,4,FALSE)=K$9,$E167*$F167,IF(VLOOKUP($B167,'Baremos anteriores'!$A:$D,4,FALSE)="Desmonte",$E167*$F167,"")))))</f>
        <v/>
      </c>
      <c r="L167" s="80" t="str">
        <f>IF($D167="","",
IF($E167="","",
IF($D167="MATE","",
IF(VLOOKUP($B167,'Baremos actuales'!$A:$D,4,FALSE)=L$9,$E167*$F167,""))))</f>
        <v/>
      </c>
      <c r="M167" s="91" t="str">
        <f t="shared" si="2"/>
        <v/>
      </c>
      <c r="N167" s="96"/>
      <c r="O167" s="95"/>
      <c r="P167" s="96"/>
      <c r="Q167" s="98"/>
    </row>
    <row r="168" spans="1:17" ht="15.75" x14ac:dyDescent="0.2">
      <c r="A168" s="17"/>
      <c r="B168" s="18"/>
      <c r="C168" s="87" t="str">
        <f>IF(B168="","",
IF(M168=$H$5,IFERROR(VLOOKUP(B168,'Baremos actuales'!A:E,5,FALSE),"No encontrado. Revisar código, fecha ejecución y/o contrato."),
IF(M168=$H$4,IFERROR(VLOOKUP(B168,'Baremos anteriores'!A:E,5,FALSE),"No encontrado. Revisar código, fecha ejecución y/o contrato."),
IF(M168=$H$3,IFERROR(VLOOKUP(B168,#REF!,5,FALSE),"No encontrado. Revisar código, fecha ejecución y/o contrato."),
IF(D168="","Código no encontrado",
IF(D168="ERROR","No encontrado. Revisar Código, fecha de ejecución y/o contrato.",
IF(D168="MATE",
IF(C167="DESCRIPCION","NO SE PUEDE COMENZAR SIN CÓDIGO DE TAREA",
IF(C167="","FALTA CÓDIGO DE TAREA",
CONCATENATE("          ",VLOOKUP(B168,'Maestro Materiales'!A:C,3,FALSE)))),IFERROR(VLOOKUP(B168,#REF!,5,FALSE),"No encontrado. Revisar código, fecha ejecución y/o contrato."))))))))</f>
        <v/>
      </c>
      <c r="D168" s="88" t="str">
        <f>IF(B168="","",
IFERROR(VLOOKUP(B168,'Maestro Materiales'!A:C,2,FALSE),
IFERROR(VLOOKUP(B168,'Baremos actuales'!A:B,2,FALSE),
IFERROR(VLOOKUP(B168,'Baremos anteriores'!A:B,2,FALSE),
""))))</f>
        <v/>
      </c>
      <c r="E168" s="9"/>
      <c r="F168" s="89" t="str">
        <f>IF(D168="MATE",
IF(E168="","¿Unidades?",""),
IF(D168="",IF(E168="","","¿Código?"),
IF(E168="","¿Unidades?",
IF(D168="TARE",
IF(M168=$H$3,IFERROR(VLOOKUP(B168,'Baremos actuales'!A:C,3,FALSE),0),
IF(M168=$H$4,IFERROR(VLOOKUP(B168,'Baremos anteriores'!A:C,3,FALSE),0),0))))))</f>
        <v/>
      </c>
      <c r="G168" s="7"/>
      <c r="H168" s="8"/>
      <c r="I168" s="8"/>
      <c r="J168" s="78" t="str">
        <f>IF($D168="","",
IF($E168="","",
IF($D168="MATE","",
IF(VLOOKUP($B168,'Baremos actuales'!A:D,4,FALSE)=J$9,$E168*$F168,IF(VLOOKUP($B168,'Baremos anteriores'!A:D,4,FALSE)="Sin Definir",$E168*$F168,"")))))</f>
        <v/>
      </c>
      <c r="K168" s="79" t="str">
        <f>IF($D168="","",
IF($E168="","",
IF($D168="MATE","",
IF(VLOOKUP($B168,'Baremos actuales'!$A:$D,4,FALSE)=K$9,$E168*$F168,IF(VLOOKUP($B168,'Baremos anteriores'!$A:$D,4,FALSE)="Desmonte",$E168*$F168,"")))))</f>
        <v/>
      </c>
      <c r="L168" s="80" t="str">
        <f>IF($D168="","",
IF($E168="","",
IF($D168="MATE","",
IF(VLOOKUP($B168,'Baremos actuales'!$A:$D,4,FALSE)=L$9,$E168*$F168,""))))</f>
        <v/>
      </c>
      <c r="M168" s="91" t="str">
        <f t="shared" si="2"/>
        <v/>
      </c>
      <c r="N168" s="96"/>
      <c r="O168" s="95"/>
      <c r="P168" s="96"/>
      <c r="Q168" s="98"/>
    </row>
    <row r="169" spans="1:17" ht="15.75" x14ac:dyDescent="0.2">
      <c r="A169" s="17"/>
      <c r="B169" s="18"/>
      <c r="C169" s="87" t="str">
        <f>IF(B169="","",
IF(M169=$H$5,IFERROR(VLOOKUP(B169,'Baremos actuales'!A:E,5,FALSE),"No encontrado. Revisar código, fecha ejecución y/o contrato."),
IF(M169=$H$4,IFERROR(VLOOKUP(B169,'Baremos anteriores'!A:E,5,FALSE),"No encontrado. Revisar código, fecha ejecución y/o contrato."),
IF(M169=$H$3,IFERROR(VLOOKUP(B169,#REF!,5,FALSE),"No encontrado. Revisar código, fecha ejecución y/o contrato."),
IF(D169="","Código no encontrado",
IF(D169="ERROR","No encontrado. Revisar Código, fecha de ejecución y/o contrato.",
IF(D169="MATE",
IF(C168="DESCRIPCION","NO SE PUEDE COMENZAR SIN CÓDIGO DE TAREA",
IF(C168="","FALTA CÓDIGO DE TAREA",
CONCATENATE("          ",VLOOKUP(B169,'Maestro Materiales'!A:C,3,FALSE)))),IFERROR(VLOOKUP(B169,#REF!,5,FALSE),"No encontrado. Revisar código, fecha ejecución y/o contrato."))))))))</f>
        <v/>
      </c>
      <c r="D169" s="88" t="str">
        <f>IF(B169="","",
IFERROR(VLOOKUP(B169,'Maestro Materiales'!A:C,2,FALSE),
IFERROR(VLOOKUP(B169,'Baremos actuales'!A:B,2,FALSE),
IFERROR(VLOOKUP(B169,'Baremos anteriores'!A:B,2,FALSE),
""))))</f>
        <v/>
      </c>
      <c r="E169" s="9"/>
      <c r="F169" s="89" t="str">
        <f>IF(D169="MATE",
IF(E169="","¿Unidades?",""),
IF(D169="",IF(E169="","","¿Código?"),
IF(E169="","¿Unidades?",
IF(D169="TARE",
IF(M169=$H$3,IFERROR(VLOOKUP(B169,'Baremos actuales'!A:C,3,FALSE),0),
IF(M169=$H$4,IFERROR(VLOOKUP(B169,'Baremos anteriores'!A:C,3,FALSE),0),0))))))</f>
        <v/>
      </c>
      <c r="G169" s="7"/>
      <c r="H169" s="8"/>
      <c r="I169" s="8"/>
      <c r="J169" s="78" t="str">
        <f>IF($D169="","",
IF($E169="","",
IF($D169="MATE","",
IF(VLOOKUP($B169,'Baremos actuales'!A:D,4,FALSE)=J$9,$E169*$F169,IF(VLOOKUP($B169,'Baremos anteriores'!A:D,4,FALSE)="Sin Definir",$E169*$F169,"")))))</f>
        <v/>
      </c>
      <c r="K169" s="79" t="str">
        <f>IF($D169="","",
IF($E169="","",
IF($D169="MATE","",
IF(VLOOKUP($B169,'Baremos actuales'!$A:$D,4,FALSE)=K$9,$E169*$F169,IF(VLOOKUP($B169,'Baremos anteriores'!$A:$D,4,FALSE)="Desmonte",$E169*$F169,"")))))</f>
        <v/>
      </c>
      <c r="L169" s="80" t="str">
        <f>IF($D169="","",
IF($E169="","",
IF($D169="MATE","",
IF(VLOOKUP($B169,'Baremos actuales'!$A:$D,4,FALSE)=L$9,$E169*$F169,""))))</f>
        <v/>
      </c>
      <c r="M169" s="91" t="str">
        <f t="shared" si="2"/>
        <v/>
      </c>
      <c r="N169" s="96"/>
      <c r="O169" s="95"/>
      <c r="P169" s="96"/>
      <c r="Q169" s="98"/>
    </row>
    <row r="170" spans="1:17" ht="15.75" x14ac:dyDescent="0.2">
      <c r="A170" s="17"/>
      <c r="B170" s="18"/>
      <c r="C170" s="87" t="str">
        <f>IF(B170="","",
IF(M170=$H$5,IFERROR(VLOOKUP(B170,'Baremos actuales'!A:E,5,FALSE),"No encontrado. Revisar código, fecha ejecución y/o contrato."),
IF(M170=$H$4,IFERROR(VLOOKUP(B170,'Baremos anteriores'!A:E,5,FALSE),"No encontrado. Revisar código, fecha ejecución y/o contrato."),
IF(M170=$H$3,IFERROR(VLOOKUP(B170,#REF!,5,FALSE),"No encontrado. Revisar código, fecha ejecución y/o contrato."),
IF(D170="","Código no encontrado",
IF(D170="ERROR","No encontrado. Revisar Código, fecha de ejecución y/o contrato.",
IF(D170="MATE",
IF(C169="DESCRIPCION","NO SE PUEDE COMENZAR SIN CÓDIGO DE TAREA",
IF(C169="","FALTA CÓDIGO DE TAREA",
CONCATENATE("          ",VLOOKUP(B170,'Maestro Materiales'!A:C,3,FALSE)))),IFERROR(VLOOKUP(B170,#REF!,5,FALSE),"No encontrado. Revisar código, fecha ejecución y/o contrato."))))))))</f>
        <v/>
      </c>
      <c r="D170" s="88" t="str">
        <f>IF(B170="","",
IFERROR(VLOOKUP(B170,'Maestro Materiales'!A:C,2,FALSE),
IFERROR(VLOOKUP(B170,'Baremos actuales'!A:B,2,FALSE),
IFERROR(VLOOKUP(B170,'Baremos anteriores'!A:B,2,FALSE),
""))))</f>
        <v/>
      </c>
      <c r="E170" s="9"/>
      <c r="F170" s="89" t="str">
        <f>IF(D170="MATE",
IF(E170="","¿Unidades?",""),
IF(D170="",IF(E170="","","¿Código?"),
IF(E170="","¿Unidades?",
IF(D170="TARE",
IF(M170=$H$3,IFERROR(VLOOKUP(B170,'Baremos actuales'!A:C,3,FALSE),0),
IF(M170=$H$4,IFERROR(VLOOKUP(B170,'Baremos anteriores'!A:C,3,FALSE),0),0))))))</f>
        <v/>
      </c>
      <c r="G170" s="7"/>
      <c r="H170" s="8"/>
      <c r="I170" s="8"/>
      <c r="J170" s="78" t="str">
        <f>IF($D170="","",
IF($E170="","",
IF($D170="MATE","",
IF(VLOOKUP($B170,'Baremos actuales'!A:D,4,FALSE)=J$9,$E170*$F170,IF(VLOOKUP($B170,'Baremos anteriores'!A:D,4,FALSE)="Sin Definir",$E170*$F170,"")))))</f>
        <v/>
      </c>
      <c r="K170" s="79" t="str">
        <f>IF($D170="","",
IF($E170="","",
IF($D170="MATE","",
IF(VLOOKUP($B170,'Baremos actuales'!$A:$D,4,FALSE)=K$9,$E170*$F170,IF(VLOOKUP($B170,'Baremos anteriores'!$A:$D,4,FALSE)="Desmonte",$E170*$F170,"")))))</f>
        <v/>
      </c>
      <c r="L170" s="80" t="str">
        <f>IF($D170="","",
IF($E170="","",
IF($D170="MATE","",
IF(VLOOKUP($B170,'Baremos actuales'!$A:$D,4,FALSE)=L$9,$E170*$F170,""))))</f>
        <v/>
      </c>
      <c r="M170" s="91" t="str">
        <f t="shared" si="2"/>
        <v/>
      </c>
      <c r="N170" s="96"/>
      <c r="O170" s="95"/>
      <c r="P170" s="96"/>
      <c r="Q170" s="98"/>
    </row>
    <row r="171" spans="1:17" ht="15.75" x14ac:dyDescent="0.2">
      <c r="A171" s="17"/>
      <c r="B171" s="18"/>
      <c r="C171" s="87" t="str">
        <f>IF(B171="","",
IF(M171=$H$5,IFERROR(VLOOKUP(B171,'Baremos actuales'!A:E,5,FALSE),"No encontrado. Revisar código, fecha ejecución y/o contrato."),
IF(M171=$H$4,IFERROR(VLOOKUP(B171,'Baremos anteriores'!A:E,5,FALSE),"No encontrado. Revisar código, fecha ejecución y/o contrato."),
IF(M171=$H$3,IFERROR(VLOOKUP(B171,#REF!,5,FALSE),"No encontrado. Revisar código, fecha ejecución y/o contrato."),
IF(D171="","Código no encontrado",
IF(D171="ERROR","No encontrado. Revisar Código, fecha de ejecución y/o contrato.",
IF(D171="MATE",
IF(C170="DESCRIPCION","NO SE PUEDE COMENZAR SIN CÓDIGO DE TAREA",
IF(C170="","FALTA CÓDIGO DE TAREA",
CONCATENATE("          ",VLOOKUP(B171,'Maestro Materiales'!A:C,3,FALSE)))),IFERROR(VLOOKUP(B171,#REF!,5,FALSE),"No encontrado. Revisar código, fecha ejecución y/o contrato."))))))))</f>
        <v/>
      </c>
      <c r="D171" s="88" t="str">
        <f>IF(B171="","",
IFERROR(VLOOKUP(B171,'Maestro Materiales'!A:C,2,FALSE),
IFERROR(VLOOKUP(B171,'Baremos actuales'!A:B,2,FALSE),
IFERROR(VLOOKUP(B171,'Baremos anteriores'!A:B,2,FALSE),
""))))</f>
        <v/>
      </c>
      <c r="E171" s="9"/>
      <c r="F171" s="89" t="str">
        <f>IF(D171="MATE",
IF(E171="","¿Unidades?",""),
IF(D171="",IF(E171="","","¿Código?"),
IF(E171="","¿Unidades?",
IF(D171="TARE",
IF(M171=$H$3,IFERROR(VLOOKUP(B171,'Baremos actuales'!A:C,3,FALSE),0),
IF(M171=$H$4,IFERROR(VLOOKUP(B171,'Baremos anteriores'!A:C,3,FALSE),0),0))))))</f>
        <v/>
      </c>
      <c r="G171" s="7"/>
      <c r="H171" s="8"/>
      <c r="I171" s="8"/>
      <c r="J171" s="78" t="str">
        <f>IF($D171="","",
IF($E171="","",
IF($D171="MATE","",
IF(VLOOKUP($B171,'Baremos actuales'!A:D,4,FALSE)=J$9,$E171*$F171,IF(VLOOKUP($B171,'Baremos anteriores'!A:D,4,FALSE)="Sin Definir",$E171*$F171,"")))))</f>
        <v/>
      </c>
      <c r="K171" s="79" t="str">
        <f>IF($D171="","",
IF($E171="","",
IF($D171="MATE","",
IF(VLOOKUP($B171,'Baremos actuales'!$A:$D,4,FALSE)=K$9,$E171*$F171,IF(VLOOKUP($B171,'Baremos anteriores'!$A:$D,4,FALSE)="Desmonte",$E171*$F171,"")))))</f>
        <v/>
      </c>
      <c r="L171" s="80" t="str">
        <f>IF($D171="","",
IF($E171="","",
IF($D171="MATE","",
IF(VLOOKUP($B171,'Baremos actuales'!$A:$D,4,FALSE)=L$9,$E171*$F171,""))))</f>
        <v/>
      </c>
      <c r="M171" s="91" t="str">
        <f t="shared" si="2"/>
        <v/>
      </c>
      <c r="N171" s="96"/>
      <c r="O171" s="95"/>
      <c r="P171" s="96"/>
      <c r="Q171" s="98"/>
    </row>
    <row r="172" spans="1:17" ht="15.75" x14ac:dyDescent="0.2">
      <c r="A172" s="17"/>
      <c r="B172" s="18"/>
      <c r="C172" s="87" t="str">
        <f>IF(B172="","",
IF(M172=$H$5,IFERROR(VLOOKUP(B172,'Baremos actuales'!A:E,5,FALSE),"No encontrado. Revisar código, fecha ejecución y/o contrato."),
IF(M172=$H$4,IFERROR(VLOOKUP(B172,'Baremos anteriores'!A:E,5,FALSE),"No encontrado. Revisar código, fecha ejecución y/o contrato."),
IF(M172=$H$3,IFERROR(VLOOKUP(B172,#REF!,5,FALSE),"No encontrado. Revisar código, fecha ejecución y/o contrato."),
IF(D172="","Código no encontrado",
IF(D172="ERROR","No encontrado. Revisar Código, fecha de ejecución y/o contrato.",
IF(D172="MATE",
IF(C171="DESCRIPCION","NO SE PUEDE COMENZAR SIN CÓDIGO DE TAREA",
IF(C171="","FALTA CÓDIGO DE TAREA",
CONCATENATE("          ",VLOOKUP(B172,'Maestro Materiales'!A:C,3,FALSE)))),IFERROR(VLOOKUP(B172,#REF!,5,FALSE),"No encontrado. Revisar código, fecha ejecución y/o contrato."))))))))</f>
        <v/>
      </c>
      <c r="D172" s="88" t="str">
        <f>IF(B172="","",
IFERROR(VLOOKUP(B172,'Maestro Materiales'!A:C,2,FALSE),
IFERROR(VLOOKUP(B172,'Baremos actuales'!A:B,2,FALSE),
IFERROR(VLOOKUP(B172,'Baremos anteriores'!A:B,2,FALSE),
""))))</f>
        <v/>
      </c>
      <c r="E172" s="9"/>
      <c r="F172" s="89" t="str">
        <f>IF(D172="MATE",
IF(E172="","¿Unidades?",""),
IF(D172="",IF(E172="","","¿Código?"),
IF(E172="","¿Unidades?",
IF(D172="TARE",
IF(M172=$H$3,IFERROR(VLOOKUP(B172,'Baremos actuales'!A:C,3,FALSE),0),
IF(M172=$H$4,IFERROR(VLOOKUP(B172,'Baremos anteriores'!A:C,3,FALSE),0),0))))))</f>
        <v/>
      </c>
      <c r="G172" s="7"/>
      <c r="H172" s="8"/>
      <c r="I172" s="8"/>
      <c r="J172" s="78" t="str">
        <f>IF($D172="","",
IF($E172="","",
IF($D172="MATE","",
IF(VLOOKUP($B172,'Baremos actuales'!A:D,4,FALSE)=J$9,$E172*$F172,IF(VLOOKUP($B172,'Baremos anteriores'!A:D,4,FALSE)="Sin Definir",$E172*$F172,"")))))</f>
        <v/>
      </c>
      <c r="K172" s="79" t="str">
        <f>IF($D172="","",
IF($E172="","",
IF($D172="MATE","",
IF(VLOOKUP($B172,'Baremos actuales'!$A:$D,4,FALSE)=K$9,$E172*$F172,IF(VLOOKUP($B172,'Baremos anteriores'!$A:$D,4,FALSE)="Desmonte",$E172*$F172,"")))))</f>
        <v/>
      </c>
      <c r="L172" s="80" t="str">
        <f>IF($D172="","",
IF($E172="","",
IF($D172="MATE","",
IF(VLOOKUP($B172,'Baremos actuales'!$A:$D,4,FALSE)=L$9,$E172*$F172,""))))</f>
        <v/>
      </c>
      <c r="M172" s="91" t="str">
        <f t="shared" si="2"/>
        <v/>
      </c>
      <c r="N172" s="96"/>
      <c r="O172" s="95"/>
      <c r="P172" s="96"/>
      <c r="Q172" s="98"/>
    </row>
    <row r="173" spans="1:17" ht="15.75" x14ac:dyDescent="0.2">
      <c r="A173" s="17"/>
      <c r="B173" s="18"/>
      <c r="C173" s="87" t="str">
        <f>IF(B173="","",
IF(M173=$H$5,IFERROR(VLOOKUP(B173,'Baremos actuales'!A:E,5,FALSE),"No encontrado. Revisar código, fecha ejecución y/o contrato."),
IF(M173=$H$4,IFERROR(VLOOKUP(B173,'Baremos anteriores'!A:E,5,FALSE),"No encontrado. Revisar código, fecha ejecución y/o contrato."),
IF(M173=$H$3,IFERROR(VLOOKUP(B173,#REF!,5,FALSE),"No encontrado. Revisar código, fecha ejecución y/o contrato."),
IF(D173="","Código no encontrado",
IF(D173="ERROR","No encontrado. Revisar Código, fecha de ejecución y/o contrato.",
IF(D173="MATE",
IF(C172="DESCRIPCION","NO SE PUEDE COMENZAR SIN CÓDIGO DE TAREA",
IF(C172="","FALTA CÓDIGO DE TAREA",
CONCATENATE("          ",VLOOKUP(B173,'Maestro Materiales'!A:C,3,FALSE)))),IFERROR(VLOOKUP(B173,#REF!,5,FALSE),"No encontrado. Revisar código, fecha ejecución y/o contrato."))))))))</f>
        <v/>
      </c>
      <c r="D173" s="88" t="str">
        <f>IF(B173="","",
IFERROR(VLOOKUP(B173,'Maestro Materiales'!A:C,2,FALSE),
IFERROR(VLOOKUP(B173,'Baremos actuales'!A:B,2,FALSE),
IFERROR(VLOOKUP(B173,'Baremos anteriores'!A:B,2,FALSE),
""))))</f>
        <v/>
      </c>
      <c r="E173" s="9"/>
      <c r="F173" s="89" t="str">
        <f>IF(D173="MATE",
IF(E173="","¿Unidades?",""),
IF(D173="",IF(E173="","","¿Código?"),
IF(E173="","¿Unidades?",
IF(D173="TARE",
IF(M173=$H$3,IFERROR(VLOOKUP(B173,'Baremos actuales'!A:C,3,FALSE),0),
IF(M173=$H$4,IFERROR(VLOOKUP(B173,'Baremos anteriores'!A:C,3,FALSE),0),0))))))</f>
        <v/>
      </c>
      <c r="G173" s="7"/>
      <c r="H173" s="8"/>
      <c r="I173" s="8"/>
      <c r="J173" s="78" t="str">
        <f>IF($D173="","",
IF($E173="","",
IF($D173="MATE","",
IF(VLOOKUP($B173,'Baremos actuales'!A:D,4,FALSE)=J$9,$E173*$F173,IF(VLOOKUP($B173,'Baremos anteriores'!A:D,4,FALSE)="Sin Definir",$E173*$F173,"")))))</f>
        <v/>
      </c>
      <c r="K173" s="79" t="str">
        <f>IF($D173="","",
IF($E173="","",
IF($D173="MATE","",
IF(VLOOKUP($B173,'Baremos actuales'!$A:$D,4,FALSE)=K$9,$E173*$F173,IF(VLOOKUP($B173,'Baremos anteriores'!$A:$D,4,FALSE)="Desmonte",$E173*$F173,"")))))</f>
        <v/>
      </c>
      <c r="L173" s="80" t="str">
        <f>IF($D173="","",
IF($E173="","",
IF($D173="MATE","",
IF(VLOOKUP($B173,'Baremos actuales'!$A:$D,4,FALSE)=L$9,$E173*$F173,""))))</f>
        <v/>
      </c>
      <c r="M173" s="91" t="str">
        <f t="shared" si="2"/>
        <v/>
      </c>
      <c r="N173" s="96"/>
      <c r="O173" s="95"/>
      <c r="P173" s="96"/>
      <c r="Q173" s="98"/>
    </row>
    <row r="174" spans="1:17" ht="15.75" x14ac:dyDescent="0.2">
      <c r="A174" s="17"/>
      <c r="B174" s="18"/>
      <c r="C174" s="87" t="str">
        <f>IF(B174="","",
IF(M174=$H$5,IFERROR(VLOOKUP(B174,'Baremos actuales'!A:E,5,FALSE),"No encontrado. Revisar código, fecha ejecución y/o contrato."),
IF(M174=$H$4,IFERROR(VLOOKUP(B174,'Baremos anteriores'!A:E,5,FALSE),"No encontrado. Revisar código, fecha ejecución y/o contrato."),
IF(M174=$H$3,IFERROR(VLOOKUP(B174,#REF!,5,FALSE),"No encontrado. Revisar código, fecha ejecución y/o contrato."),
IF(D174="","Código no encontrado",
IF(D174="ERROR","No encontrado. Revisar Código, fecha de ejecución y/o contrato.",
IF(D174="MATE",
IF(C173="DESCRIPCION","NO SE PUEDE COMENZAR SIN CÓDIGO DE TAREA",
IF(C173="","FALTA CÓDIGO DE TAREA",
CONCATENATE("          ",VLOOKUP(B174,'Maestro Materiales'!A:C,3,FALSE)))),IFERROR(VLOOKUP(B174,#REF!,5,FALSE),"No encontrado. Revisar código, fecha ejecución y/o contrato."))))))))</f>
        <v/>
      </c>
      <c r="D174" s="88" t="str">
        <f>IF(B174="","",
IFERROR(VLOOKUP(B174,'Maestro Materiales'!A:C,2,FALSE),
IFERROR(VLOOKUP(B174,'Baremos actuales'!A:B,2,FALSE),
IFERROR(VLOOKUP(B174,'Baremos anteriores'!A:B,2,FALSE),
""))))</f>
        <v/>
      </c>
      <c r="E174" s="9"/>
      <c r="F174" s="89" t="str">
        <f>IF(D174="MATE",
IF(E174="","¿Unidades?",""),
IF(D174="",IF(E174="","","¿Código?"),
IF(E174="","¿Unidades?",
IF(D174="TARE",
IF(M174=$H$3,IFERROR(VLOOKUP(B174,'Baremos actuales'!A:C,3,FALSE),0),
IF(M174=$H$4,IFERROR(VLOOKUP(B174,'Baremos anteriores'!A:C,3,FALSE),0),0))))))</f>
        <v/>
      </c>
      <c r="G174" s="7"/>
      <c r="H174" s="8"/>
      <c r="I174" s="8"/>
      <c r="J174" s="78" t="str">
        <f>IF($D174="","",
IF($E174="","",
IF($D174="MATE","",
IF(VLOOKUP($B174,'Baremos actuales'!A:D,4,FALSE)=J$9,$E174*$F174,IF(VLOOKUP($B174,'Baremos anteriores'!A:D,4,FALSE)="Sin Definir",$E174*$F174,"")))))</f>
        <v/>
      </c>
      <c r="K174" s="79" t="str">
        <f>IF($D174="","",
IF($E174="","",
IF($D174="MATE","",
IF(VLOOKUP($B174,'Baremos actuales'!$A:$D,4,FALSE)=K$9,$E174*$F174,IF(VLOOKUP($B174,'Baremos anteriores'!$A:$D,4,FALSE)="Desmonte",$E174*$F174,"")))))</f>
        <v/>
      </c>
      <c r="L174" s="80" t="str">
        <f>IF($D174="","",
IF($E174="","",
IF($D174="MATE","",
IF(VLOOKUP($B174,'Baremos actuales'!$A:$D,4,FALSE)=L$9,$E174*$F174,""))))</f>
        <v/>
      </c>
      <c r="M174" s="91" t="str">
        <f t="shared" si="2"/>
        <v/>
      </c>
      <c r="N174" s="96"/>
      <c r="O174" s="95"/>
      <c r="P174" s="96"/>
      <c r="Q174" s="98"/>
    </row>
    <row r="175" spans="1:17" ht="15.75" x14ac:dyDescent="0.2">
      <c r="A175" s="17"/>
      <c r="B175" s="18"/>
      <c r="C175" s="87" t="str">
        <f>IF(B175="","",
IF(M175=$H$5,IFERROR(VLOOKUP(B175,'Baremos actuales'!A:E,5,FALSE),"No encontrado. Revisar código, fecha ejecución y/o contrato."),
IF(M175=$H$4,IFERROR(VLOOKUP(B175,'Baremos anteriores'!A:E,5,FALSE),"No encontrado. Revisar código, fecha ejecución y/o contrato."),
IF(M175=$H$3,IFERROR(VLOOKUP(B175,#REF!,5,FALSE),"No encontrado. Revisar código, fecha ejecución y/o contrato."),
IF(D175="","Código no encontrado",
IF(D175="ERROR","No encontrado. Revisar Código, fecha de ejecución y/o contrato.",
IF(D175="MATE",
IF(C174="DESCRIPCION","NO SE PUEDE COMENZAR SIN CÓDIGO DE TAREA",
IF(C174="","FALTA CÓDIGO DE TAREA",
CONCATENATE("          ",VLOOKUP(B175,'Maestro Materiales'!A:C,3,FALSE)))),IFERROR(VLOOKUP(B175,#REF!,5,FALSE),"No encontrado. Revisar código, fecha ejecución y/o contrato."))))))))</f>
        <v/>
      </c>
      <c r="D175" s="88" t="str">
        <f>IF(B175="","",
IFERROR(VLOOKUP(B175,'Maestro Materiales'!A:C,2,FALSE),
IFERROR(VLOOKUP(B175,'Baremos actuales'!A:B,2,FALSE),
IFERROR(VLOOKUP(B175,'Baremos anteriores'!A:B,2,FALSE),
""))))</f>
        <v/>
      </c>
      <c r="E175" s="9"/>
      <c r="F175" s="89" t="str">
        <f>IF(D175="MATE",
IF(E175="","¿Unidades?",""),
IF(D175="",IF(E175="","","¿Código?"),
IF(E175="","¿Unidades?",
IF(D175="TARE",
IF(M175=$H$3,IFERROR(VLOOKUP(B175,'Baremos actuales'!A:C,3,FALSE),0),
IF(M175=$H$4,IFERROR(VLOOKUP(B175,'Baremos anteriores'!A:C,3,FALSE),0),0))))))</f>
        <v/>
      </c>
      <c r="G175" s="7"/>
      <c r="H175" s="8"/>
      <c r="I175" s="8"/>
      <c r="J175" s="78" t="str">
        <f>IF($D175="","",
IF($E175="","",
IF($D175="MATE","",
IF(VLOOKUP($B175,'Baremos actuales'!A:D,4,FALSE)=J$9,$E175*$F175,IF(VLOOKUP($B175,'Baremos anteriores'!A:D,4,FALSE)="Sin Definir",$E175*$F175,"")))))</f>
        <v/>
      </c>
      <c r="K175" s="79" t="str">
        <f>IF($D175="","",
IF($E175="","",
IF($D175="MATE","",
IF(VLOOKUP($B175,'Baremos actuales'!$A:$D,4,FALSE)=K$9,$E175*$F175,IF(VLOOKUP($B175,'Baremos anteriores'!$A:$D,4,FALSE)="Desmonte",$E175*$F175,"")))))</f>
        <v/>
      </c>
      <c r="L175" s="80" t="str">
        <f>IF($D175="","",
IF($E175="","",
IF($D175="MATE","",
IF(VLOOKUP($B175,'Baremos actuales'!$A:$D,4,FALSE)=L$9,$E175*$F175,""))))</f>
        <v/>
      </c>
      <c r="M175" s="91" t="str">
        <f t="shared" si="2"/>
        <v/>
      </c>
      <c r="N175" s="96"/>
      <c r="O175" s="95"/>
      <c r="P175" s="96"/>
      <c r="Q175" s="98"/>
    </row>
    <row r="176" spans="1:17" ht="15.75" x14ac:dyDescent="0.2">
      <c r="A176" s="17"/>
      <c r="B176" s="18"/>
      <c r="C176" s="87" t="str">
        <f>IF(B176="","",
IF(M176=$H$5,IFERROR(VLOOKUP(B176,'Baremos actuales'!A:E,5,FALSE),"No encontrado. Revisar código, fecha ejecución y/o contrato."),
IF(M176=$H$4,IFERROR(VLOOKUP(B176,'Baremos anteriores'!A:E,5,FALSE),"No encontrado. Revisar código, fecha ejecución y/o contrato."),
IF(M176=$H$3,IFERROR(VLOOKUP(B176,#REF!,5,FALSE),"No encontrado. Revisar código, fecha ejecución y/o contrato."),
IF(D176="","Código no encontrado",
IF(D176="ERROR","No encontrado. Revisar Código, fecha de ejecución y/o contrato.",
IF(D176="MATE",
IF(C175="DESCRIPCION","NO SE PUEDE COMENZAR SIN CÓDIGO DE TAREA",
IF(C175="","FALTA CÓDIGO DE TAREA",
CONCATENATE("          ",VLOOKUP(B176,'Maestro Materiales'!A:C,3,FALSE)))),IFERROR(VLOOKUP(B176,#REF!,5,FALSE),"No encontrado. Revisar código, fecha ejecución y/o contrato."))))))))</f>
        <v/>
      </c>
      <c r="D176" s="88" t="str">
        <f>IF(B176="","",
IFERROR(VLOOKUP(B176,'Maestro Materiales'!A:C,2,FALSE),
IFERROR(VLOOKUP(B176,'Baremos actuales'!A:B,2,FALSE),
IFERROR(VLOOKUP(B176,'Baremos anteriores'!A:B,2,FALSE),
""))))</f>
        <v/>
      </c>
      <c r="E176" s="9"/>
      <c r="F176" s="89" t="str">
        <f>IF(D176="MATE",
IF(E176="","¿Unidades?",""),
IF(D176="",IF(E176="","","¿Código?"),
IF(E176="","¿Unidades?",
IF(D176="TARE",
IF(M176=$H$3,IFERROR(VLOOKUP(B176,'Baremos actuales'!A:C,3,FALSE),0),
IF(M176=$H$4,IFERROR(VLOOKUP(B176,'Baremos anteriores'!A:C,3,FALSE),0),0))))))</f>
        <v/>
      </c>
      <c r="G176" s="7"/>
      <c r="H176" s="8"/>
      <c r="I176" s="8"/>
      <c r="J176" s="78" t="str">
        <f>IF($D176="","",
IF($E176="","",
IF($D176="MATE","",
IF(VLOOKUP($B176,'Baremos actuales'!A:D,4,FALSE)=J$9,$E176*$F176,IF(VLOOKUP($B176,'Baremos anteriores'!A:D,4,FALSE)="Sin Definir",$E176*$F176,"")))))</f>
        <v/>
      </c>
      <c r="K176" s="79" t="str">
        <f>IF($D176="","",
IF($E176="","",
IF($D176="MATE","",
IF(VLOOKUP($B176,'Baremos actuales'!$A:$D,4,FALSE)=K$9,$E176*$F176,IF(VLOOKUP($B176,'Baremos anteriores'!$A:$D,4,FALSE)="Desmonte",$E176*$F176,"")))))</f>
        <v/>
      </c>
      <c r="L176" s="80" t="str">
        <f>IF($D176="","",
IF($E176="","",
IF($D176="MATE","",
IF(VLOOKUP($B176,'Baremos actuales'!$A:$D,4,FALSE)=L$9,$E176*$F176,""))))</f>
        <v/>
      </c>
      <c r="M176" s="91" t="str">
        <f t="shared" si="2"/>
        <v/>
      </c>
      <c r="N176" s="96"/>
      <c r="O176" s="95"/>
      <c r="P176" s="96"/>
      <c r="Q176" s="98"/>
    </row>
    <row r="177" spans="1:17" ht="15.75" x14ac:dyDescent="0.2">
      <c r="A177" s="17"/>
      <c r="B177" s="18"/>
      <c r="C177" s="87" t="str">
        <f>IF(B177="","",
IF(M177=$H$5,IFERROR(VLOOKUP(B177,'Baremos actuales'!A:E,5,FALSE),"No encontrado. Revisar código, fecha ejecución y/o contrato."),
IF(M177=$H$4,IFERROR(VLOOKUP(B177,'Baremos anteriores'!A:E,5,FALSE),"No encontrado. Revisar código, fecha ejecución y/o contrato."),
IF(M177=$H$3,IFERROR(VLOOKUP(B177,#REF!,5,FALSE),"No encontrado. Revisar código, fecha ejecución y/o contrato."),
IF(D177="","Código no encontrado",
IF(D177="ERROR","No encontrado. Revisar Código, fecha de ejecución y/o contrato.",
IF(D177="MATE",
IF(C176="DESCRIPCION","NO SE PUEDE COMENZAR SIN CÓDIGO DE TAREA",
IF(C176="","FALTA CÓDIGO DE TAREA",
CONCATENATE("          ",VLOOKUP(B177,'Maestro Materiales'!A:C,3,FALSE)))),IFERROR(VLOOKUP(B177,#REF!,5,FALSE),"No encontrado. Revisar código, fecha ejecución y/o contrato."))))))))</f>
        <v/>
      </c>
      <c r="D177" s="88" t="str">
        <f>IF(B177="","",
IFERROR(VLOOKUP(B177,'Maestro Materiales'!A:C,2,FALSE),
IFERROR(VLOOKUP(B177,'Baremos actuales'!A:B,2,FALSE),
IFERROR(VLOOKUP(B177,'Baremos anteriores'!A:B,2,FALSE),
""))))</f>
        <v/>
      </c>
      <c r="E177" s="9"/>
      <c r="F177" s="89" t="str">
        <f>IF(D177="MATE",
IF(E177="","¿Unidades?",""),
IF(D177="",IF(E177="","","¿Código?"),
IF(E177="","¿Unidades?",
IF(D177="TARE",
IF(M177=$H$3,IFERROR(VLOOKUP(B177,'Baremos actuales'!A:C,3,FALSE),0),
IF(M177=$H$4,IFERROR(VLOOKUP(B177,'Baremos anteriores'!A:C,3,FALSE),0),0))))))</f>
        <v/>
      </c>
      <c r="G177" s="7"/>
      <c r="H177" s="8"/>
      <c r="I177" s="8"/>
      <c r="J177" s="78" t="str">
        <f>IF($D177="","",
IF($E177="","",
IF($D177="MATE","",
IF(VLOOKUP($B177,'Baremos actuales'!A:D,4,FALSE)=J$9,$E177*$F177,IF(VLOOKUP($B177,'Baremos anteriores'!A:D,4,FALSE)="Sin Definir",$E177*$F177,"")))))</f>
        <v/>
      </c>
      <c r="K177" s="79" t="str">
        <f>IF($D177="","",
IF($E177="","",
IF($D177="MATE","",
IF(VLOOKUP($B177,'Baremos actuales'!$A:$D,4,FALSE)=K$9,$E177*$F177,IF(VLOOKUP($B177,'Baremos anteriores'!$A:$D,4,FALSE)="Desmonte",$E177*$F177,"")))))</f>
        <v/>
      </c>
      <c r="L177" s="80" t="str">
        <f>IF($D177="","",
IF($E177="","",
IF($D177="MATE","",
IF(VLOOKUP($B177,'Baremos actuales'!$A:$D,4,FALSE)=L$9,$E177*$F177,""))))</f>
        <v/>
      </c>
      <c r="M177" s="91" t="str">
        <f t="shared" si="2"/>
        <v/>
      </c>
      <c r="N177" s="96"/>
      <c r="O177" s="95"/>
      <c r="P177" s="96"/>
      <c r="Q177" s="98"/>
    </row>
    <row r="178" spans="1:17" ht="15.75" x14ac:dyDescent="0.2">
      <c r="A178" s="17"/>
      <c r="B178" s="18"/>
      <c r="C178" s="87" t="str">
        <f>IF(B178="","",
IF(M178=$H$5,IFERROR(VLOOKUP(B178,'Baremos actuales'!A:E,5,FALSE),"No encontrado. Revisar código, fecha ejecución y/o contrato."),
IF(M178=$H$4,IFERROR(VLOOKUP(B178,'Baremos anteriores'!A:E,5,FALSE),"No encontrado. Revisar código, fecha ejecución y/o contrato."),
IF(M178=$H$3,IFERROR(VLOOKUP(B178,#REF!,5,FALSE),"No encontrado. Revisar código, fecha ejecución y/o contrato."),
IF(D178="","Código no encontrado",
IF(D178="ERROR","No encontrado. Revisar Código, fecha de ejecución y/o contrato.",
IF(D178="MATE",
IF(C177="DESCRIPCION","NO SE PUEDE COMENZAR SIN CÓDIGO DE TAREA",
IF(C177="","FALTA CÓDIGO DE TAREA",
CONCATENATE("          ",VLOOKUP(B178,'Maestro Materiales'!A:C,3,FALSE)))),IFERROR(VLOOKUP(B178,#REF!,5,FALSE),"No encontrado. Revisar código, fecha ejecución y/o contrato."))))))))</f>
        <v/>
      </c>
      <c r="D178" s="88" t="str">
        <f>IF(B178="","",
IFERROR(VLOOKUP(B178,'Maestro Materiales'!A:C,2,FALSE),
IFERROR(VLOOKUP(B178,'Baremos actuales'!A:B,2,FALSE),
IFERROR(VLOOKUP(B178,'Baremos anteriores'!A:B,2,FALSE),
""))))</f>
        <v/>
      </c>
      <c r="E178" s="9"/>
      <c r="F178" s="89" t="str">
        <f>IF(D178="MATE",
IF(E178="","¿Unidades?",""),
IF(D178="",IF(E178="","","¿Código?"),
IF(E178="","¿Unidades?",
IF(D178="TARE",
IF(M178=$H$3,IFERROR(VLOOKUP(B178,'Baremos actuales'!A:C,3,FALSE),0),
IF(M178=$H$4,IFERROR(VLOOKUP(B178,'Baremos anteriores'!A:C,3,FALSE),0),0))))))</f>
        <v/>
      </c>
      <c r="G178" s="7"/>
      <c r="H178" s="8"/>
      <c r="I178" s="8"/>
      <c r="J178" s="78" t="str">
        <f>IF($D178="","",
IF($E178="","",
IF($D178="MATE","",
IF(VLOOKUP($B178,'Baremos actuales'!A:D,4,FALSE)=J$9,$E178*$F178,IF(VLOOKUP($B178,'Baremos anteriores'!A:D,4,FALSE)="Sin Definir",$E178*$F178,"")))))</f>
        <v/>
      </c>
      <c r="K178" s="79" t="str">
        <f>IF($D178="","",
IF($E178="","",
IF($D178="MATE","",
IF(VLOOKUP($B178,'Baremos actuales'!$A:$D,4,FALSE)=K$9,$E178*$F178,IF(VLOOKUP($B178,'Baremos anteriores'!$A:$D,4,FALSE)="Desmonte",$E178*$F178,"")))))</f>
        <v/>
      </c>
      <c r="L178" s="80" t="str">
        <f>IF($D178="","",
IF($E178="","",
IF($D178="MATE","",
IF(VLOOKUP($B178,'Baremos actuales'!$A:$D,4,FALSE)=L$9,$E178*$F178,""))))</f>
        <v/>
      </c>
      <c r="M178" s="91" t="str">
        <f t="shared" si="2"/>
        <v/>
      </c>
      <c r="N178" s="96"/>
      <c r="O178" s="95"/>
      <c r="P178" s="96"/>
      <c r="Q178" s="98"/>
    </row>
    <row r="179" spans="1:17" ht="15.75" x14ac:dyDescent="0.2">
      <c r="A179" s="17"/>
      <c r="B179" s="18"/>
      <c r="C179" s="87" t="str">
        <f>IF(B179="","",
IF(M179=$H$5,IFERROR(VLOOKUP(B179,'Baremos actuales'!A:E,5,FALSE),"No encontrado. Revisar código, fecha ejecución y/o contrato."),
IF(M179=$H$4,IFERROR(VLOOKUP(B179,'Baremos anteriores'!A:E,5,FALSE),"No encontrado. Revisar código, fecha ejecución y/o contrato."),
IF(M179=$H$3,IFERROR(VLOOKUP(B179,#REF!,5,FALSE),"No encontrado. Revisar código, fecha ejecución y/o contrato."),
IF(D179="","Código no encontrado",
IF(D179="ERROR","No encontrado. Revisar Código, fecha de ejecución y/o contrato.",
IF(D179="MATE",
IF(C178="DESCRIPCION","NO SE PUEDE COMENZAR SIN CÓDIGO DE TAREA",
IF(C178="","FALTA CÓDIGO DE TAREA",
CONCATENATE("          ",VLOOKUP(B179,'Maestro Materiales'!A:C,3,FALSE)))),IFERROR(VLOOKUP(B179,#REF!,5,FALSE),"No encontrado. Revisar código, fecha ejecución y/o contrato."))))))))</f>
        <v/>
      </c>
      <c r="D179" s="88" t="str">
        <f>IF(B179="","",
IFERROR(VLOOKUP(B179,'Maestro Materiales'!A:C,2,FALSE),
IFERROR(VLOOKUP(B179,'Baremos actuales'!A:B,2,FALSE),
IFERROR(VLOOKUP(B179,'Baremos anteriores'!A:B,2,FALSE),
""))))</f>
        <v/>
      </c>
      <c r="E179" s="9"/>
      <c r="F179" s="89" t="str">
        <f>IF(D179="MATE",
IF(E179="","¿Unidades?",""),
IF(D179="",IF(E179="","","¿Código?"),
IF(E179="","¿Unidades?",
IF(D179="TARE",
IF(M179=$H$3,IFERROR(VLOOKUP(B179,'Baremos actuales'!A:C,3,FALSE),0),
IF(M179=$H$4,IFERROR(VLOOKUP(B179,'Baremos anteriores'!A:C,3,FALSE),0),0))))))</f>
        <v/>
      </c>
      <c r="G179" s="7"/>
      <c r="H179" s="8"/>
      <c r="I179" s="8"/>
      <c r="J179" s="78" t="str">
        <f>IF($D179="","",
IF($E179="","",
IF($D179="MATE","",
IF(VLOOKUP($B179,'Baremos actuales'!A:D,4,FALSE)=J$9,$E179*$F179,IF(VLOOKUP($B179,'Baremos anteriores'!A:D,4,FALSE)="Sin Definir",$E179*$F179,"")))))</f>
        <v/>
      </c>
      <c r="K179" s="79" t="str">
        <f>IF($D179="","",
IF($E179="","",
IF($D179="MATE","",
IF(VLOOKUP($B179,'Baremos actuales'!$A:$D,4,FALSE)=K$9,$E179*$F179,IF(VLOOKUP($B179,'Baremos anteriores'!$A:$D,4,FALSE)="Desmonte",$E179*$F179,"")))))</f>
        <v/>
      </c>
      <c r="L179" s="80" t="str">
        <f>IF($D179="","",
IF($E179="","",
IF($D179="MATE","",
IF(VLOOKUP($B179,'Baremos actuales'!$A:$D,4,FALSE)=L$9,$E179*$F179,""))))</f>
        <v/>
      </c>
      <c r="M179" s="91" t="str">
        <f t="shared" si="2"/>
        <v/>
      </c>
      <c r="N179" s="96"/>
      <c r="O179" s="95"/>
      <c r="P179" s="96"/>
      <c r="Q179" s="98"/>
    </row>
    <row r="180" spans="1:17" ht="15.75" x14ac:dyDescent="0.2">
      <c r="A180" s="17"/>
      <c r="B180" s="18"/>
      <c r="C180" s="87" t="str">
        <f>IF(B180="","",
IF(M180=$H$5,IFERROR(VLOOKUP(B180,'Baremos actuales'!A:E,5,FALSE),"No encontrado. Revisar código, fecha ejecución y/o contrato."),
IF(M180=$H$4,IFERROR(VLOOKUP(B180,'Baremos anteriores'!A:E,5,FALSE),"No encontrado. Revisar código, fecha ejecución y/o contrato."),
IF(M180=$H$3,IFERROR(VLOOKUP(B180,#REF!,5,FALSE),"No encontrado. Revisar código, fecha ejecución y/o contrato."),
IF(D180="","Código no encontrado",
IF(D180="ERROR","No encontrado. Revisar Código, fecha de ejecución y/o contrato.",
IF(D180="MATE",
IF(C179="DESCRIPCION","NO SE PUEDE COMENZAR SIN CÓDIGO DE TAREA",
IF(C179="","FALTA CÓDIGO DE TAREA",
CONCATENATE("          ",VLOOKUP(B180,'Maestro Materiales'!A:C,3,FALSE)))),IFERROR(VLOOKUP(B180,#REF!,5,FALSE),"No encontrado. Revisar código, fecha ejecución y/o contrato."))))))))</f>
        <v/>
      </c>
      <c r="D180" s="88" t="str">
        <f>IF(B180="","",
IFERROR(VLOOKUP(B180,'Maestro Materiales'!A:C,2,FALSE),
IFERROR(VLOOKUP(B180,'Baremos actuales'!A:B,2,FALSE),
IFERROR(VLOOKUP(B180,'Baremos anteriores'!A:B,2,FALSE),
""))))</f>
        <v/>
      </c>
      <c r="E180" s="9"/>
      <c r="F180" s="89" t="str">
        <f>IF(D180="MATE",
IF(E180="","¿Unidades?",""),
IF(D180="",IF(E180="","","¿Código?"),
IF(E180="","¿Unidades?",
IF(D180="TARE",
IF(M180=$H$3,IFERROR(VLOOKUP(B180,'Baremos actuales'!A:C,3,FALSE),0),
IF(M180=$H$4,IFERROR(VLOOKUP(B180,'Baremos anteriores'!A:C,3,FALSE),0),0))))))</f>
        <v/>
      </c>
      <c r="G180" s="7"/>
      <c r="H180" s="8"/>
      <c r="I180" s="8"/>
      <c r="J180" s="78" t="str">
        <f>IF($D180="","",
IF($E180="","",
IF($D180="MATE","",
IF(VLOOKUP($B180,'Baremos actuales'!A:D,4,FALSE)=J$9,$E180*$F180,IF(VLOOKUP($B180,'Baremos anteriores'!A:D,4,FALSE)="Sin Definir",$E180*$F180,"")))))</f>
        <v/>
      </c>
      <c r="K180" s="79" t="str">
        <f>IF($D180="","",
IF($E180="","",
IF($D180="MATE","",
IF(VLOOKUP($B180,'Baremos actuales'!$A:$D,4,FALSE)=K$9,$E180*$F180,IF(VLOOKUP($B180,'Baremos anteriores'!$A:$D,4,FALSE)="Desmonte",$E180*$F180,"")))))</f>
        <v/>
      </c>
      <c r="L180" s="80" t="str">
        <f>IF($D180="","",
IF($E180="","",
IF($D180="MATE","",
IF(VLOOKUP($B180,'Baremos actuales'!$A:$D,4,FALSE)=L$9,$E180*$F180,""))))</f>
        <v/>
      </c>
      <c r="M180" s="91" t="str">
        <f t="shared" si="2"/>
        <v/>
      </c>
      <c r="N180" s="96"/>
      <c r="O180" s="95"/>
      <c r="P180" s="96"/>
      <c r="Q180" s="98"/>
    </row>
    <row r="181" spans="1:17" ht="15.75" x14ac:dyDescent="0.2">
      <c r="A181" s="17"/>
      <c r="B181" s="18"/>
      <c r="C181" s="87" t="str">
        <f>IF(B181="","",
IF(M181=$H$5,IFERROR(VLOOKUP(B181,'Baremos actuales'!A:E,5,FALSE),"No encontrado. Revisar código, fecha ejecución y/o contrato."),
IF(M181=$H$4,IFERROR(VLOOKUP(B181,'Baremos anteriores'!A:E,5,FALSE),"No encontrado. Revisar código, fecha ejecución y/o contrato."),
IF(M181=$H$3,IFERROR(VLOOKUP(B181,#REF!,5,FALSE),"No encontrado. Revisar código, fecha ejecución y/o contrato."),
IF(D181="","Código no encontrado",
IF(D181="ERROR","No encontrado. Revisar Código, fecha de ejecución y/o contrato.",
IF(D181="MATE",
IF(C180="DESCRIPCION","NO SE PUEDE COMENZAR SIN CÓDIGO DE TAREA",
IF(C180="","FALTA CÓDIGO DE TAREA",
CONCATENATE("          ",VLOOKUP(B181,'Maestro Materiales'!A:C,3,FALSE)))),IFERROR(VLOOKUP(B181,#REF!,5,FALSE),"No encontrado. Revisar código, fecha ejecución y/o contrato."))))))))</f>
        <v/>
      </c>
      <c r="D181" s="88" t="str">
        <f>IF(B181="","",
IFERROR(VLOOKUP(B181,'Maestro Materiales'!A:C,2,FALSE),
IFERROR(VLOOKUP(B181,'Baremos actuales'!A:B,2,FALSE),
IFERROR(VLOOKUP(B181,'Baremos anteriores'!A:B,2,FALSE),
""))))</f>
        <v/>
      </c>
      <c r="E181" s="9"/>
      <c r="F181" s="89" t="str">
        <f>IF(D181="MATE",
IF(E181="","¿Unidades?",""),
IF(D181="",IF(E181="","","¿Código?"),
IF(E181="","¿Unidades?",
IF(D181="TARE",
IF(M181=$H$3,IFERROR(VLOOKUP(B181,'Baremos actuales'!A:C,3,FALSE),0),
IF(M181=$H$4,IFERROR(VLOOKUP(B181,'Baremos anteriores'!A:C,3,FALSE),0),0))))))</f>
        <v/>
      </c>
      <c r="G181" s="7"/>
      <c r="H181" s="8"/>
      <c r="I181" s="8"/>
      <c r="J181" s="78" t="str">
        <f>IF($D181="","",
IF($E181="","",
IF($D181="MATE","",
IF(VLOOKUP($B181,'Baremos actuales'!A:D,4,FALSE)=J$9,$E181*$F181,IF(VLOOKUP($B181,'Baremos anteriores'!A:D,4,FALSE)="Sin Definir",$E181*$F181,"")))))</f>
        <v/>
      </c>
      <c r="K181" s="79" t="str">
        <f>IF($D181="","",
IF($E181="","",
IF($D181="MATE","",
IF(VLOOKUP($B181,'Baremos actuales'!$A:$D,4,FALSE)=K$9,$E181*$F181,IF(VLOOKUP($B181,'Baremos anteriores'!$A:$D,4,FALSE)="Desmonte",$E181*$F181,"")))))</f>
        <v/>
      </c>
      <c r="L181" s="80" t="str">
        <f>IF($D181="","",
IF($E181="","",
IF($D181="MATE","",
IF(VLOOKUP($B181,'Baremos actuales'!$A:$D,4,FALSE)=L$9,$E181*$F181,""))))</f>
        <v/>
      </c>
      <c r="M181" s="91" t="str">
        <f t="shared" si="2"/>
        <v/>
      </c>
      <c r="N181" s="96"/>
      <c r="O181" s="95"/>
      <c r="P181" s="96"/>
      <c r="Q181" s="98"/>
    </row>
    <row r="182" spans="1:17" ht="15.75" x14ac:dyDescent="0.2">
      <c r="A182" s="17"/>
      <c r="B182" s="18"/>
      <c r="C182" s="87" t="str">
        <f>IF(B182="","",
IF(M182=$H$5,IFERROR(VLOOKUP(B182,'Baremos actuales'!A:E,5,FALSE),"No encontrado. Revisar código, fecha ejecución y/o contrato."),
IF(M182=$H$4,IFERROR(VLOOKUP(B182,'Baremos anteriores'!A:E,5,FALSE),"No encontrado. Revisar código, fecha ejecución y/o contrato."),
IF(M182=$H$3,IFERROR(VLOOKUP(B182,#REF!,5,FALSE),"No encontrado. Revisar código, fecha ejecución y/o contrato."),
IF(D182="","Código no encontrado",
IF(D182="ERROR","No encontrado. Revisar Código, fecha de ejecución y/o contrato.",
IF(D182="MATE",
IF(C181="DESCRIPCION","NO SE PUEDE COMENZAR SIN CÓDIGO DE TAREA",
IF(C181="","FALTA CÓDIGO DE TAREA",
CONCATENATE("          ",VLOOKUP(B182,'Maestro Materiales'!A:C,3,FALSE)))),IFERROR(VLOOKUP(B182,#REF!,5,FALSE),"No encontrado. Revisar código, fecha ejecución y/o contrato."))))))))</f>
        <v/>
      </c>
      <c r="D182" s="88" t="str">
        <f>IF(B182="","",
IFERROR(VLOOKUP(B182,'Maestro Materiales'!A:C,2,FALSE),
IFERROR(VLOOKUP(B182,'Baremos actuales'!A:B,2,FALSE),
IFERROR(VLOOKUP(B182,'Baremos anteriores'!A:B,2,FALSE),
""))))</f>
        <v/>
      </c>
      <c r="E182" s="9"/>
      <c r="F182" s="89" t="str">
        <f>IF(D182="MATE",
IF(E182="","¿Unidades?",""),
IF(D182="",IF(E182="","","¿Código?"),
IF(E182="","¿Unidades?",
IF(D182="TARE",
IF(M182=$H$3,IFERROR(VLOOKUP(B182,'Baremos actuales'!A:C,3,FALSE),0),
IF(M182=$H$4,IFERROR(VLOOKUP(B182,'Baremos anteriores'!A:C,3,FALSE),0),0))))))</f>
        <v/>
      </c>
      <c r="G182" s="7"/>
      <c r="H182" s="8"/>
      <c r="I182" s="8"/>
      <c r="J182" s="78" t="str">
        <f>IF($D182="","",
IF($E182="","",
IF($D182="MATE","",
IF(VLOOKUP($B182,'Baremos actuales'!A:D,4,FALSE)=J$9,$E182*$F182,IF(VLOOKUP($B182,'Baremos anteriores'!A:D,4,FALSE)="Sin Definir",$E182*$F182,"")))))</f>
        <v/>
      </c>
      <c r="K182" s="79" t="str">
        <f>IF($D182="","",
IF($E182="","",
IF($D182="MATE","",
IF(VLOOKUP($B182,'Baremos actuales'!$A:$D,4,FALSE)=K$9,$E182*$F182,IF(VLOOKUP($B182,'Baremos anteriores'!$A:$D,4,FALSE)="Desmonte",$E182*$F182,"")))))</f>
        <v/>
      </c>
      <c r="L182" s="80" t="str">
        <f>IF($D182="","",
IF($E182="","",
IF($D182="MATE","",
IF(VLOOKUP($B182,'Baremos actuales'!$A:$D,4,FALSE)=L$9,$E182*$F182,""))))</f>
        <v/>
      </c>
      <c r="M182" s="91" t="str">
        <f t="shared" si="2"/>
        <v/>
      </c>
      <c r="N182" s="96"/>
      <c r="O182" s="95"/>
      <c r="P182" s="96"/>
      <c r="Q182" s="98"/>
    </row>
    <row r="183" spans="1:17" ht="15.75" x14ac:dyDescent="0.2">
      <c r="A183" s="17"/>
      <c r="B183" s="18"/>
      <c r="C183" s="87" t="str">
        <f>IF(B183="","",
IF(M183=$H$5,IFERROR(VLOOKUP(B183,'Baremos actuales'!A:E,5,FALSE),"No encontrado. Revisar código, fecha ejecución y/o contrato."),
IF(M183=$H$4,IFERROR(VLOOKUP(B183,'Baremos anteriores'!A:E,5,FALSE),"No encontrado. Revisar código, fecha ejecución y/o contrato."),
IF(M183=$H$3,IFERROR(VLOOKUP(B183,#REF!,5,FALSE),"No encontrado. Revisar código, fecha ejecución y/o contrato."),
IF(D183="","Código no encontrado",
IF(D183="ERROR","No encontrado. Revisar Código, fecha de ejecución y/o contrato.",
IF(D183="MATE",
IF(C182="DESCRIPCION","NO SE PUEDE COMENZAR SIN CÓDIGO DE TAREA",
IF(C182="","FALTA CÓDIGO DE TAREA",
CONCATENATE("          ",VLOOKUP(B183,'Maestro Materiales'!A:C,3,FALSE)))),IFERROR(VLOOKUP(B183,#REF!,5,FALSE),"No encontrado. Revisar código, fecha ejecución y/o contrato."))))))))</f>
        <v/>
      </c>
      <c r="D183" s="88" t="str">
        <f>IF(B183="","",
IFERROR(VLOOKUP(B183,'Maestro Materiales'!A:C,2,FALSE),
IFERROR(VLOOKUP(B183,'Baremos actuales'!A:B,2,FALSE),
IFERROR(VLOOKUP(B183,'Baremos anteriores'!A:B,2,FALSE),
""))))</f>
        <v/>
      </c>
      <c r="E183" s="9"/>
      <c r="F183" s="89" t="str">
        <f>IF(D183="MATE",
IF(E183="","¿Unidades?",""),
IF(D183="",IF(E183="","","¿Código?"),
IF(E183="","¿Unidades?",
IF(D183="TARE",
IF(M183=$H$3,IFERROR(VLOOKUP(B183,'Baremos actuales'!A:C,3,FALSE),0),
IF(M183=$H$4,IFERROR(VLOOKUP(B183,'Baremos anteriores'!A:C,3,FALSE),0),0))))))</f>
        <v/>
      </c>
      <c r="G183" s="7"/>
      <c r="H183" s="8"/>
      <c r="I183" s="8"/>
      <c r="J183" s="78" t="str">
        <f>IF($D183="","",
IF($E183="","",
IF($D183="MATE","",
IF(VLOOKUP($B183,'Baremos actuales'!A:D,4,FALSE)=J$9,$E183*$F183,IF(VLOOKUP($B183,'Baremos anteriores'!A:D,4,FALSE)="Sin Definir",$E183*$F183,"")))))</f>
        <v/>
      </c>
      <c r="K183" s="79" t="str">
        <f>IF($D183="","",
IF($E183="","",
IF($D183="MATE","",
IF(VLOOKUP($B183,'Baremos actuales'!$A:$D,4,FALSE)=K$9,$E183*$F183,IF(VLOOKUP($B183,'Baremos anteriores'!$A:$D,4,FALSE)="Desmonte",$E183*$F183,"")))))</f>
        <v/>
      </c>
      <c r="L183" s="80" t="str">
        <f>IF($D183="","",
IF($E183="","",
IF($D183="MATE","",
IF(VLOOKUP($B183,'Baremos actuales'!$A:$D,4,FALSE)=L$9,$E183*$F183,""))))</f>
        <v/>
      </c>
      <c r="M183" s="91" t="str">
        <f t="shared" si="2"/>
        <v/>
      </c>
      <c r="N183" s="96"/>
      <c r="O183" s="95"/>
      <c r="P183" s="96"/>
      <c r="Q183" s="98"/>
    </row>
    <row r="184" spans="1:17" ht="15.75" x14ac:dyDescent="0.2">
      <c r="A184" s="17"/>
      <c r="B184" s="18"/>
      <c r="C184" s="87" t="str">
        <f>IF(B184="","",
IF(M184=$H$5,IFERROR(VLOOKUP(B184,'Baremos actuales'!A:E,5,FALSE),"No encontrado. Revisar código, fecha ejecución y/o contrato."),
IF(M184=$H$4,IFERROR(VLOOKUP(B184,'Baremos anteriores'!A:E,5,FALSE),"No encontrado. Revisar código, fecha ejecución y/o contrato."),
IF(M184=$H$3,IFERROR(VLOOKUP(B184,#REF!,5,FALSE),"No encontrado. Revisar código, fecha ejecución y/o contrato."),
IF(D184="","Código no encontrado",
IF(D184="ERROR","No encontrado. Revisar Código, fecha de ejecución y/o contrato.",
IF(D184="MATE",
IF(C183="DESCRIPCION","NO SE PUEDE COMENZAR SIN CÓDIGO DE TAREA",
IF(C183="","FALTA CÓDIGO DE TAREA",
CONCATENATE("          ",VLOOKUP(B184,'Maestro Materiales'!A:C,3,FALSE)))),IFERROR(VLOOKUP(B184,#REF!,5,FALSE),"No encontrado. Revisar código, fecha ejecución y/o contrato."))))))))</f>
        <v/>
      </c>
      <c r="D184" s="88" t="str">
        <f>IF(B184="","",
IFERROR(VLOOKUP(B184,'Maestro Materiales'!A:C,2,FALSE),
IFERROR(VLOOKUP(B184,'Baremos actuales'!A:B,2,FALSE),
IFERROR(VLOOKUP(B184,'Baremos anteriores'!A:B,2,FALSE),
""))))</f>
        <v/>
      </c>
      <c r="E184" s="9"/>
      <c r="F184" s="89" t="str">
        <f>IF(D184="MATE",
IF(E184="","¿Unidades?",""),
IF(D184="",IF(E184="","","¿Código?"),
IF(E184="","¿Unidades?",
IF(D184="TARE",
IF(M184=$H$3,IFERROR(VLOOKUP(B184,'Baremos actuales'!A:C,3,FALSE),0),
IF(M184=$H$4,IFERROR(VLOOKUP(B184,'Baremos anteriores'!A:C,3,FALSE),0),0))))))</f>
        <v/>
      </c>
      <c r="G184" s="7"/>
      <c r="H184" s="8"/>
      <c r="I184" s="8"/>
      <c r="J184" s="78" t="str">
        <f>IF($D184="","",
IF($E184="","",
IF($D184="MATE","",
IF(VLOOKUP($B184,'Baremos actuales'!A:D,4,FALSE)=J$9,$E184*$F184,IF(VLOOKUP($B184,'Baremos anteriores'!A:D,4,FALSE)="Sin Definir",$E184*$F184,"")))))</f>
        <v/>
      </c>
      <c r="K184" s="79" t="str">
        <f>IF($D184="","",
IF($E184="","",
IF($D184="MATE","",
IF(VLOOKUP($B184,'Baremos actuales'!$A:$D,4,FALSE)=K$9,$E184*$F184,IF(VLOOKUP($B184,'Baremos anteriores'!$A:$D,4,FALSE)="Desmonte",$E184*$F184,"")))))</f>
        <v/>
      </c>
      <c r="L184" s="80" t="str">
        <f>IF($D184="","",
IF($E184="","",
IF($D184="MATE","",
IF(VLOOKUP($B184,'Baremos actuales'!$A:$D,4,FALSE)=L$9,$E184*$F184,""))))</f>
        <v/>
      </c>
      <c r="M184" s="91" t="str">
        <f t="shared" si="2"/>
        <v/>
      </c>
      <c r="N184" s="96"/>
      <c r="O184" s="95"/>
      <c r="P184" s="96"/>
      <c r="Q184" s="98"/>
    </row>
    <row r="185" spans="1:17" ht="15.75" x14ac:dyDescent="0.2">
      <c r="A185" s="17"/>
      <c r="B185" s="18"/>
      <c r="C185" s="87" t="str">
        <f>IF(B185="","",
IF(M185=$H$5,IFERROR(VLOOKUP(B185,'Baremos actuales'!A:E,5,FALSE),"No encontrado. Revisar código, fecha ejecución y/o contrato."),
IF(M185=$H$4,IFERROR(VLOOKUP(B185,'Baremos anteriores'!A:E,5,FALSE),"No encontrado. Revisar código, fecha ejecución y/o contrato."),
IF(M185=$H$3,IFERROR(VLOOKUP(B185,#REF!,5,FALSE),"No encontrado. Revisar código, fecha ejecución y/o contrato."),
IF(D185="","Código no encontrado",
IF(D185="ERROR","No encontrado. Revisar Código, fecha de ejecución y/o contrato.",
IF(D185="MATE",
IF(C184="DESCRIPCION","NO SE PUEDE COMENZAR SIN CÓDIGO DE TAREA",
IF(C184="","FALTA CÓDIGO DE TAREA",
CONCATENATE("          ",VLOOKUP(B185,'Maestro Materiales'!A:C,3,FALSE)))),IFERROR(VLOOKUP(B185,#REF!,5,FALSE),"No encontrado. Revisar código, fecha ejecución y/o contrato."))))))))</f>
        <v/>
      </c>
      <c r="D185" s="88" t="str">
        <f>IF(B185="","",
IFERROR(VLOOKUP(B185,'Maestro Materiales'!A:C,2,FALSE),
IFERROR(VLOOKUP(B185,'Baremos actuales'!A:B,2,FALSE),
IFERROR(VLOOKUP(B185,'Baremos anteriores'!A:B,2,FALSE),
""))))</f>
        <v/>
      </c>
      <c r="E185" s="9"/>
      <c r="F185" s="89" t="str">
        <f>IF(D185="MATE",
IF(E185="","¿Unidades?",""),
IF(D185="",IF(E185="","","¿Código?"),
IF(E185="","¿Unidades?",
IF(D185="TARE",
IF(M185=$H$3,IFERROR(VLOOKUP(B185,'Baremos actuales'!A:C,3,FALSE),0),
IF(M185=$H$4,IFERROR(VLOOKUP(B185,'Baremos anteriores'!A:C,3,FALSE),0),0))))))</f>
        <v/>
      </c>
      <c r="G185" s="7"/>
      <c r="H185" s="8"/>
      <c r="I185" s="8"/>
      <c r="J185" s="78" t="str">
        <f>IF($D185="","",
IF($E185="","",
IF($D185="MATE","",
IF(VLOOKUP($B185,'Baremos actuales'!A:D,4,FALSE)=J$9,$E185*$F185,IF(VLOOKUP($B185,'Baremos anteriores'!A:D,4,FALSE)="Sin Definir",$E185*$F185,"")))))</f>
        <v/>
      </c>
      <c r="K185" s="79" t="str">
        <f>IF($D185="","",
IF($E185="","",
IF($D185="MATE","",
IF(VLOOKUP($B185,'Baremos actuales'!$A:$D,4,FALSE)=K$9,$E185*$F185,IF(VLOOKUP($B185,'Baremos anteriores'!$A:$D,4,FALSE)="Desmonte",$E185*$F185,"")))))</f>
        <v/>
      </c>
      <c r="L185" s="80" t="str">
        <f>IF($D185="","",
IF($E185="","",
IF($D185="MATE","",
IF(VLOOKUP($B185,'Baremos actuales'!$A:$D,4,FALSE)=L$9,$E185*$F185,""))))</f>
        <v/>
      </c>
      <c r="M185" s="91" t="str">
        <f t="shared" si="2"/>
        <v/>
      </c>
      <c r="N185" s="96"/>
      <c r="O185" s="95"/>
      <c r="P185" s="96"/>
      <c r="Q185" s="98"/>
    </row>
    <row r="186" spans="1:17" ht="15.75" x14ac:dyDescent="0.2">
      <c r="A186" s="17"/>
      <c r="B186" s="18"/>
      <c r="C186" s="87" t="str">
        <f>IF(B186="","",
IF(M186=$H$5,IFERROR(VLOOKUP(B186,'Baremos actuales'!A:E,5,FALSE),"No encontrado. Revisar código, fecha ejecución y/o contrato."),
IF(M186=$H$4,IFERROR(VLOOKUP(B186,'Baremos anteriores'!A:E,5,FALSE),"No encontrado. Revisar código, fecha ejecución y/o contrato."),
IF(M186=$H$3,IFERROR(VLOOKUP(B186,#REF!,5,FALSE),"No encontrado. Revisar código, fecha ejecución y/o contrato."),
IF(D186="","Código no encontrado",
IF(D186="ERROR","No encontrado. Revisar Código, fecha de ejecución y/o contrato.",
IF(D186="MATE",
IF(C185="DESCRIPCION","NO SE PUEDE COMENZAR SIN CÓDIGO DE TAREA",
IF(C185="","FALTA CÓDIGO DE TAREA",
CONCATENATE("          ",VLOOKUP(B186,'Maestro Materiales'!A:C,3,FALSE)))),IFERROR(VLOOKUP(B186,#REF!,5,FALSE),"No encontrado. Revisar código, fecha ejecución y/o contrato."))))))))</f>
        <v/>
      </c>
      <c r="D186" s="88" t="str">
        <f>IF(B186="","",
IFERROR(VLOOKUP(B186,'Maestro Materiales'!A:C,2,FALSE),
IFERROR(VLOOKUP(B186,'Baremos actuales'!A:B,2,FALSE),
IFERROR(VLOOKUP(B186,'Baremos anteriores'!A:B,2,FALSE),
""))))</f>
        <v/>
      </c>
      <c r="E186" s="9"/>
      <c r="F186" s="89" t="str">
        <f>IF(D186="MATE",
IF(E186="","¿Unidades?",""),
IF(D186="",IF(E186="","","¿Código?"),
IF(E186="","¿Unidades?",
IF(D186="TARE",
IF(M186=$H$3,IFERROR(VLOOKUP(B186,'Baremos actuales'!A:C,3,FALSE),0),
IF(M186=$H$4,IFERROR(VLOOKUP(B186,'Baremos anteriores'!A:C,3,FALSE),0),0))))))</f>
        <v/>
      </c>
      <c r="G186" s="7"/>
      <c r="H186" s="8"/>
      <c r="I186" s="8"/>
      <c r="J186" s="78" t="str">
        <f>IF($D186="","",
IF($E186="","",
IF($D186="MATE","",
IF(VLOOKUP($B186,'Baremos actuales'!A:D,4,FALSE)=J$9,$E186*$F186,IF(VLOOKUP($B186,'Baremos anteriores'!A:D,4,FALSE)="Sin Definir",$E186*$F186,"")))))</f>
        <v/>
      </c>
      <c r="K186" s="79" t="str">
        <f>IF($D186="","",
IF($E186="","",
IF($D186="MATE","",
IF(VLOOKUP($B186,'Baremos actuales'!$A:$D,4,FALSE)=K$9,$E186*$F186,IF(VLOOKUP($B186,'Baremos anteriores'!$A:$D,4,FALSE)="Desmonte",$E186*$F186,"")))))</f>
        <v/>
      </c>
      <c r="L186" s="80" t="str">
        <f>IF($D186="","",
IF($E186="","",
IF($D186="MATE","",
IF(VLOOKUP($B186,'Baremos actuales'!$A:$D,4,FALSE)=L$9,$E186*$F186,""))))</f>
        <v/>
      </c>
      <c r="M186" s="91" t="str">
        <f t="shared" si="2"/>
        <v/>
      </c>
      <c r="N186" s="96"/>
      <c r="O186" s="95"/>
      <c r="P186" s="96"/>
      <c r="Q186" s="98"/>
    </row>
    <row r="187" spans="1:17" ht="15.75" x14ac:dyDescent="0.2">
      <c r="A187" s="17"/>
      <c r="B187" s="18"/>
      <c r="C187" s="87" t="str">
        <f>IF(B187="","",
IF(M187=$H$5,IFERROR(VLOOKUP(B187,'Baremos actuales'!A:E,5,FALSE),"No encontrado. Revisar código, fecha ejecución y/o contrato."),
IF(M187=$H$4,IFERROR(VLOOKUP(B187,'Baremos anteriores'!A:E,5,FALSE),"No encontrado. Revisar código, fecha ejecución y/o contrato."),
IF(M187=$H$3,IFERROR(VLOOKUP(B187,#REF!,5,FALSE),"No encontrado. Revisar código, fecha ejecución y/o contrato."),
IF(D187="","Código no encontrado",
IF(D187="ERROR","No encontrado. Revisar Código, fecha de ejecución y/o contrato.",
IF(D187="MATE",
IF(C186="DESCRIPCION","NO SE PUEDE COMENZAR SIN CÓDIGO DE TAREA",
IF(C186="","FALTA CÓDIGO DE TAREA",
CONCATENATE("          ",VLOOKUP(B187,'Maestro Materiales'!A:C,3,FALSE)))),IFERROR(VLOOKUP(B187,#REF!,5,FALSE),"No encontrado. Revisar código, fecha ejecución y/o contrato."))))))))</f>
        <v/>
      </c>
      <c r="D187" s="88" t="str">
        <f>IF(B187="","",
IFERROR(VLOOKUP(B187,'Maestro Materiales'!A:C,2,FALSE),
IFERROR(VLOOKUP(B187,'Baremos actuales'!A:B,2,FALSE),
IFERROR(VLOOKUP(B187,'Baremos anteriores'!A:B,2,FALSE),
""))))</f>
        <v/>
      </c>
      <c r="E187" s="9"/>
      <c r="F187" s="89" t="str">
        <f>IF(D187="MATE",
IF(E187="","¿Unidades?",""),
IF(D187="",IF(E187="","","¿Código?"),
IF(E187="","¿Unidades?",
IF(D187="TARE",
IF(M187=$H$3,IFERROR(VLOOKUP(B187,'Baremos actuales'!A:C,3,FALSE),0),
IF(M187=$H$4,IFERROR(VLOOKUP(B187,'Baremos anteriores'!A:C,3,FALSE),0),0))))))</f>
        <v/>
      </c>
      <c r="G187" s="7"/>
      <c r="H187" s="8"/>
      <c r="I187" s="8"/>
      <c r="J187" s="78" t="str">
        <f>IF($D187="","",
IF($E187="","",
IF($D187="MATE","",
IF(VLOOKUP($B187,'Baremos actuales'!A:D,4,FALSE)=J$9,$E187*$F187,IF(VLOOKUP($B187,'Baremos anteriores'!A:D,4,FALSE)="Sin Definir",$E187*$F187,"")))))</f>
        <v/>
      </c>
      <c r="K187" s="79" t="str">
        <f>IF($D187="","",
IF($E187="","",
IF($D187="MATE","",
IF(VLOOKUP($B187,'Baremos actuales'!$A:$D,4,FALSE)=K$9,$E187*$F187,IF(VLOOKUP($B187,'Baremos anteriores'!$A:$D,4,FALSE)="Desmonte",$E187*$F187,"")))))</f>
        <v/>
      </c>
      <c r="L187" s="80" t="str">
        <f>IF($D187="","",
IF($E187="","",
IF($D187="MATE","",
IF(VLOOKUP($B187,'Baremos actuales'!$A:$D,4,FALSE)=L$9,$E187*$F187,""))))</f>
        <v/>
      </c>
      <c r="M187" s="91" t="str">
        <f t="shared" si="2"/>
        <v/>
      </c>
      <c r="N187" s="96"/>
      <c r="O187" s="95"/>
      <c r="P187" s="96"/>
      <c r="Q187" s="98"/>
    </row>
    <row r="188" spans="1:17" ht="15.75" x14ac:dyDescent="0.2">
      <c r="A188" s="17"/>
      <c r="B188" s="18"/>
      <c r="C188" s="87" t="str">
        <f>IF(B188="","",
IF(M188=$H$5,IFERROR(VLOOKUP(B188,'Baremos actuales'!A:E,5,FALSE),"No encontrado. Revisar código, fecha ejecución y/o contrato."),
IF(M188=$H$4,IFERROR(VLOOKUP(B188,'Baremos anteriores'!A:E,5,FALSE),"No encontrado. Revisar código, fecha ejecución y/o contrato."),
IF(M188=$H$3,IFERROR(VLOOKUP(B188,#REF!,5,FALSE),"No encontrado. Revisar código, fecha ejecución y/o contrato."),
IF(D188="","Código no encontrado",
IF(D188="ERROR","No encontrado. Revisar Código, fecha de ejecución y/o contrato.",
IF(D188="MATE",
IF(C187="DESCRIPCION","NO SE PUEDE COMENZAR SIN CÓDIGO DE TAREA",
IF(C187="","FALTA CÓDIGO DE TAREA",
CONCATENATE("          ",VLOOKUP(B188,'Maestro Materiales'!A:C,3,FALSE)))),IFERROR(VLOOKUP(B188,#REF!,5,FALSE),"No encontrado. Revisar código, fecha ejecución y/o contrato."))))))))</f>
        <v/>
      </c>
      <c r="D188" s="88" t="str">
        <f>IF(B188="","",
IFERROR(VLOOKUP(B188,'Maestro Materiales'!A:C,2,FALSE),
IFERROR(VLOOKUP(B188,'Baremos actuales'!A:B,2,FALSE),
IFERROR(VLOOKUP(B188,'Baremos anteriores'!A:B,2,FALSE),
""))))</f>
        <v/>
      </c>
      <c r="E188" s="9"/>
      <c r="F188" s="89" t="str">
        <f>IF(D188="MATE",
IF(E188="","¿Unidades?",""),
IF(D188="",IF(E188="","","¿Código?"),
IF(E188="","¿Unidades?",
IF(D188="TARE",
IF(M188=$H$3,IFERROR(VLOOKUP(B188,'Baremos actuales'!A:C,3,FALSE),0),
IF(M188=$H$4,IFERROR(VLOOKUP(B188,'Baremos anteriores'!A:C,3,FALSE),0),0))))))</f>
        <v/>
      </c>
      <c r="G188" s="7"/>
      <c r="H188" s="8"/>
      <c r="I188" s="8"/>
      <c r="J188" s="78" t="str">
        <f>IF($D188="","",
IF($E188="","",
IF($D188="MATE","",
IF(VLOOKUP($B188,'Baremos actuales'!A:D,4,FALSE)=J$9,$E188*$F188,IF(VLOOKUP($B188,'Baremos anteriores'!A:D,4,FALSE)="Sin Definir",$E188*$F188,"")))))</f>
        <v/>
      </c>
      <c r="K188" s="79" t="str">
        <f>IF($D188="","",
IF($E188="","",
IF($D188="MATE","",
IF(VLOOKUP($B188,'Baremos actuales'!$A:$D,4,FALSE)=K$9,$E188*$F188,IF(VLOOKUP($B188,'Baremos anteriores'!$A:$D,4,FALSE)="Desmonte",$E188*$F188,"")))))</f>
        <v/>
      </c>
      <c r="L188" s="80" t="str">
        <f>IF($D188="","",
IF($E188="","",
IF($D188="MATE","",
IF(VLOOKUP($B188,'Baremos actuales'!$A:$D,4,FALSE)=L$9,$E188*$F188,""))))</f>
        <v/>
      </c>
      <c r="M188" s="91" t="str">
        <f t="shared" si="2"/>
        <v/>
      </c>
      <c r="N188" s="96"/>
      <c r="O188" s="95"/>
      <c r="P188" s="96"/>
      <c r="Q188" s="98"/>
    </row>
    <row r="189" spans="1:17" ht="15.75" x14ac:dyDescent="0.2">
      <c r="A189" s="17"/>
      <c r="B189" s="18"/>
      <c r="C189" s="87" t="str">
        <f>IF(B189="","",
IF(M189=$H$5,IFERROR(VLOOKUP(B189,'Baremos actuales'!A:E,5,FALSE),"No encontrado. Revisar código, fecha ejecución y/o contrato."),
IF(M189=$H$4,IFERROR(VLOOKUP(B189,'Baremos anteriores'!A:E,5,FALSE),"No encontrado. Revisar código, fecha ejecución y/o contrato."),
IF(M189=$H$3,IFERROR(VLOOKUP(B189,#REF!,5,FALSE),"No encontrado. Revisar código, fecha ejecución y/o contrato."),
IF(D189="","Código no encontrado",
IF(D189="ERROR","No encontrado. Revisar Código, fecha de ejecución y/o contrato.",
IF(D189="MATE",
IF(C188="DESCRIPCION","NO SE PUEDE COMENZAR SIN CÓDIGO DE TAREA",
IF(C188="","FALTA CÓDIGO DE TAREA",
CONCATENATE("          ",VLOOKUP(B189,'Maestro Materiales'!A:C,3,FALSE)))),IFERROR(VLOOKUP(B189,#REF!,5,FALSE),"No encontrado. Revisar código, fecha ejecución y/o contrato."))))))))</f>
        <v/>
      </c>
      <c r="D189" s="88" t="str">
        <f>IF(B189="","",
IFERROR(VLOOKUP(B189,'Maestro Materiales'!A:C,2,FALSE),
IFERROR(VLOOKUP(B189,'Baremos actuales'!A:B,2,FALSE),
IFERROR(VLOOKUP(B189,'Baremos anteriores'!A:B,2,FALSE),
""))))</f>
        <v/>
      </c>
      <c r="E189" s="9"/>
      <c r="F189" s="89" t="str">
        <f>IF(D189="MATE",
IF(E189="","¿Unidades?",""),
IF(D189="",IF(E189="","","¿Código?"),
IF(E189="","¿Unidades?",
IF(D189="TARE",
IF(M189=$H$3,IFERROR(VLOOKUP(B189,'Baremos actuales'!A:C,3,FALSE),0),
IF(M189=$H$4,IFERROR(VLOOKUP(B189,'Baremos anteriores'!A:C,3,FALSE),0),0))))))</f>
        <v/>
      </c>
      <c r="G189" s="7"/>
      <c r="H189" s="8"/>
      <c r="I189" s="8"/>
      <c r="J189" s="78" t="str">
        <f>IF($D189="","",
IF($E189="","",
IF($D189="MATE","",
IF(VLOOKUP($B189,'Baremos actuales'!A:D,4,FALSE)=J$9,$E189*$F189,IF(VLOOKUP($B189,'Baremos anteriores'!A:D,4,FALSE)="Sin Definir",$E189*$F189,"")))))</f>
        <v/>
      </c>
      <c r="K189" s="79" t="str">
        <f>IF($D189="","",
IF($E189="","",
IF($D189="MATE","",
IF(VLOOKUP($B189,'Baremos actuales'!$A:$D,4,FALSE)=K$9,$E189*$F189,IF(VLOOKUP($B189,'Baremos anteriores'!$A:$D,4,FALSE)="Desmonte",$E189*$F189,"")))))</f>
        <v/>
      </c>
      <c r="L189" s="80" t="str">
        <f>IF($D189="","",
IF($E189="","",
IF($D189="MATE","",
IF(VLOOKUP($B189,'Baremos actuales'!$A:$D,4,FALSE)=L$9,$E189*$F189,""))))</f>
        <v/>
      </c>
      <c r="M189" s="91" t="str">
        <f t="shared" si="2"/>
        <v/>
      </c>
      <c r="N189" s="96"/>
      <c r="O189" s="95"/>
      <c r="P189" s="96"/>
      <c r="Q189" s="98"/>
    </row>
    <row r="190" spans="1:17" ht="15.75" x14ac:dyDescent="0.2">
      <c r="A190" s="17"/>
      <c r="B190" s="18"/>
      <c r="C190" s="87" t="str">
        <f>IF(B190="","",
IF(M190=$H$5,IFERROR(VLOOKUP(B190,'Baremos actuales'!A:E,5,FALSE),"No encontrado. Revisar código, fecha ejecución y/o contrato."),
IF(M190=$H$4,IFERROR(VLOOKUP(B190,'Baremos anteriores'!A:E,5,FALSE),"No encontrado. Revisar código, fecha ejecución y/o contrato."),
IF(M190=$H$3,IFERROR(VLOOKUP(B190,#REF!,5,FALSE),"No encontrado. Revisar código, fecha ejecución y/o contrato."),
IF(D190="","Código no encontrado",
IF(D190="ERROR","No encontrado. Revisar Código, fecha de ejecución y/o contrato.",
IF(D190="MATE",
IF(C189="DESCRIPCION","NO SE PUEDE COMENZAR SIN CÓDIGO DE TAREA",
IF(C189="","FALTA CÓDIGO DE TAREA",
CONCATENATE("          ",VLOOKUP(B190,'Maestro Materiales'!A:C,3,FALSE)))),IFERROR(VLOOKUP(B190,#REF!,5,FALSE),"No encontrado. Revisar código, fecha ejecución y/o contrato."))))))))</f>
        <v/>
      </c>
      <c r="D190" s="88" t="str">
        <f>IF(B190="","",
IFERROR(VLOOKUP(B190,'Maestro Materiales'!A:C,2,FALSE),
IFERROR(VLOOKUP(B190,'Baremos actuales'!A:B,2,FALSE),
IFERROR(VLOOKUP(B190,'Baremos anteriores'!A:B,2,FALSE),
""))))</f>
        <v/>
      </c>
      <c r="E190" s="9"/>
      <c r="F190" s="89" t="str">
        <f>IF(D190="MATE",
IF(E190="","¿Unidades?",""),
IF(D190="",IF(E190="","","¿Código?"),
IF(E190="","¿Unidades?",
IF(D190="TARE",
IF(M190=$H$3,IFERROR(VLOOKUP(B190,'Baremos actuales'!A:C,3,FALSE),0),
IF(M190=$H$4,IFERROR(VLOOKUP(B190,'Baremos anteriores'!A:C,3,FALSE),0),0))))))</f>
        <v/>
      </c>
      <c r="G190" s="7"/>
      <c r="H190" s="8"/>
      <c r="I190" s="8"/>
      <c r="J190" s="78" t="str">
        <f>IF($D190="","",
IF($E190="","",
IF($D190="MATE","",
IF(VLOOKUP($B190,'Baremos actuales'!A:D,4,FALSE)=J$9,$E190*$F190,IF(VLOOKUP($B190,'Baremos anteriores'!A:D,4,FALSE)="Sin Definir",$E190*$F190,"")))))</f>
        <v/>
      </c>
      <c r="K190" s="79" t="str">
        <f>IF($D190="","",
IF($E190="","",
IF($D190="MATE","",
IF(VLOOKUP($B190,'Baremos actuales'!$A:$D,4,FALSE)=K$9,$E190*$F190,IF(VLOOKUP($B190,'Baremos anteriores'!$A:$D,4,FALSE)="Desmonte",$E190*$F190,"")))))</f>
        <v/>
      </c>
      <c r="L190" s="80" t="str">
        <f>IF($D190="","",
IF($E190="","",
IF($D190="MATE","",
IF(VLOOKUP($B190,'Baremos actuales'!$A:$D,4,FALSE)=L$9,$E190*$F190,""))))</f>
        <v/>
      </c>
      <c r="M190" s="91" t="str">
        <f t="shared" si="2"/>
        <v/>
      </c>
      <c r="N190" s="96"/>
      <c r="O190" s="95"/>
      <c r="P190" s="96"/>
      <c r="Q190" s="98"/>
    </row>
    <row r="191" spans="1:17" ht="15.75" x14ac:dyDescent="0.2">
      <c r="A191" s="17"/>
      <c r="B191" s="18"/>
      <c r="C191" s="87" t="str">
        <f>IF(B191="","",
IF(M191=$H$5,IFERROR(VLOOKUP(B191,'Baremos actuales'!A:E,5,FALSE),"No encontrado. Revisar código, fecha ejecución y/o contrato."),
IF(M191=$H$4,IFERROR(VLOOKUP(B191,'Baremos anteriores'!A:E,5,FALSE),"No encontrado. Revisar código, fecha ejecución y/o contrato."),
IF(M191=$H$3,IFERROR(VLOOKUP(B191,#REF!,5,FALSE),"No encontrado. Revisar código, fecha ejecución y/o contrato."),
IF(D191="","Código no encontrado",
IF(D191="ERROR","No encontrado. Revisar Código, fecha de ejecución y/o contrato.",
IF(D191="MATE",
IF(C190="DESCRIPCION","NO SE PUEDE COMENZAR SIN CÓDIGO DE TAREA",
IF(C190="","FALTA CÓDIGO DE TAREA",
CONCATENATE("          ",VLOOKUP(B191,'Maestro Materiales'!A:C,3,FALSE)))),IFERROR(VLOOKUP(B191,#REF!,5,FALSE),"No encontrado. Revisar código, fecha ejecución y/o contrato."))))))))</f>
        <v/>
      </c>
      <c r="D191" s="88" t="str">
        <f>IF(B191="","",
IFERROR(VLOOKUP(B191,'Maestro Materiales'!A:C,2,FALSE),
IFERROR(VLOOKUP(B191,'Baremos actuales'!A:B,2,FALSE),
IFERROR(VLOOKUP(B191,'Baremos anteriores'!A:B,2,FALSE),
""))))</f>
        <v/>
      </c>
      <c r="E191" s="9"/>
      <c r="F191" s="89" t="str">
        <f>IF(D191="MATE",
IF(E191="","¿Unidades?",""),
IF(D191="",IF(E191="","","¿Código?"),
IF(E191="","¿Unidades?",
IF(D191="TARE",
IF(M191=$H$3,IFERROR(VLOOKUP(B191,'Baremos actuales'!A:C,3,FALSE),0),
IF(M191=$H$4,IFERROR(VLOOKUP(B191,'Baremos anteriores'!A:C,3,FALSE),0),0))))))</f>
        <v/>
      </c>
      <c r="G191" s="7"/>
      <c r="H191" s="8"/>
      <c r="I191" s="8"/>
      <c r="J191" s="78" t="str">
        <f>IF($D191="","",
IF($E191="","",
IF($D191="MATE","",
IF(VLOOKUP($B191,'Baremos actuales'!A:D,4,FALSE)=J$9,$E191*$F191,IF(VLOOKUP($B191,'Baremos anteriores'!A:D,4,FALSE)="Sin Definir",$E191*$F191,"")))))</f>
        <v/>
      </c>
      <c r="K191" s="79" t="str">
        <f>IF($D191="","",
IF($E191="","",
IF($D191="MATE","",
IF(VLOOKUP($B191,'Baremos actuales'!$A:$D,4,FALSE)=K$9,$E191*$F191,IF(VLOOKUP($B191,'Baremos anteriores'!$A:$D,4,FALSE)="Desmonte",$E191*$F191,"")))))</f>
        <v/>
      </c>
      <c r="L191" s="80" t="str">
        <f>IF($D191="","",
IF($E191="","",
IF($D191="MATE","",
IF(VLOOKUP($B191,'Baremos actuales'!$A:$D,4,FALSE)=L$9,$E191*$F191,""))))</f>
        <v/>
      </c>
      <c r="M191" s="91" t="str">
        <f t="shared" si="2"/>
        <v/>
      </c>
      <c r="N191" s="96"/>
      <c r="O191" s="95"/>
      <c r="P191" s="96"/>
      <c r="Q191" s="98"/>
    </row>
    <row r="192" spans="1:17" ht="15.75" x14ac:dyDescent="0.2">
      <c r="A192" s="17"/>
      <c r="B192" s="18"/>
      <c r="C192" s="87" t="str">
        <f>IF(B192="","",
IF(M192=$H$5,IFERROR(VLOOKUP(B192,'Baremos actuales'!A:E,5,FALSE),"No encontrado. Revisar código, fecha ejecución y/o contrato."),
IF(M192=$H$4,IFERROR(VLOOKUP(B192,'Baremos anteriores'!A:E,5,FALSE),"No encontrado. Revisar código, fecha ejecución y/o contrato."),
IF(M192=$H$3,IFERROR(VLOOKUP(B192,#REF!,5,FALSE),"No encontrado. Revisar código, fecha ejecución y/o contrato."),
IF(D192="","Código no encontrado",
IF(D192="ERROR","No encontrado. Revisar Código, fecha de ejecución y/o contrato.",
IF(D192="MATE",
IF(C191="DESCRIPCION","NO SE PUEDE COMENZAR SIN CÓDIGO DE TAREA",
IF(C191="","FALTA CÓDIGO DE TAREA",
CONCATENATE("          ",VLOOKUP(B192,'Maestro Materiales'!A:C,3,FALSE)))),IFERROR(VLOOKUP(B192,#REF!,5,FALSE),"No encontrado. Revisar código, fecha ejecución y/o contrato."))))))))</f>
        <v/>
      </c>
      <c r="D192" s="88" t="str">
        <f>IF(B192="","",
IFERROR(VLOOKUP(B192,'Maestro Materiales'!A:C,2,FALSE),
IFERROR(VLOOKUP(B192,'Baremos actuales'!A:B,2,FALSE),
IFERROR(VLOOKUP(B192,'Baremos anteriores'!A:B,2,FALSE),
""))))</f>
        <v/>
      </c>
      <c r="E192" s="9"/>
      <c r="F192" s="89" t="str">
        <f>IF(D192="MATE",
IF(E192="","¿Unidades?",""),
IF(D192="",IF(E192="","","¿Código?"),
IF(E192="","¿Unidades?",
IF(D192="TARE",
IF(M192=$H$3,IFERROR(VLOOKUP(B192,'Baremos actuales'!A:C,3,FALSE),0),
IF(M192=$H$4,IFERROR(VLOOKUP(B192,'Baremos anteriores'!A:C,3,FALSE),0),0))))))</f>
        <v/>
      </c>
      <c r="G192" s="7"/>
      <c r="H192" s="8"/>
      <c r="I192" s="8"/>
      <c r="J192" s="78" t="str">
        <f>IF($D192="","",
IF($E192="","",
IF($D192="MATE","",
IF(VLOOKUP($B192,'Baremos actuales'!A:D,4,FALSE)=J$9,$E192*$F192,IF(VLOOKUP($B192,'Baremos anteriores'!A:D,4,FALSE)="Sin Definir",$E192*$F192,"")))))</f>
        <v/>
      </c>
      <c r="K192" s="79" t="str">
        <f>IF($D192="","",
IF($E192="","",
IF($D192="MATE","",
IF(VLOOKUP($B192,'Baremos actuales'!$A:$D,4,FALSE)=K$9,$E192*$F192,IF(VLOOKUP($B192,'Baremos anteriores'!$A:$D,4,FALSE)="Desmonte",$E192*$F192,"")))))</f>
        <v/>
      </c>
      <c r="L192" s="80" t="str">
        <f>IF($D192="","",
IF($E192="","",
IF($D192="MATE","",
IF(VLOOKUP($B192,'Baremos actuales'!$A:$D,4,FALSE)=L$9,$E192*$F192,""))))</f>
        <v/>
      </c>
      <c r="M192" s="91" t="str">
        <f t="shared" si="2"/>
        <v/>
      </c>
      <c r="N192" s="96"/>
      <c r="O192" s="95"/>
      <c r="P192" s="96"/>
      <c r="Q192" s="98"/>
    </row>
    <row r="193" spans="1:17" ht="15.75" x14ac:dyDescent="0.2">
      <c r="A193" s="17"/>
      <c r="B193" s="18"/>
      <c r="C193" s="87" t="str">
        <f>IF(B193="","",
IF(M193=$H$5,IFERROR(VLOOKUP(B193,'Baremos actuales'!A:E,5,FALSE),"No encontrado. Revisar código, fecha ejecución y/o contrato."),
IF(M193=$H$4,IFERROR(VLOOKUP(B193,'Baremos anteriores'!A:E,5,FALSE),"No encontrado. Revisar código, fecha ejecución y/o contrato."),
IF(M193=$H$3,IFERROR(VLOOKUP(B193,#REF!,5,FALSE),"No encontrado. Revisar código, fecha ejecución y/o contrato."),
IF(D193="","Código no encontrado",
IF(D193="ERROR","No encontrado. Revisar Código, fecha de ejecución y/o contrato.",
IF(D193="MATE",
IF(C192="DESCRIPCION","NO SE PUEDE COMENZAR SIN CÓDIGO DE TAREA",
IF(C192="","FALTA CÓDIGO DE TAREA",
CONCATENATE("          ",VLOOKUP(B193,'Maestro Materiales'!A:C,3,FALSE)))),IFERROR(VLOOKUP(B193,#REF!,5,FALSE),"No encontrado. Revisar código, fecha ejecución y/o contrato."))))))))</f>
        <v/>
      </c>
      <c r="D193" s="88" t="str">
        <f>IF(B193="","",
IFERROR(VLOOKUP(B193,'Maestro Materiales'!A:C,2,FALSE),
IFERROR(VLOOKUP(B193,'Baremos actuales'!A:B,2,FALSE),
IFERROR(VLOOKUP(B193,'Baremos anteriores'!A:B,2,FALSE),
""))))</f>
        <v/>
      </c>
      <c r="E193" s="9"/>
      <c r="F193" s="89" t="str">
        <f>IF(D193="MATE",
IF(E193="","¿Unidades?",""),
IF(D193="",IF(E193="","","¿Código?"),
IF(E193="","¿Unidades?",
IF(D193="TARE",
IF(M193=$H$3,IFERROR(VLOOKUP(B193,'Baremos actuales'!A:C,3,FALSE),0),
IF(M193=$H$4,IFERROR(VLOOKUP(B193,'Baremos anteriores'!A:C,3,FALSE),0),0))))))</f>
        <v/>
      </c>
      <c r="G193" s="7"/>
      <c r="H193" s="8"/>
      <c r="I193" s="8"/>
      <c r="J193" s="78" t="str">
        <f>IF($D193="","",
IF($E193="","",
IF($D193="MATE","",
IF(VLOOKUP($B193,'Baremos actuales'!A:D,4,FALSE)=J$9,$E193*$F193,IF(VLOOKUP($B193,'Baremos anteriores'!A:D,4,FALSE)="Sin Definir",$E193*$F193,"")))))</f>
        <v/>
      </c>
      <c r="K193" s="79" t="str">
        <f>IF($D193="","",
IF($E193="","",
IF($D193="MATE","",
IF(VLOOKUP($B193,'Baremos actuales'!$A:$D,4,FALSE)=K$9,$E193*$F193,IF(VLOOKUP($B193,'Baremos anteriores'!$A:$D,4,FALSE)="Desmonte",$E193*$F193,"")))))</f>
        <v/>
      </c>
      <c r="L193" s="80" t="str">
        <f>IF($D193="","",
IF($E193="","",
IF($D193="MATE","",
IF(VLOOKUP($B193,'Baremos actuales'!$A:$D,4,FALSE)=L$9,$E193*$F193,""))))</f>
        <v/>
      </c>
      <c r="M193" s="91" t="str">
        <f t="shared" si="2"/>
        <v/>
      </c>
      <c r="N193" s="96"/>
      <c r="O193" s="95"/>
      <c r="P193" s="96"/>
      <c r="Q193" s="98"/>
    </row>
    <row r="194" spans="1:17" ht="15.75" x14ac:dyDescent="0.2">
      <c r="A194" s="17"/>
      <c r="B194" s="18"/>
      <c r="C194" s="87" t="str">
        <f>IF(B194="","",
IF(M194=$H$5,IFERROR(VLOOKUP(B194,'Baremos actuales'!A:E,5,FALSE),"No encontrado. Revisar código, fecha ejecución y/o contrato."),
IF(M194=$H$4,IFERROR(VLOOKUP(B194,'Baremos anteriores'!A:E,5,FALSE),"No encontrado. Revisar código, fecha ejecución y/o contrato."),
IF(M194=$H$3,IFERROR(VLOOKUP(B194,#REF!,5,FALSE),"No encontrado. Revisar código, fecha ejecución y/o contrato."),
IF(D194="","Código no encontrado",
IF(D194="ERROR","No encontrado. Revisar Código, fecha de ejecución y/o contrato.",
IF(D194="MATE",
IF(C193="DESCRIPCION","NO SE PUEDE COMENZAR SIN CÓDIGO DE TAREA",
IF(C193="","FALTA CÓDIGO DE TAREA",
CONCATENATE("          ",VLOOKUP(B194,'Maestro Materiales'!A:C,3,FALSE)))),IFERROR(VLOOKUP(B194,#REF!,5,FALSE),"No encontrado. Revisar código, fecha ejecución y/o contrato."))))))))</f>
        <v/>
      </c>
      <c r="D194" s="88" t="str">
        <f>IF(B194="","",
IFERROR(VLOOKUP(B194,'Maestro Materiales'!A:C,2,FALSE),
IFERROR(VLOOKUP(B194,'Baremos actuales'!A:B,2,FALSE),
IFERROR(VLOOKUP(B194,'Baremos anteriores'!A:B,2,FALSE),
""))))</f>
        <v/>
      </c>
      <c r="E194" s="9"/>
      <c r="F194" s="89" t="str">
        <f>IF(D194="MATE",
IF(E194="","¿Unidades?",""),
IF(D194="",IF(E194="","","¿Código?"),
IF(E194="","¿Unidades?",
IF(D194="TARE",
IF(M194=$H$3,IFERROR(VLOOKUP(B194,'Baremos actuales'!A:C,3,FALSE),0),
IF(M194=$H$4,IFERROR(VLOOKUP(B194,'Baremos anteriores'!A:C,3,FALSE),0),0))))))</f>
        <v/>
      </c>
      <c r="G194" s="7"/>
      <c r="H194" s="8"/>
      <c r="I194" s="8"/>
      <c r="J194" s="78" t="str">
        <f>IF($D194="","",
IF($E194="","",
IF($D194="MATE","",
IF(VLOOKUP($B194,'Baremos actuales'!A:D,4,FALSE)=J$9,$E194*$F194,IF(VLOOKUP($B194,'Baremos anteriores'!A:D,4,FALSE)="Sin Definir",$E194*$F194,"")))))</f>
        <v/>
      </c>
      <c r="K194" s="79" t="str">
        <f>IF($D194="","",
IF($E194="","",
IF($D194="MATE","",
IF(VLOOKUP($B194,'Baremos actuales'!$A:$D,4,FALSE)=K$9,$E194*$F194,IF(VLOOKUP($B194,'Baremos anteriores'!$A:$D,4,FALSE)="Desmonte",$E194*$F194,"")))))</f>
        <v/>
      </c>
      <c r="L194" s="80" t="str">
        <f>IF($D194="","",
IF($E194="","",
IF($D194="MATE","",
IF(VLOOKUP($B194,'Baremos actuales'!$A:$D,4,FALSE)=L$9,$E194*$F194,""))))</f>
        <v/>
      </c>
      <c r="M194" s="91" t="str">
        <f t="shared" si="2"/>
        <v/>
      </c>
      <c r="N194" s="96"/>
      <c r="O194" s="95"/>
      <c r="P194" s="96"/>
      <c r="Q194" s="98"/>
    </row>
    <row r="195" spans="1:17" ht="15.75" x14ac:dyDescent="0.2">
      <c r="A195" s="17"/>
      <c r="B195" s="18"/>
      <c r="C195" s="87" t="str">
        <f>IF(B195="","",
IF(M195=$H$5,IFERROR(VLOOKUP(B195,'Baremos actuales'!A:E,5,FALSE),"No encontrado. Revisar código, fecha ejecución y/o contrato."),
IF(M195=$H$4,IFERROR(VLOOKUP(B195,'Baremos anteriores'!A:E,5,FALSE),"No encontrado. Revisar código, fecha ejecución y/o contrato."),
IF(M195=$H$3,IFERROR(VLOOKUP(B195,#REF!,5,FALSE),"No encontrado. Revisar código, fecha ejecución y/o contrato."),
IF(D195="","Código no encontrado",
IF(D195="ERROR","No encontrado. Revisar Código, fecha de ejecución y/o contrato.",
IF(D195="MATE",
IF(C194="DESCRIPCION","NO SE PUEDE COMENZAR SIN CÓDIGO DE TAREA",
IF(C194="","FALTA CÓDIGO DE TAREA",
CONCATENATE("          ",VLOOKUP(B195,'Maestro Materiales'!A:C,3,FALSE)))),IFERROR(VLOOKUP(B195,#REF!,5,FALSE),"No encontrado. Revisar código, fecha ejecución y/o contrato."))))))))</f>
        <v/>
      </c>
      <c r="D195" s="88" t="str">
        <f>IF(B195="","",
IFERROR(VLOOKUP(B195,'Maestro Materiales'!A:C,2,FALSE),
IFERROR(VLOOKUP(B195,'Baremos actuales'!A:B,2,FALSE),
IFERROR(VLOOKUP(B195,'Baremos anteriores'!A:B,2,FALSE),
""))))</f>
        <v/>
      </c>
      <c r="E195" s="9"/>
      <c r="F195" s="89" t="str">
        <f>IF(D195="MATE",
IF(E195="","¿Unidades?",""),
IF(D195="",IF(E195="","","¿Código?"),
IF(E195="","¿Unidades?",
IF(D195="TARE",
IF(M195=$H$3,IFERROR(VLOOKUP(B195,'Baremos actuales'!A:C,3,FALSE),0),
IF(M195=$H$4,IFERROR(VLOOKUP(B195,'Baremos anteriores'!A:C,3,FALSE),0),0))))))</f>
        <v/>
      </c>
      <c r="G195" s="7"/>
      <c r="H195" s="8"/>
      <c r="I195" s="8"/>
      <c r="J195" s="78" t="str">
        <f>IF($D195="","",
IF($E195="","",
IF($D195="MATE","",
IF(VLOOKUP($B195,'Baremos actuales'!A:D,4,FALSE)=J$9,$E195*$F195,IF(VLOOKUP($B195,'Baremos anteriores'!A:D,4,FALSE)="Sin Definir",$E195*$F195,"")))))</f>
        <v/>
      </c>
      <c r="K195" s="79" t="str">
        <f>IF($D195="","",
IF($E195="","",
IF($D195="MATE","",
IF(VLOOKUP($B195,'Baremos actuales'!$A:$D,4,FALSE)=K$9,$E195*$F195,IF(VLOOKUP($B195,'Baremos anteriores'!$A:$D,4,FALSE)="Desmonte",$E195*$F195,"")))))</f>
        <v/>
      </c>
      <c r="L195" s="80" t="str">
        <f>IF($D195="","",
IF($E195="","",
IF($D195="MATE","",
IF(VLOOKUP($B195,'Baremos actuales'!$A:$D,4,FALSE)=L$9,$E195*$F195,""))))</f>
        <v/>
      </c>
      <c r="M195" s="91" t="str">
        <f t="shared" si="2"/>
        <v/>
      </c>
      <c r="N195" s="96"/>
      <c r="O195" s="95"/>
      <c r="P195" s="96"/>
      <c r="Q195" s="98"/>
    </row>
    <row r="196" spans="1:17" ht="15.75" x14ac:dyDescent="0.2">
      <c r="A196" s="17"/>
      <c r="B196" s="18"/>
      <c r="C196" s="87" t="str">
        <f>IF(B196="","",
IF(M196=$H$5,IFERROR(VLOOKUP(B196,'Baremos actuales'!A:E,5,FALSE),"No encontrado. Revisar código, fecha ejecución y/o contrato."),
IF(M196=$H$4,IFERROR(VLOOKUP(B196,'Baremos anteriores'!A:E,5,FALSE),"No encontrado. Revisar código, fecha ejecución y/o contrato."),
IF(M196=$H$3,IFERROR(VLOOKUP(B196,#REF!,5,FALSE),"No encontrado. Revisar código, fecha ejecución y/o contrato."),
IF(D196="","Código no encontrado",
IF(D196="ERROR","No encontrado. Revisar Código, fecha de ejecución y/o contrato.",
IF(D196="MATE",
IF(C195="DESCRIPCION","NO SE PUEDE COMENZAR SIN CÓDIGO DE TAREA",
IF(C195="","FALTA CÓDIGO DE TAREA",
CONCATENATE("          ",VLOOKUP(B196,'Maestro Materiales'!A:C,3,FALSE)))),IFERROR(VLOOKUP(B196,#REF!,5,FALSE),"No encontrado. Revisar código, fecha ejecución y/o contrato."))))))))</f>
        <v/>
      </c>
      <c r="D196" s="88" t="str">
        <f>IF(B196="","",
IFERROR(VLOOKUP(B196,'Maestro Materiales'!A:C,2,FALSE),
IFERROR(VLOOKUP(B196,'Baremos actuales'!A:B,2,FALSE),
IFERROR(VLOOKUP(B196,'Baremos anteriores'!A:B,2,FALSE),
""))))</f>
        <v/>
      </c>
      <c r="E196" s="9"/>
      <c r="F196" s="89" t="str">
        <f>IF(D196="MATE",
IF(E196="","¿Unidades?",""),
IF(D196="",IF(E196="","","¿Código?"),
IF(E196="","¿Unidades?",
IF(D196="TARE",
IF(M196=$H$3,IFERROR(VLOOKUP(B196,'Baremos actuales'!A:C,3,FALSE),0),
IF(M196=$H$4,IFERROR(VLOOKUP(B196,'Baremos anteriores'!A:C,3,FALSE),0),0))))))</f>
        <v/>
      </c>
      <c r="G196" s="7"/>
      <c r="H196" s="8"/>
      <c r="I196" s="8"/>
      <c r="J196" s="78" t="str">
        <f>IF($D196="","",
IF($E196="","",
IF($D196="MATE","",
IF(VLOOKUP($B196,'Baremos actuales'!A:D,4,FALSE)=J$9,$E196*$F196,IF(VLOOKUP($B196,'Baremos anteriores'!A:D,4,FALSE)="Sin Definir",$E196*$F196,"")))))</f>
        <v/>
      </c>
      <c r="K196" s="79" t="str">
        <f>IF($D196="","",
IF($E196="","",
IF($D196="MATE","",
IF(VLOOKUP($B196,'Baremos actuales'!$A:$D,4,FALSE)=K$9,$E196*$F196,IF(VLOOKUP($B196,'Baremos anteriores'!$A:$D,4,FALSE)="Desmonte",$E196*$F196,"")))))</f>
        <v/>
      </c>
      <c r="L196" s="80" t="str">
        <f>IF($D196="","",
IF($E196="","",
IF($D196="MATE","",
IF(VLOOKUP($B196,'Baremos actuales'!$A:$D,4,FALSE)=L$9,$E196*$F196,""))))</f>
        <v/>
      </c>
      <c r="M196" s="91" t="str">
        <f t="shared" si="2"/>
        <v/>
      </c>
      <c r="N196" s="96"/>
      <c r="O196" s="95"/>
      <c r="P196" s="96"/>
      <c r="Q196" s="98"/>
    </row>
    <row r="197" spans="1:17" ht="15.75" x14ac:dyDescent="0.2">
      <c r="A197" s="17"/>
      <c r="B197" s="18"/>
      <c r="C197" s="87" t="str">
        <f>IF(B197="","",
IF(M197=$H$5,IFERROR(VLOOKUP(B197,'Baremos actuales'!A:E,5,FALSE),"No encontrado. Revisar código, fecha ejecución y/o contrato."),
IF(M197=$H$4,IFERROR(VLOOKUP(B197,'Baremos anteriores'!A:E,5,FALSE),"No encontrado. Revisar código, fecha ejecución y/o contrato."),
IF(M197=$H$3,IFERROR(VLOOKUP(B197,#REF!,5,FALSE),"No encontrado. Revisar código, fecha ejecución y/o contrato."),
IF(D197="","Código no encontrado",
IF(D197="ERROR","No encontrado. Revisar Código, fecha de ejecución y/o contrato.",
IF(D197="MATE",
IF(C196="DESCRIPCION","NO SE PUEDE COMENZAR SIN CÓDIGO DE TAREA",
IF(C196="","FALTA CÓDIGO DE TAREA",
CONCATENATE("          ",VLOOKUP(B197,'Maestro Materiales'!A:C,3,FALSE)))),IFERROR(VLOOKUP(B197,#REF!,5,FALSE),"No encontrado. Revisar código, fecha ejecución y/o contrato."))))))))</f>
        <v/>
      </c>
      <c r="D197" s="88" t="str">
        <f>IF(B197="","",
IFERROR(VLOOKUP(B197,'Maestro Materiales'!A:C,2,FALSE),
IFERROR(VLOOKUP(B197,'Baremos actuales'!A:B,2,FALSE),
IFERROR(VLOOKUP(B197,'Baremos anteriores'!A:B,2,FALSE),
""))))</f>
        <v/>
      </c>
      <c r="E197" s="9"/>
      <c r="F197" s="89" t="str">
        <f>IF(D197="MATE",
IF(E197="","¿Unidades?",""),
IF(D197="",IF(E197="","","¿Código?"),
IF(E197="","¿Unidades?",
IF(D197="TARE",
IF(M197=$H$3,IFERROR(VLOOKUP(B197,'Baremos actuales'!A:C,3,FALSE),0),
IF(M197=$H$4,IFERROR(VLOOKUP(B197,'Baremos anteriores'!A:C,3,FALSE),0),0))))))</f>
        <v/>
      </c>
      <c r="G197" s="7"/>
      <c r="H197" s="8"/>
      <c r="I197" s="8"/>
      <c r="J197" s="78" t="str">
        <f>IF($D197="","",
IF($E197="","",
IF($D197="MATE","",
IF(VLOOKUP($B197,'Baremos actuales'!A:D,4,FALSE)=J$9,$E197*$F197,IF(VLOOKUP($B197,'Baremos anteriores'!A:D,4,FALSE)="Sin Definir",$E197*$F197,"")))))</f>
        <v/>
      </c>
      <c r="K197" s="79" t="str">
        <f>IF($D197="","",
IF($E197="","",
IF($D197="MATE","",
IF(VLOOKUP($B197,'Baremos actuales'!$A:$D,4,FALSE)=K$9,$E197*$F197,IF(VLOOKUP($B197,'Baremos anteriores'!$A:$D,4,FALSE)="Desmonte",$E197*$F197,"")))))</f>
        <v/>
      </c>
      <c r="L197" s="80" t="str">
        <f>IF($D197="","",
IF($E197="","",
IF($D197="MATE","",
IF(VLOOKUP($B197,'Baremos actuales'!$A:$D,4,FALSE)=L$9,$E197*$F197,""))))</f>
        <v/>
      </c>
      <c r="M197" s="91" t="str">
        <f t="shared" si="2"/>
        <v/>
      </c>
      <c r="N197" s="96"/>
      <c r="O197" s="95"/>
      <c r="P197" s="96"/>
      <c r="Q197" s="98"/>
    </row>
    <row r="198" spans="1:17" ht="15.75" x14ac:dyDescent="0.2">
      <c r="A198" s="17"/>
      <c r="B198" s="18"/>
      <c r="C198" s="87" t="str">
        <f>IF(B198="","",
IF(M198=$H$5,IFERROR(VLOOKUP(B198,'Baremos actuales'!A:E,5,FALSE),"No encontrado. Revisar código, fecha ejecución y/o contrato."),
IF(M198=$H$4,IFERROR(VLOOKUP(B198,'Baremos anteriores'!A:E,5,FALSE),"No encontrado. Revisar código, fecha ejecución y/o contrato."),
IF(M198=$H$3,IFERROR(VLOOKUP(B198,#REF!,5,FALSE),"No encontrado. Revisar código, fecha ejecución y/o contrato."),
IF(D198="","Código no encontrado",
IF(D198="ERROR","No encontrado. Revisar Código, fecha de ejecución y/o contrato.",
IF(D198="MATE",
IF(C197="DESCRIPCION","NO SE PUEDE COMENZAR SIN CÓDIGO DE TAREA",
IF(C197="","FALTA CÓDIGO DE TAREA",
CONCATENATE("          ",VLOOKUP(B198,'Maestro Materiales'!A:C,3,FALSE)))),IFERROR(VLOOKUP(B198,#REF!,5,FALSE),"No encontrado. Revisar código, fecha ejecución y/o contrato."))))))))</f>
        <v/>
      </c>
      <c r="D198" s="88" t="str">
        <f>IF(B198="","",
IFERROR(VLOOKUP(B198,'Maestro Materiales'!A:C,2,FALSE),
IFERROR(VLOOKUP(B198,'Baremos actuales'!A:B,2,FALSE),
IFERROR(VLOOKUP(B198,'Baremos anteriores'!A:B,2,FALSE),
""))))</f>
        <v/>
      </c>
      <c r="E198" s="9"/>
      <c r="F198" s="89" t="str">
        <f>IF(D198="MATE",
IF(E198="","¿Unidades?",""),
IF(D198="",IF(E198="","","¿Código?"),
IF(E198="","¿Unidades?",
IF(D198="TARE",
IF(M198=$H$3,IFERROR(VLOOKUP(B198,'Baremos actuales'!A:C,3,FALSE),0),
IF(M198=$H$4,IFERROR(VLOOKUP(B198,'Baremos anteriores'!A:C,3,FALSE),0),0))))))</f>
        <v/>
      </c>
      <c r="G198" s="7"/>
      <c r="H198" s="8"/>
      <c r="I198" s="8"/>
      <c r="J198" s="78" t="str">
        <f>IF($D198="","",
IF($E198="","",
IF($D198="MATE","",
IF(VLOOKUP($B198,'Baremos actuales'!A:D,4,FALSE)=J$9,$E198*$F198,IF(VLOOKUP($B198,'Baremos anteriores'!A:D,4,FALSE)="Sin Definir",$E198*$F198,"")))))</f>
        <v/>
      </c>
      <c r="K198" s="79" t="str">
        <f>IF($D198="","",
IF($E198="","",
IF($D198="MATE","",
IF(VLOOKUP($B198,'Baremos actuales'!$A:$D,4,FALSE)=K$9,$E198*$F198,IF(VLOOKUP($B198,'Baremos anteriores'!$A:$D,4,FALSE)="Desmonte",$E198*$F198,"")))))</f>
        <v/>
      </c>
      <c r="L198" s="80" t="str">
        <f>IF($D198="","",
IF($E198="","",
IF($D198="MATE","",
IF(VLOOKUP($B198,'Baremos actuales'!$A:$D,4,FALSE)=L$9,$E198*$F198,""))))</f>
        <v/>
      </c>
      <c r="M198" s="91" t="str">
        <f t="shared" si="2"/>
        <v/>
      </c>
      <c r="N198" s="96"/>
      <c r="O198" s="95"/>
      <c r="P198" s="96"/>
      <c r="Q198" s="98"/>
    </row>
    <row r="199" spans="1:17" ht="15.75" x14ac:dyDescent="0.2">
      <c r="A199" s="17"/>
      <c r="B199" s="18"/>
      <c r="C199" s="87" t="str">
        <f>IF(B199="","",
IF(M199=$H$5,IFERROR(VLOOKUP(B199,'Baremos actuales'!A:E,5,FALSE),"No encontrado. Revisar código, fecha ejecución y/o contrato."),
IF(M199=$H$4,IFERROR(VLOOKUP(B199,'Baremos anteriores'!A:E,5,FALSE),"No encontrado. Revisar código, fecha ejecución y/o contrato."),
IF(M199=$H$3,IFERROR(VLOOKUP(B199,#REF!,5,FALSE),"No encontrado. Revisar código, fecha ejecución y/o contrato."),
IF(D199="","Código no encontrado",
IF(D199="ERROR","No encontrado. Revisar Código, fecha de ejecución y/o contrato.",
IF(D199="MATE",
IF(C198="DESCRIPCION","NO SE PUEDE COMENZAR SIN CÓDIGO DE TAREA",
IF(C198="","FALTA CÓDIGO DE TAREA",
CONCATENATE("          ",VLOOKUP(B199,'Maestro Materiales'!A:C,3,FALSE)))),IFERROR(VLOOKUP(B199,#REF!,5,FALSE),"No encontrado. Revisar código, fecha ejecución y/o contrato."))))))))</f>
        <v/>
      </c>
      <c r="D199" s="88" t="str">
        <f>IF(B199="","",
IFERROR(VLOOKUP(B199,'Maestro Materiales'!A:C,2,FALSE),
IFERROR(VLOOKUP(B199,'Baremos actuales'!A:B,2,FALSE),
IFERROR(VLOOKUP(B199,'Baremos anteriores'!A:B,2,FALSE),
""))))</f>
        <v/>
      </c>
      <c r="E199" s="9"/>
      <c r="F199" s="89" t="str">
        <f>IF(D199="MATE",
IF(E199="","¿Unidades?",""),
IF(D199="",IF(E199="","","¿Código?"),
IF(E199="","¿Unidades?",
IF(D199="TARE",
IF(M199=$H$3,IFERROR(VLOOKUP(B199,'Baremos actuales'!A:C,3,FALSE),0),
IF(M199=$H$4,IFERROR(VLOOKUP(B199,'Baremos anteriores'!A:C,3,FALSE),0),0))))))</f>
        <v/>
      </c>
      <c r="G199" s="7"/>
      <c r="H199" s="8"/>
      <c r="I199" s="8"/>
      <c r="J199" s="78" t="str">
        <f>IF($D199="","",
IF($E199="","",
IF($D199="MATE","",
IF(VLOOKUP($B199,'Baremos actuales'!A:D,4,FALSE)=J$9,$E199*$F199,IF(VLOOKUP($B199,'Baremos anteriores'!A:D,4,FALSE)="Sin Definir",$E199*$F199,"")))))</f>
        <v/>
      </c>
      <c r="K199" s="79" t="str">
        <f>IF($D199="","",
IF($E199="","",
IF($D199="MATE","",
IF(VLOOKUP($B199,'Baremos actuales'!$A:$D,4,FALSE)=K$9,$E199*$F199,IF(VLOOKUP($B199,'Baremos anteriores'!$A:$D,4,FALSE)="Desmonte",$E199*$F199,"")))))</f>
        <v/>
      </c>
      <c r="L199" s="80" t="str">
        <f>IF($D199="","",
IF($E199="","",
IF($D199="MATE","",
IF(VLOOKUP($B199,'Baremos actuales'!$A:$D,4,FALSE)=L$9,$E199*$F199,""))))</f>
        <v/>
      </c>
      <c r="M199" s="91" t="str">
        <f t="shared" si="2"/>
        <v/>
      </c>
      <c r="N199" s="96"/>
      <c r="O199" s="95"/>
      <c r="P199" s="96"/>
      <c r="Q199" s="98"/>
    </row>
    <row r="200" spans="1:17" ht="15.75" x14ac:dyDescent="0.2">
      <c r="A200" s="17"/>
      <c r="B200" s="18"/>
      <c r="C200" s="87" t="str">
        <f>IF(B200="","",
IF(M200=$H$5,IFERROR(VLOOKUP(B200,'Baremos actuales'!A:E,5,FALSE),"No encontrado. Revisar código, fecha ejecución y/o contrato."),
IF(M200=$H$4,IFERROR(VLOOKUP(B200,'Baremos anteriores'!A:E,5,FALSE),"No encontrado. Revisar código, fecha ejecución y/o contrato."),
IF(M200=$H$3,IFERROR(VLOOKUP(B200,#REF!,5,FALSE),"No encontrado. Revisar código, fecha ejecución y/o contrato."),
IF(D200="","Código no encontrado",
IF(D200="ERROR","No encontrado. Revisar Código, fecha de ejecución y/o contrato.",
IF(D200="MATE",
IF(C199="DESCRIPCION","NO SE PUEDE COMENZAR SIN CÓDIGO DE TAREA",
IF(C199="","FALTA CÓDIGO DE TAREA",
CONCATENATE("          ",VLOOKUP(B200,'Maestro Materiales'!A:C,3,FALSE)))),IFERROR(VLOOKUP(B200,#REF!,5,FALSE),"No encontrado. Revisar código, fecha ejecución y/o contrato."))))))))</f>
        <v/>
      </c>
      <c r="D200" s="88" t="str">
        <f>IF(B200="","",
IFERROR(VLOOKUP(B200,'Maestro Materiales'!A:C,2,FALSE),
IFERROR(VLOOKUP(B200,'Baremos actuales'!A:B,2,FALSE),
IFERROR(VLOOKUP(B200,'Baremos anteriores'!A:B,2,FALSE),
""))))</f>
        <v/>
      </c>
      <c r="E200" s="9"/>
      <c r="F200" s="89" t="str">
        <f>IF(D200="MATE",
IF(E200="","¿Unidades?",""),
IF(D200="",IF(E200="","","¿Código?"),
IF(E200="","¿Unidades?",
IF(D200="TARE",
IF(M200=$H$3,IFERROR(VLOOKUP(B200,'Baremos actuales'!A:C,3,FALSE),0),
IF(M200=$H$4,IFERROR(VLOOKUP(B200,'Baremos anteriores'!A:C,3,FALSE),0),0))))))</f>
        <v/>
      </c>
      <c r="G200" s="7"/>
      <c r="H200" s="8"/>
      <c r="I200" s="8"/>
      <c r="J200" s="78" t="str">
        <f>IF($D200="","",
IF($E200="","",
IF($D200="MATE","",
IF(VLOOKUP($B200,'Baremos actuales'!A:D,4,FALSE)=J$9,$E200*$F200,IF(VLOOKUP($B200,'Baremos anteriores'!A:D,4,FALSE)="Sin Definir",$E200*$F200,"")))))</f>
        <v/>
      </c>
      <c r="K200" s="79" t="str">
        <f>IF($D200="","",
IF($E200="","",
IF($D200="MATE","",
IF(VLOOKUP($B200,'Baremos actuales'!$A:$D,4,FALSE)=K$9,$E200*$F200,IF(VLOOKUP($B200,'Baremos anteriores'!$A:$D,4,FALSE)="Desmonte",$E200*$F200,"")))))</f>
        <v/>
      </c>
      <c r="L200" s="80" t="str">
        <f>IF($D200="","",
IF($E200="","",
IF($D200="MATE","",
IF(VLOOKUP($B200,'Baremos actuales'!$A:$D,4,FALSE)=L$9,$E200*$F200,""))))</f>
        <v/>
      </c>
      <c r="M200" s="91" t="str">
        <f t="shared" si="2"/>
        <v/>
      </c>
      <c r="N200" s="96"/>
      <c r="O200" s="95"/>
      <c r="P200" s="96"/>
      <c r="Q200" s="98"/>
    </row>
    <row r="201" spans="1:17" ht="15.75" x14ac:dyDescent="0.2">
      <c r="A201" s="17"/>
      <c r="B201" s="18"/>
      <c r="C201" s="87" t="str">
        <f>IF(B201="","",
IF(M201=$H$5,IFERROR(VLOOKUP(B201,'Baremos actuales'!A:E,5,FALSE),"No encontrado. Revisar código, fecha ejecución y/o contrato."),
IF(M201=$H$4,IFERROR(VLOOKUP(B201,'Baremos anteriores'!A:E,5,FALSE),"No encontrado. Revisar código, fecha ejecución y/o contrato."),
IF(M201=$H$3,IFERROR(VLOOKUP(B201,#REF!,5,FALSE),"No encontrado. Revisar código, fecha ejecución y/o contrato."),
IF(D201="","Código no encontrado",
IF(D201="ERROR","No encontrado. Revisar Código, fecha de ejecución y/o contrato.",
IF(D201="MATE",
IF(C200="DESCRIPCION","NO SE PUEDE COMENZAR SIN CÓDIGO DE TAREA",
IF(C200="","FALTA CÓDIGO DE TAREA",
CONCATENATE("          ",VLOOKUP(B201,'Maestro Materiales'!A:C,3,FALSE)))),IFERROR(VLOOKUP(B201,#REF!,5,FALSE),"No encontrado. Revisar código, fecha ejecución y/o contrato."))))))))</f>
        <v/>
      </c>
      <c r="D201" s="88" t="str">
        <f>IF(B201="","",
IFERROR(VLOOKUP(B201,'Maestro Materiales'!A:C,2,FALSE),
IFERROR(VLOOKUP(B201,'Baremos actuales'!A:B,2,FALSE),
IFERROR(VLOOKUP(B201,'Baremos anteriores'!A:B,2,FALSE),
""))))</f>
        <v/>
      </c>
      <c r="E201" s="9"/>
      <c r="F201" s="89" t="str">
        <f>IF(D201="MATE",
IF(E201="","¿Unidades?",""),
IF(D201="",IF(E201="","","¿Código?"),
IF(E201="","¿Unidades?",
IF(D201="TARE",
IF(M201=$H$3,IFERROR(VLOOKUP(B201,'Baremos actuales'!A:C,3,FALSE),0),
IF(M201=$H$4,IFERROR(VLOOKUP(B201,'Baremos anteriores'!A:C,3,FALSE),0),0))))))</f>
        <v/>
      </c>
      <c r="G201" s="7"/>
      <c r="H201" s="8"/>
      <c r="I201" s="8"/>
      <c r="J201" s="78" t="str">
        <f>IF($D201="","",
IF($E201="","",
IF($D201="MATE","",
IF(VLOOKUP($B201,'Baremos actuales'!A:D,4,FALSE)=J$9,$E201*$F201,IF(VLOOKUP($B201,'Baremos anteriores'!A:D,4,FALSE)="Sin Definir",$E201*$F201,"")))))</f>
        <v/>
      </c>
      <c r="K201" s="79" t="str">
        <f>IF($D201="","",
IF($E201="","",
IF($D201="MATE","",
IF(VLOOKUP($B201,'Baremos actuales'!$A:$D,4,FALSE)=K$9,$E201*$F201,IF(VLOOKUP($B201,'Baremos anteriores'!$A:$D,4,FALSE)="Desmonte",$E201*$F201,"")))))</f>
        <v/>
      </c>
      <c r="L201" s="80" t="str">
        <f>IF($D201="","",
IF($E201="","",
IF($D201="MATE","",
IF(VLOOKUP($B201,'Baremos actuales'!$A:$D,4,FALSE)=L$9,$E201*$F201,""))))</f>
        <v/>
      </c>
      <c r="M201" s="91" t="str">
        <f t="shared" si="2"/>
        <v/>
      </c>
      <c r="N201" s="96"/>
      <c r="O201" s="95"/>
      <c r="P201" s="96"/>
      <c r="Q201" s="98"/>
    </row>
    <row r="202" spans="1:17" ht="15.75" x14ac:dyDescent="0.2">
      <c r="A202" s="17"/>
      <c r="B202" s="18"/>
      <c r="C202" s="87" t="str">
        <f>IF(B202="","",
IF(M202=$H$5,IFERROR(VLOOKUP(B202,'Baremos actuales'!A:E,5,FALSE),"No encontrado. Revisar código, fecha ejecución y/o contrato."),
IF(M202=$H$4,IFERROR(VLOOKUP(B202,'Baremos anteriores'!A:E,5,FALSE),"No encontrado. Revisar código, fecha ejecución y/o contrato."),
IF(M202=$H$3,IFERROR(VLOOKUP(B202,#REF!,5,FALSE),"No encontrado. Revisar código, fecha ejecución y/o contrato."),
IF(D202="","Código no encontrado",
IF(D202="ERROR","No encontrado. Revisar Código, fecha de ejecución y/o contrato.",
IF(D202="MATE",
IF(C201="DESCRIPCION","NO SE PUEDE COMENZAR SIN CÓDIGO DE TAREA",
IF(C201="","FALTA CÓDIGO DE TAREA",
CONCATENATE("          ",VLOOKUP(B202,'Maestro Materiales'!A:C,3,FALSE)))),IFERROR(VLOOKUP(B202,#REF!,5,FALSE),"No encontrado. Revisar código, fecha ejecución y/o contrato."))))))))</f>
        <v/>
      </c>
      <c r="D202" s="88" t="str">
        <f>IF(B202="","",
IFERROR(VLOOKUP(B202,'Maestro Materiales'!A:C,2,FALSE),
IFERROR(VLOOKUP(B202,'Baremos actuales'!A:B,2,FALSE),
IFERROR(VLOOKUP(B202,'Baremos anteriores'!A:B,2,FALSE),
""))))</f>
        <v/>
      </c>
      <c r="E202" s="9"/>
      <c r="F202" s="89" t="str">
        <f>IF(D202="MATE",
IF(E202="","¿Unidades?",""),
IF(D202="",IF(E202="","","¿Código?"),
IF(E202="","¿Unidades?",
IF(D202="TARE",
IF(M202=$H$3,IFERROR(VLOOKUP(B202,'Baremos actuales'!A:C,3,FALSE),0),
IF(M202=$H$4,IFERROR(VLOOKUP(B202,'Baremos anteriores'!A:C,3,FALSE),0),0))))))</f>
        <v/>
      </c>
      <c r="G202" s="7"/>
      <c r="H202" s="8"/>
      <c r="I202" s="8"/>
      <c r="J202" s="78" t="str">
        <f>IF($D202="","",
IF($E202="","",
IF($D202="MATE","",
IF(VLOOKUP($B202,'Baremos actuales'!A:D,4,FALSE)=J$9,$E202*$F202,IF(VLOOKUP($B202,'Baremos anteriores'!A:D,4,FALSE)="Sin Definir",$E202*$F202,"")))))</f>
        <v/>
      </c>
      <c r="K202" s="79" t="str">
        <f>IF($D202="","",
IF($E202="","",
IF($D202="MATE","",
IF(VLOOKUP($B202,'Baremos actuales'!$A:$D,4,FALSE)=K$9,$E202*$F202,IF(VLOOKUP($B202,'Baremos anteriores'!$A:$D,4,FALSE)="Desmonte",$E202*$F202,"")))))</f>
        <v/>
      </c>
      <c r="L202" s="80" t="str">
        <f>IF($D202="","",
IF($E202="","",
IF($D202="MATE","",
IF(VLOOKUP($B202,'Baremos actuales'!$A:$D,4,FALSE)=L$9,$E202*$F202,""))))</f>
        <v/>
      </c>
      <c r="M202" s="91" t="str">
        <f t="shared" si="2"/>
        <v/>
      </c>
      <c r="N202" s="96"/>
      <c r="O202" s="95"/>
      <c r="P202" s="96"/>
      <c r="Q202" s="98"/>
    </row>
    <row r="203" spans="1:17" ht="15.75" x14ac:dyDescent="0.2">
      <c r="A203" s="17"/>
      <c r="B203" s="18"/>
      <c r="C203" s="87" t="str">
        <f>IF(B203="","",
IF(M203=$H$5,IFERROR(VLOOKUP(B203,'Baremos actuales'!A:E,5,FALSE),"No encontrado. Revisar código, fecha ejecución y/o contrato."),
IF(M203=$H$4,IFERROR(VLOOKUP(B203,'Baremos anteriores'!A:E,5,FALSE),"No encontrado. Revisar código, fecha ejecución y/o contrato."),
IF(M203=$H$3,IFERROR(VLOOKUP(B203,#REF!,5,FALSE),"No encontrado. Revisar código, fecha ejecución y/o contrato."),
IF(D203="","Código no encontrado",
IF(D203="ERROR","No encontrado. Revisar Código, fecha de ejecución y/o contrato.",
IF(D203="MATE",
IF(C202="DESCRIPCION","NO SE PUEDE COMENZAR SIN CÓDIGO DE TAREA",
IF(C202="","FALTA CÓDIGO DE TAREA",
CONCATENATE("          ",VLOOKUP(B203,'Maestro Materiales'!A:C,3,FALSE)))),IFERROR(VLOOKUP(B203,#REF!,5,FALSE),"No encontrado. Revisar código, fecha ejecución y/o contrato."))))))))</f>
        <v/>
      </c>
      <c r="D203" s="88" t="str">
        <f>IF(B203="","",
IFERROR(VLOOKUP(B203,'Maestro Materiales'!A:C,2,FALSE),
IFERROR(VLOOKUP(B203,'Baremos actuales'!A:B,2,FALSE),
IFERROR(VLOOKUP(B203,'Baremos anteriores'!A:B,2,FALSE),
""))))</f>
        <v/>
      </c>
      <c r="E203" s="9"/>
      <c r="F203" s="89" t="str">
        <f>IF(D203="MATE",
IF(E203="","¿Unidades?",""),
IF(D203="",IF(E203="","","¿Código?"),
IF(E203="","¿Unidades?",
IF(D203="TARE",
IF(M203=$H$3,IFERROR(VLOOKUP(B203,'Baremos actuales'!A:C,3,FALSE),0),
IF(M203=$H$4,IFERROR(VLOOKUP(B203,'Baremos anteriores'!A:C,3,FALSE),0),0))))))</f>
        <v/>
      </c>
      <c r="G203" s="7"/>
      <c r="H203" s="8"/>
      <c r="I203" s="8"/>
      <c r="J203" s="78" t="str">
        <f>IF($D203="","",
IF($E203="","",
IF($D203="MATE","",
IF(VLOOKUP($B203,'Baremos actuales'!A:D,4,FALSE)=J$9,$E203*$F203,IF(VLOOKUP($B203,'Baremos anteriores'!A:D,4,FALSE)="Sin Definir",$E203*$F203,"")))))</f>
        <v/>
      </c>
      <c r="K203" s="79" t="str">
        <f>IF($D203="","",
IF($E203="","",
IF($D203="MATE","",
IF(VLOOKUP($B203,'Baremos actuales'!$A:$D,4,FALSE)=K$9,$E203*$F203,IF(VLOOKUP($B203,'Baremos anteriores'!$A:$D,4,FALSE)="Desmonte",$E203*$F203,"")))))</f>
        <v/>
      </c>
      <c r="L203" s="80" t="str">
        <f>IF($D203="","",
IF($E203="","",
IF($D203="MATE","",
IF(VLOOKUP($B203,'Baremos actuales'!$A:$D,4,FALSE)=L$9,$E203*$F203,""))))</f>
        <v/>
      </c>
      <c r="M203" s="91" t="str">
        <f t="shared" ref="M203:M266" si="3">IF(D203="MATE","Materiales",IF(B203="","",
IF($Q$1="O","Obsoleto",$F$2)))</f>
        <v/>
      </c>
      <c r="N203" s="96"/>
      <c r="O203" s="95"/>
      <c r="P203" s="96"/>
      <c r="Q203" s="98"/>
    </row>
    <row r="204" spans="1:17" ht="15.75" x14ac:dyDescent="0.2">
      <c r="A204" s="17"/>
      <c r="B204" s="18"/>
      <c r="C204" s="87" t="str">
        <f>IF(B204="","",
IF(M204=$H$5,IFERROR(VLOOKUP(B204,'Baremos actuales'!A:E,5,FALSE),"No encontrado. Revisar código, fecha ejecución y/o contrato."),
IF(M204=$H$4,IFERROR(VLOOKUP(B204,'Baremos anteriores'!A:E,5,FALSE),"No encontrado. Revisar código, fecha ejecución y/o contrato."),
IF(M204=$H$3,IFERROR(VLOOKUP(B204,#REF!,5,FALSE),"No encontrado. Revisar código, fecha ejecución y/o contrato."),
IF(D204="","Código no encontrado",
IF(D204="ERROR","No encontrado. Revisar Código, fecha de ejecución y/o contrato.",
IF(D204="MATE",
IF(C203="DESCRIPCION","NO SE PUEDE COMENZAR SIN CÓDIGO DE TAREA",
IF(C203="","FALTA CÓDIGO DE TAREA",
CONCATENATE("          ",VLOOKUP(B204,'Maestro Materiales'!A:C,3,FALSE)))),IFERROR(VLOOKUP(B204,#REF!,5,FALSE),"No encontrado. Revisar código, fecha ejecución y/o contrato."))))))))</f>
        <v/>
      </c>
      <c r="D204" s="88" t="str">
        <f>IF(B204="","",
IFERROR(VLOOKUP(B204,'Maestro Materiales'!A:C,2,FALSE),
IFERROR(VLOOKUP(B204,'Baremos actuales'!A:B,2,FALSE),
IFERROR(VLOOKUP(B204,'Baremos anteriores'!A:B,2,FALSE),
""))))</f>
        <v/>
      </c>
      <c r="E204" s="9"/>
      <c r="F204" s="89" t="str">
        <f>IF(D204="MATE",
IF(E204="","¿Unidades?",""),
IF(D204="",IF(E204="","","¿Código?"),
IF(E204="","¿Unidades?",
IF(D204="TARE",
IF(M204=$H$3,IFERROR(VLOOKUP(B204,'Baremos actuales'!A:C,3,FALSE),0),
IF(M204=$H$4,IFERROR(VLOOKUP(B204,'Baremos anteriores'!A:C,3,FALSE),0),0))))))</f>
        <v/>
      </c>
      <c r="G204" s="7"/>
      <c r="H204" s="8"/>
      <c r="I204" s="8"/>
      <c r="J204" s="78" t="str">
        <f>IF($D204="","",
IF($E204="","",
IF($D204="MATE","",
IF(VLOOKUP($B204,'Baremos actuales'!A:D,4,FALSE)=J$9,$E204*$F204,IF(VLOOKUP($B204,'Baremos anteriores'!A:D,4,FALSE)="Sin Definir",$E204*$F204,"")))))</f>
        <v/>
      </c>
      <c r="K204" s="79" t="str">
        <f>IF($D204="","",
IF($E204="","",
IF($D204="MATE","",
IF(VLOOKUP($B204,'Baremos actuales'!$A:$D,4,FALSE)=K$9,$E204*$F204,IF(VLOOKUP($B204,'Baremos anteriores'!$A:$D,4,FALSE)="Desmonte",$E204*$F204,"")))))</f>
        <v/>
      </c>
      <c r="L204" s="80" t="str">
        <f>IF($D204="","",
IF($E204="","",
IF($D204="MATE","",
IF(VLOOKUP($B204,'Baremos actuales'!$A:$D,4,FALSE)=L$9,$E204*$F204,""))))</f>
        <v/>
      </c>
      <c r="M204" s="91" t="str">
        <f t="shared" si="3"/>
        <v/>
      </c>
      <c r="N204" s="96"/>
      <c r="O204" s="95"/>
      <c r="P204" s="96"/>
      <c r="Q204" s="98"/>
    </row>
    <row r="205" spans="1:17" ht="15.75" x14ac:dyDescent="0.2">
      <c r="A205" s="17"/>
      <c r="B205" s="18"/>
      <c r="C205" s="87" t="str">
        <f>IF(B205="","",
IF(M205=$H$5,IFERROR(VLOOKUP(B205,'Baremos actuales'!A:E,5,FALSE),"No encontrado. Revisar código, fecha ejecución y/o contrato."),
IF(M205=$H$4,IFERROR(VLOOKUP(B205,'Baremos anteriores'!A:E,5,FALSE),"No encontrado. Revisar código, fecha ejecución y/o contrato."),
IF(M205=$H$3,IFERROR(VLOOKUP(B205,#REF!,5,FALSE),"No encontrado. Revisar código, fecha ejecución y/o contrato."),
IF(D205="","Código no encontrado",
IF(D205="ERROR","No encontrado. Revisar Código, fecha de ejecución y/o contrato.",
IF(D205="MATE",
IF(C204="DESCRIPCION","NO SE PUEDE COMENZAR SIN CÓDIGO DE TAREA",
IF(C204="","FALTA CÓDIGO DE TAREA",
CONCATENATE("          ",VLOOKUP(B205,'Maestro Materiales'!A:C,3,FALSE)))),IFERROR(VLOOKUP(B205,#REF!,5,FALSE),"No encontrado. Revisar código, fecha ejecución y/o contrato."))))))))</f>
        <v/>
      </c>
      <c r="D205" s="88" t="str">
        <f>IF(B205="","",
IFERROR(VLOOKUP(B205,'Maestro Materiales'!A:C,2,FALSE),
IFERROR(VLOOKUP(B205,'Baremos actuales'!A:B,2,FALSE),
IFERROR(VLOOKUP(B205,'Baremos anteriores'!A:B,2,FALSE),
""))))</f>
        <v/>
      </c>
      <c r="E205" s="9"/>
      <c r="F205" s="89" t="str">
        <f>IF(D205="MATE",
IF(E205="","¿Unidades?",""),
IF(D205="",IF(E205="","","¿Código?"),
IF(E205="","¿Unidades?",
IF(D205="TARE",
IF(M205=$H$3,IFERROR(VLOOKUP(B205,'Baremos actuales'!A:C,3,FALSE),0),
IF(M205=$H$4,IFERROR(VLOOKUP(B205,'Baremos anteriores'!A:C,3,FALSE),0),0))))))</f>
        <v/>
      </c>
      <c r="G205" s="7"/>
      <c r="H205" s="8"/>
      <c r="I205" s="8"/>
      <c r="J205" s="78" t="str">
        <f>IF($D205="","",
IF($E205="","",
IF($D205="MATE","",
IF(VLOOKUP($B205,'Baremos actuales'!A:D,4,FALSE)=J$9,$E205*$F205,IF(VLOOKUP($B205,'Baremos anteriores'!A:D,4,FALSE)="Sin Definir",$E205*$F205,"")))))</f>
        <v/>
      </c>
      <c r="K205" s="79" t="str">
        <f>IF($D205="","",
IF($E205="","",
IF($D205="MATE","",
IF(VLOOKUP($B205,'Baremos actuales'!$A:$D,4,FALSE)=K$9,$E205*$F205,IF(VLOOKUP($B205,'Baremos anteriores'!$A:$D,4,FALSE)="Desmonte",$E205*$F205,"")))))</f>
        <v/>
      </c>
      <c r="L205" s="80" t="str">
        <f>IF($D205="","",
IF($E205="","",
IF($D205="MATE","",
IF(VLOOKUP($B205,'Baremos actuales'!$A:$D,4,FALSE)=L$9,$E205*$F205,""))))</f>
        <v/>
      </c>
      <c r="M205" s="91" t="str">
        <f t="shared" si="3"/>
        <v/>
      </c>
      <c r="N205" s="96"/>
      <c r="O205" s="95"/>
      <c r="P205" s="96"/>
      <c r="Q205" s="98"/>
    </row>
    <row r="206" spans="1:17" ht="15.75" x14ac:dyDescent="0.2">
      <c r="A206" s="17"/>
      <c r="B206" s="18"/>
      <c r="C206" s="87" t="str">
        <f>IF(B206="","",
IF(M206=$H$5,IFERROR(VLOOKUP(B206,'Baremos actuales'!A:E,5,FALSE),"No encontrado. Revisar código, fecha ejecución y/o contrato."),
IF(M206=$H$4,IFERROR(VLOOKUP(B206,'Baremos anteriores'!A:E,5,FALSE),"No encontrado. Revisar código, fecha ejecución y/o contrato."),
IF(M206=$H$3,IFERROR(VLOOKUP(B206,#REF!,5,FALSE),"No encontrado. Revisar código, fecha ejecución y/o contrato."),
IF(D206="","Código no encontrado",
IF(D206="ERROR","No encontrado. Revisar Código, fecha de ejecución y/o contrato.",
IF(D206="MATE",
IF(C205="DESCRIPCION","NO SE PUEDE COMENZAR SIN CÓDIGO DE TAREA",
IF(C205="","FALTA CÓDIGO DE TAREA",
CONCATENATE("          ",VLOOKUP(B206,'Maestro Materiales'!A:C,3,FALSE)))),IFERROR(VLOOKUP(B206,#REF!,5,FALSE),"No encontrado. Revisar código, fecha ejecución y/o contrato."))))))))</f>
        <v/>
      </c>
      <c r="D206" s="88" t="str">
        <f>IF(B206="","",
IFERROR(VLOOKUP(B206,'Maestro Materiales'!A:C,2,FALSE),
IFERROR(VLOOKUP(B206,'Baremos actuales'!A:B,2,FALSE),
IFERROR(VLOOKUP(B206,'Baremos anteriores'!A:B,2,FALSE),
""))))</f>
        <v/>
      </c>
      <c r="E206" s="9"/>
      <c r="F206" s="89" t="str">
        <f>IF(D206="MATE",
IF(E206="","¿Unidades?",""),
IF(D206="",IF(E206="","","¿Código?"),
IF(E206="","¿Unidades?",
IF(D206="TARE",
IF(M206=$H$3,IFERROR(VLOOKUP(B206,'Baremos actuales'!A:C,3,FALSE),0),
IF(M206=$H$4,IFERROR(VLOOKUP(B206,'Baremos anteriores'!A:C,3,FALSE),0),0))))))</f>
        <v/>
      </c>
      <c r="G206" s="7"/>
      <c r="H206" s="8"/>
      <c r="I206" s="8"/>
      <c r="J206" s="78" t="str">
        <f>IF($D206="","",
IF($E206="","",
IF($D206="MATE","",
IF(VLOOKUP($B206,'Baremos actuales'!A:D,4,FALSE)=J$9,$E206*$F206,IF(VLOOKUP($B206,'Baremos anteriores'!A:D,4,FALSE)="Sin Definir",$E206*$F206,"")))))</f>
        <v/>
      </c>
      <c r="K206" s="79" t="str">
        <f>IF($D206="","",
IF($E206="","",
IF($D206="MATE","",
IF(VLOOKUP($B206,'Baremos actuales'!$A:$D,4,FALSE)=K$9,$E206*$F206,IF(VLOOKUP($B206,'Baremos anteriores'!$A:$D,4,FALSE)="Desmonte",$E206*$F206,"")))))</f>
        <v/>
      </c>
      <c r="L206" s="80" t="str">
        <f>IF($D206="","",
IF($E206="","",
IF($D206="MATE","",
IF(VLOOKUP($B206,'Baremos actuales'!$A:$D,4,FALSE)=L$9,$E206*$F206,""))))</f>
        <v/>
      </c>
      <c r="M206" s="91" t="str">
        <f t="shared" si="3"/>
        <v/>
      </c>
      <c r="N206" s="96"/>
      <c r="O206" s="95"/>
      <c r="P206" s="96"/>
      <c r="Q206" s="98"/>
    </row>
    <row r="207" spans="1:17" ht="15.75" x14ac:dyDescent="0.2">
      <c r="A207" s="17"/>
      <c r="B207" s="18"/>
      <c r="C207" s="87" t="str">
        <f>IF(B207="","",
IF(M207=$H$5,IFERROR(VLOOKUP(B207,'Baremos actuales'!A:E,5,FALSE),"No encontrado. Revisar código, fecha ejecución y/o contrato."),
IF(M207=$H$4,IFERROR(VLOOKUP(B207,'Baremos anteriores'!A:E,5,FALSE),"No encontrado. Revisar código, fecha ejecución y/o contrato."),
IF(M207=$H$3,IFERROR(VLOOKUP(B207,#REF!,5,FALSE),"No encontrado. Revisar código, fecha ejecución y/o contrato."),
IF(D207="","Código no encontrado",
IF(D207="ERROR","No encontrado. Revisar Código, fecha de ejecución y/o contrato.",
IF(D207="MATE",
IF(C206="DESCRIPCION","NO SE PUEDE COMENZAR SIN CÓDIGO DE TAREA",
IF(C206="","FALTA CÓDIGO DE TAREA",
CONCATENATE("          ",VLOOKUP(B207,'Maestro Materiales'!A:C,3,FALSE)))),IFERROR(VLOOKUP(B207,#REF!,5,FALSE),"No encontrado. Revisar código, fecha ejecución y/o contrato."))))))))</f>
        <v/>
      </c>
      <c r="D207" s="88" t="str">
        <f>IF(B207="","",
IFERROR(VLOOKUP(B207,'Maestro Materiales'!A:C,2,FALSE),
IFERROR(VLOOKUP(B207,'Baremos actuales'!A:B,2,FALSE),
IFERROR(VLOOKUP(B207,'Baremos anteriores'!A:B,2,FALSE),
""))))</f>
        <v/>
      </c>
      <c r="E207" s="9"/>
      <c r="F207" s="89" t="str">
        <f>IF(D207="MATE",
IF(E207="","¿Unidades?",""),
IF(D207="",IF(E207="","","¿Código?"),
IF(E207="","¿Unidades?",
IF(D207="TARE",
IF(M207=$H$3,IFERROR(VLOOKUP(B207,'Baremos actuales'!A:C,3,FALSE),0),
IF(M207=$H$4,IFERROR(VLOOKUP(B207,'Baremos anteriores'!A:C,3,FALSE),0),0))))))</f>
        <v/>
      </c>
      <c r="G207" s="7"/>
      <c r="H207" s="8"/>
      <c r="I207" s="8"/>
      <c r="J207" s="78" t="str">
        <f>IF($D207="","",
IF($E207="","",
IF($D207="MATE","",
IF(VLOOKUP($B207,'Baremos actuales'!A:D,4,FALSE)=J$9,$E207*$F207,IF(VLOOKUP($B207,'Baremos anteriores'!A:D,4,FALSE)="Sin Definir",$E207*$F207,"")))))</f>
        <v/>
      </c>
      <c r="K207" s="79" t="str">
        <f>IF($D207="","",
IF($E207="","",
IF($D207="MATE","",
IF(VLOOKUP($B207,'Baremos actuales'!$A:$D,4,FALSE)=K$9,$E207*$F207,IF(VLOOKUP($B207,'Baremos anteriores'!$A:$D,4,FALSE)="Desmonte",$E207*$F207,"")))))</f>
        <v/>
      </c>
      <c r="L207" s="80" t="str">
        <f>IF($D207="","",
IF($E207="","",
IF($D207="MATE","",
IF(VLOOKUP($B207,'Baremos actuales'!$A:$D,4,FALSE)=L$9,$E207*$F207,""))))</f>
        <v/>
      </c>
      <c r="M207" s="91" t="str">
        <f t="shared" si="3"/>
        <v/>
      </c>
      <c r="N207" s="96"/>
      <c r="O207" s="95"/>
      <c r="P207" s="96"/>
      <c r="Q207" s="98"/>
    </row>
    <row r="208" spans="1:17" ht="15.75" x14ac:dyDescent="0.2">
      <c r="A208" s="17"/>
      <c r="B208" s="18"/>
      <c r="C208" s="87" t="str">
        <f>IF(B208="","",
IF(M208=$H$5,IFERROR(VLOOKUP(B208,'Baremos actuales'!A:E,5,FALSE),"No encontrado. Revisar código, fecha ejecución y/o contrato."),
IF(M208=$H$4,IFERROR(VLOOKUP(B208,'Baremos anteriores'!A:E,5,FALSE),"No encontrado. Revisar código, fecha ejecución y/o contrato."),
IF(M208=$H$3,IFERROR(VLOOKUP(B208,#REF!,5,FALSE),"No encontrado. Revisar código, fecha ejecución y/o contrato."),
IF(D208="","Código no encontrado",
IF(D208="ERROR","No encontrado. Revisar Código, fecha de ejecución y/o contrato.",
IF(D208="MATE",
IF(C207="DESCRIPCION","NO SE PUEDE COMENZAR SIN CÓDIGO DE TAREA",
IF(C207="","FALTA CÓDIGO DE TAREA",
CONCATENATE("          ",VLOOKUP(B208,'Maestro Materiales'!A:C,3,FALSE)))),IFERROR(VLOOKUP(B208,#REF!,5,FALSE),"No encontrado. Revisar código, fecha ejecución y/o contrato."))))))))</f>
        <v/>
      </c>
      <c r="D208" s="88" t="str">
        <f>IF(B208="","",
IFERROR(VLOOKUP(B208,'Maestro Materiales'!A:C,2,FALSE),
IFERROR(VLOOKUP(B208,'Baremos actuales'!A:B,2,FALSE),
IFERROR(VLOOKUP(B208,'Baremos anteriores'!A:B,2,FALSE),
""))))</f>
        <v/>
      </c>
      <c r="E208" s="9"/>
      <c r="F208" s="89" t="str">
        <f>IF(D208="MATE",
IF(E208="","¿Unidades?",""),
IF(D208="",IF(E208="","","¿Código?"),
IF(E208="","¿Unidades?",
IF(D208="TARE",
IF(M208=$H$3,IFERROR(VLOOKUP(B208,'Baremos actuales'!A:C,3,FALSE),0),
IF(M208=$H$4,IFERROR(VLOOKUP(B208,'Baremos anteriores'!A:C,3,FALSE),0),0))))))</f>
        <v/>
      </c>
      <c r="G208" s="7"/>
      <c r="H208" s="8"/>
      <c r="I208" s="8"/>
      <c r="J208" s="78" t="str">
        <f>IF($D208="","",
IF($E208="","",
IF($D208="MATE","",
IF(VLOOKUP($B208,'Baremos actuales'!A:D,4,FALSE)=J$9,$E208*$F208,IF(VLOOKUP($B208,'Baremos anteriores'!A:D,4,FALSE)="Sin Definir",$E208*$F208,"")))))</f>
        <v/>
      </c>
      <c r="K208" s="79" t="str">
        <f>IF($D208="","",
IF($E208="","",
IF($D208="MATE","",
IF(VLOOKUP($B208,'Baremos actuales'!$A:$D,4,FALSE)=K$9,$E208*$F208,IF(VLOOKUP($B208,'Baremos anteriores'!$A:$D,4,FALSE)="Desmonte",$E208*$F208,"")))))</f>
        <v/>
      </c>
      <c r="L208" s="80" t="str">
        <f>IF($D208="","",
IF($E208="","",
IF($D208="MATE","",
IF(VLOOKUP($B208,'Baremos actuales'!$A:$D,4,FALSE)=L$9,$E208*$F208,""))))</f>
        <v/>
      </c>
      <c r="M208" s="91" t="str">
        <f t="shared" si="3"/>
        <v/>
      </c>
      <c r="N208" s="96"/>
      <c r="O208" s="95"/>
      <c r="P208" s="96"/>
      <c r="Q208" s="98"/>
    </row>
    <row r="209" spans="1:17" ht="15.75" x14ac:dyDescent="0.2">
      <c r="A209" s="17"/>
      <c r="B209" s="18"/>
      <c r="C209" s="87" t="str">
        <f>IF(B209="","",
IF(M209=$H$5,IFERROR(VLOOKUP(B209,'Baremos actuales'!A:E,5,FALSE),"No encontrado. Revisar código, fecha ejecución y/o contrato."),
IF(M209=$H$4,IFERROR(VLOOKUP(B209,'Baremos anteriores'!A:E,5,FALSE),"No encontrado. Revisar código, fecha ejecución y/o contrato."),
IF(M209=$H$3,IFERROR(VLOOKUP(B209,#REF!,5,FALSE),"No encontrado. Revisar código, fecha ejecución y/o contrato."),
IF(D209="","Código no encontrado",
IF(D209="ERROR","No encontrado. Revisar Código, fecha de ejecución y/o contrato.",
IF(D209="MATE",
IF(C208="DESCRIPCION","NO SE PUEDE COMENZAR SIN CÓDIGO DE TAREA",
IF(C208="","FALTA CÓDIGO DE TAREA",
CONCATENATE("          ",VLOOKUP(B209,'Maestro Materiales'!A:C,3,FALSE)))),IFERROR(VLOOKUP(B209,#REF!,5,FALSE),"No encontrado. Revisar código, fecha ejecución y/o contrato."))))))))</f>
        <v/>
      </c>
      <c r="D209" s="88" t="str">
        <f>IF(B209="","",
IFERROR(VLOOKUP(B209,'Maestro Materiales'!A:C,2,FALSE),
IFERROR(VLOOKUP(B209,'Baremos actuales'!A:B,2,FALSE),
IFERROR(VLOOKUP(B209,'Baremos anteriores'!A:B,2,FALSE),
""))))</f>
        <v/>
      </c>
      <c r="E209" s="9"/>
      <c r="F209" s="89" t="str">
        <f>IF(D209="MATE",
IF(E209="","¿Unidades?",""),
IF(D209="",IF(E209="","","¿Código?"),
IF(E209="","¿Unidades?",
IF(D209="TARE",
IF(M209=$H$3,IFERROR(VLOOKUP(B209,'Baremos actuales'!A:C,3,FALSE),0),
IF(M209=$H$4,IFERROR(VLOOKUP(B209,'Baremos anteriores'!A:C,3,FALSE),0),0))))))</f>
        <v/>
      </c>
      <c r="G209" s="7"/>
      <c r="H209" s="8"/>
      <c r="I209" s="8"/>
      <c r="J209" s="78" t="str">
        <f>IF($D209="","",
IF($E209="","",
IF($D209="MATE","",
IF(VLOOKUP($B209,'Baremos actuales'!A:D,4,FALSE)=J$9,$E209*$F209,IF(VLOOKUP($B209,'Baremos anteriores'!A:D,4,FALSE)="Sin Definir",$E209*$F209,"")))))</f>
        <v/>
      </c>
      <c r="K209" s="79" t="str">
        <f>IF($D209="","",
IF($E209="","",
IF($D209="MATE","",
IF(VLOOKUP($B209,'Baremos actuales'!$A:$D,4,FALSE)=K$9,$E209*$F209,IF(VLOOKUP($B209,'Baremos anteriores'!$A:$D,4,FALSE)="Desmonte",$E209*$F209,"")))))</f>
        <v/>
      </c>
      <c r="L209" s="80" t="str">
        <f>IF($D209="","",
IF($E209="","",
IF($D209="MATE","",
IF(VLOOKUP($B209,'Baremos actuales'!$A:$D,4,FALSE)=L$9,$E209*$F209,""))))</f>
        <v/>
      </c>
      <c r="M209" s="91" t="str">
        <f t="shared" si="3"/>
        <v/>
      </c>
      <c r="N209" s="96"/>
      <c r="O209" s="95"/>
      <c r="P209" s="96"/>
      <c r="Q209" s="98"/>
    </row>
    <row r="210" spans="1:17" ht="15.75" x14ac:dyDescent="0.2">
      <c r="A210" s="17"/>
      <c r="B210" s="18"/>
      <c r="C210" s="87" t="str">
        <f>IF(B210="","",
IF(M210=$H$5,IFERROR(VLOOKUP(B210,'Baremos actuales'!A:E,5,FALSE),"No encontrado. Revisar código, fecha ejecución y/o contrato."),
IF(M210=$H$4,IFERROR(VLOOKUP(B210,'Baremos anteriores'!A:E,5,FALSE),"No encontrado. Revisar código, fecha ejecución y/o contrato."),
IF(M210=$H$3,IFERROR(VLOOKUP(B210,#REF!,5,FALSE),"No encontrado. Revisar código, fecha ejecución y/o contrato."),
IF(D210="","Código no encontrado",
IF(D210="ERROR","No encontrado. Revisar Código, fecha de ejecución y/o contrato.",
IF(D210="MATE",
IF(C209="DESCRIPCION","NO SE PUEDE COMENZAR SIN CÓDIGO DE TAREA",
IF(C209="","FALTA CÓDIGO DE TAREA",
CONCATENATE("          ",VLOOKUP(B210,'Maestro Materiales'!A:C,3,FALSE)))),IFERROR(VLOOKUP(B210,#REF!,5,FALSE),"No encontrado. Revisar código, fecha ejecución y/o contrato."))))))))</f>
        <v/>
      </c>
      <c r="D210" s="88" t="str">
        <f>IF(B210="","",
IFERROR(VLOOKUP(B210,'Maestro Materiales'!A:C,2,FALSE),
IFERROR(VLOOKUP(B210,'Baremos actuales'!A:B,2,FALSE),
IFERROR(VLOOKUP(B210,'Baremos anteriores'!A:B,2,FALSE),
""))))</f>
        <v/>
      </c>
      <c r="E210" s="9"/>
      <c r="F210" s="89" t="str">
        <f>IF(D210="MATE",
IF(E210="","¿Unidades?",""),
IF(D210="",IF(E210="","","¿Código?"),
IF(E210="","¿Unidades?",
IF(D210="TARE",
IF(M210=$H$3,IFERROR(VLOOKUP(B210,'Baremos actuales'!A:C,3,FALSE),0),
IF(M210=$H$4,IFERROR(VLOOKUP(B210,'Baremos anteriores'!A:C,3,FALSE),0),0))))))</f>
        <v/>
      </c>
      <c r="G210" s="7"/>
      <c r="H210" s="8"/>
      <c r="I210" s="8"/>
      <c r="J210" s="78" t="str">
        <f>IF($D210="","",
IF($E210="","",
IF($D210="MATE","",
IF(VLOOKUP($B210,'Baremos actuales'!A:D,4,FALSE)=J$9,$E210*$F210,IF(VLOOKUP($B210,'Baremos anteriores'!A:D,4,FALSE)="Sin Definir",$E210*$F210,"")))))</f>
        <v/>
      </c>
      <c r="K210" s="79" t="str">
        <f>IF($D210="","",
IF($E210="","",
IF($D210="MATE","",
IF(VLOOKUP($B210,'Baremos actuales'!$A:$D,4,FALSE)=K$9,$E210*$F210,IF(VLOOKUP($B210,'Baremos anteriores'!$A:$D,4,FALSE)="Desmonte",$E210*$F210,"")))))</f>
        <v/>
      </c>
      <c r="L210" s="80" t="str">
        <f>IF($D210="","",
IF($E210="","",
IF($D210="MATE","",
IF(VLOOKUP($B210,'Baremos actuales'!$A:$D,4,FALSE)=L$9,$E210*$F210,""))))</f>
        <v/>
      </c>
      <c r="M210" s="91" t="str">
        <f t="shared" si="3"/>
        <v/>
      </c>
      <c r="N210" s="96"/>
      <c r="O210" s="95"/>
      <c r="P210" s="96"/>
      <c r="Q210" s="98"/>
    </row>
    <row r="211" spans="1:17" ht="15.75" x14ac:dyDescent="0.2">
      <c r="A211" s="17"/>
      <c r="B211" s="18"/>
      <c r="C211" s="87" t="str">
        <f>IF(B211="","",
IF(M211=$H$5,IFERROR(VLOOKUP(B211,'Baremos actuales'!A:E,5,FALSE),"No encontrado. Revisar código, fecha ejecución y/o contrato."),
IF(M211=$H$4,IFERROR(VLOOKUP(B211,'Baremos anteriores'!A:E,5,FALSE),"No encontrado. Revisar código, fecha ejecución y/o contrato."),
IF(M211=$H$3,IFERROR(VLOOKUP(B211,#REF!,5,FALSE),"No encontrado. Revisar código, fecha ejecución y/o contrato."),
IF(D211="","Código no encontrado",
IF(D211="ERROR","No encontrado. Revisar Código, fecha de ejecución y/o contrato.",
IF(D211="MATE",
IF(C210="DESCRIPCION","NO SE PUEDE COMENZAR SIN CÓDIGO DE TAREA",
IF(C210="","FALTA CÓDIGO DE TAREA",
CONCATENATE("          ",VLOOKUP(B211,'Maestro Materiales'!A:C,3,FALSE)))),IFERROR(VLOOKUP(B211,#REF!,5,FALSE),"No encontrado. Revisar código, fecha ejecución y/o contrato."))))))))</f>
        <v/>
      </c>
      <c r="D211" s="88" t="str">
        <f>IF(B211="","",
IFERROR(VLOOKUP(B211,'Maestro Materiales'!A:C,2,FALSE),
IFERROR(VLOOKUP(B211,'Baremos actuales'!A:B,2,FALSE),
IFERROR(VLOOKUP(B211,'Baremos anteriores'!A:B,2,FALSE),
""))))</f>
        <v/>
      </c>
      <c r="E211" s="9"/>
      <c r="F211" s="89" t="str">
        <f>IF(D211="MATE",
IF(E211="","¿Unidades?",""),
IF(D211="",IF(E211="","","¿Código?"),
IF(E211="","¿Unidades?",
IF(D211="TARE",
IF(M211=$H$3,IFERROR(VLOOKUP(B211,'Baremos actuales'!A:C,3,FALSE),0),
IF(M211=$H$4,IFERROR(VLOOKUP(B211,'Baremos anteriores'!A:C,3,FALSE),0),0))))))</f>
        <v/>
      </c>
      <c r="G211" s="7"/>
      <c r="H211" s="8"/>
      <c r="I211" s="8"/>
      <c r="J211" s="78" t="str">
        <f>IF($D211="","",
IF($E211="","",
IF($D211="MATE","",
IF(VLOOKUP($B211,'Baremos actuales'!A:D,4,FALSE)=J$9,$E211*$F211,IF(VLOOKUP($B211,'Baremos anteriores'!A:D,4,FALSE)="Sin Definir",$E211*$F211,"")))))</f>
        <v/>
      </c>
      <c r="K211" s="79" t="str">
        <f>IF($D211="","",
IF($E211="","",
IF($D211="MATE","",
IF(VLOOKUP($B211,'Baremos actuales'!$A:$D,4,FALSE)=K$9,$E211*$F211,IF(VLOOKUP($B211,'Baremos anteriores'!$A:$D,4,FALSE)="Desmonte",$E211*$F211,"")))))</f>
        <v/>
      </c>
      <c r="L211" s="80" t="str">
        <f>IF($D211="","",
IF($E211="","",
IF($D211="MATE","",
IF(VLOOKUP($B211,'Baremos actuales'!$A:$D,4,FALSE)=L$9,$E211*$F211,""))))</f>
        <v/>
      </c>
      <c r="M211" s="91" t="str">
        <f t="shared" si="3"/>
        <v/>
      </c>
      <c r="N211" s="96"/>
      <c r="O211" s="95"/>
      <c r="P211" s="96"/>
      <c r="Q211" s="98"/>
    </row>
    <row r="212" spans="1:17" ht="15.75" x14ac:dyDescent="0.2">
      <c r="A212" s="17"/>
      <c r="B212" s="18"/>
      <c r="C212" s="87" t="str">
        <f>IF(B212="","",
IF(M212=$H$5,IFERROR(VLOOKUP(B212,'Baremos actuales'!A:E,5,FALSE),"No encontrado. Revisar código, fecha ejecución y/o contrato."),
IF(M212=$H$4,IFERROR(VLOOKUP(B212,'Baremos anteriores'!A:E,5,FALSE),"No encontrado. Revisar código, fecha ejecución y/o contrato."),
IF(M212=$H$3,IFERROR(VLOOKUP(B212,#REF!,5,FALSE),"No encontrado. Revisar código, fecha ejecución y/o contrato."),
IF(D212="","Código no encontrado",
IF(D212="ERROR","No encontrado. Revisar Código, fecha de ejecución y/o contrato.",
IF(D212="MATE",
IF(C211="DESCRIPCION","NO SE PUEDE COMENZAR SIN CÓDIGO DE TAREA",
IF(C211="","FALTA CÓDIGO DE TAREA",
CONCATENATE("          ",VLOOKUP(B212,'Maestro Materiales'!A:C,3,FALSE)))),IFERROR(VLOOKUP(B212,#REF!,5,FALSE),"No encontrado. Revisar código, fecha ejecución y/o contrato."))))))))</f>
        <v/>
      </c>
      <c r="D212" s="88" t="str">
        <f>IF(B212="","",
IFERROR(VLOOKUP(B212,'Maestro Materiales'!A:C,2,FALSE),
IFERROR(VLOOKUP(B212,'Baremos actuales'!A:B,2,FALSE),
IFERROR(VLOOKUP(B212,'Baremos anteriores'!A:B,2,FALSE),
""))))</f>
        <v/>
      </c>
      <c r="E212" s="9"/>
      <c r="F212" s="89" t="str">
        <f>IF(D212="MATE",
IF(E212="","¿Unidades?",""),
IF(D212="",IF(E212="","","¿Código?"),
IF(E212="","¿Unidades?",
IF(D212="TARE",
IF(M212=$H$3,IFERROR(VLOOKUP(B212,'Baremos actuales'!A:C,3,FALSE),0),
IF(M212=$H$4,IFERROR(VLOOKUP(B212,'Baremos anteriores'!A:C,3,FALSE),0),0))))))</f>
        <v/>
      </c>
      <c r="G212" s="7"/>
      <c r="H212" s="8"/>
      <c r="I212" s="8"/>
      <c r="J212" s="78" t="str">
        <f>IF($D212="","",
IF($E212="","",
IF($D212="MATE","",
IF(VLOOKUP($B212,'Baremos actuales'!A:D,4,FALSE)=J$9,$E212*$F212,IF(VLOOKUP($B212,'Baremos anteriores'!A:D,4,FALSE)="Sin Definir",$E212*$F212,"")))))</f>
        <v/>
      </c>
      <c r="K212" s="79" t="str">
        <f>IF($D212="","",
IF($E212="","",
IF($D212="MATE","",
IF(VLOOKUP($B212,'Baremos actuales'!$A:$D,4,FALSE)=K$9,$E212*$F212,IF(VLOOKUP($B212,'Baremos anteriores'!$A:$D,4,FALSE)="Desmonte",$E212*$F212,"")))))</f>
        <v/>
      </c>
      <c r="L212" s="80" t="str">
        <f>IF($D212="","",
IF($E212="","",
IF($D212="MATE","",
IF(VLOOKUP($B212,'Baremos actuales'!$A:$D,4,FALSE)=L$9,$E212*$F212,""))))</f>
        <v/>
      </c>
      <c r="M212" s="91" t="str">
        <f t="shared" si="3"/>
        <v/>
      </c>
      <c r="N212" s="96"/>
      <c r="O212" s="95"/>
      <c r="P212" s="96"/>
      <c r="Q212" s="98"/>
    </row>
    <row r="213" spans="1:17" ht="15.75" x14ac:dyDescent="0.2">
      <c r="A213" s="17"/>
      <c r="B213" s="18"/>
      <c r="C213" s="87" t="str">
        <f>IF(B213="","",
IF(M213=$H$5,IFERROR(VLOOKUP(B213,'Baremos actuales'!A:E,5,FALSE),"No encontrado. Revisar código, fecha ejecución y/o contrato."),
IF(M213=$H$4,IFERROR(VLOOKUP(B213,'Baremos anteriores'!A:E,5,FALSE),"No encontrado. Revisar código, fecha ejecución y/o contrato."),
IF(M213=$H$3,IFERROR(VLOOKUP(B213,#REF!,5,FALSE),"No encontrado. Revisar código, fecha ejecución y/o contrato."),
IF(D213="","Código no encontrado",
IF(D213="ERROR","No encontrado. Revisar Código, fecha de ejecución y/o contrato.",
IF(D213="MATE",
IF(C212="DESCRIPCION","NO SE PUEDE COMENZAR SIN CÓDIGO DE TAREA",
IF(C212="","FALTA CÓDIGO DE TAREA",
CONCATENATE("          ",VLOOKUP(B213,'Maestro Materiales'!A:C,3,FALSE)))),IFERROR(VLOOKUP(B213,#REF!,5,FALSE),"No encontrado. Revisar código, fecha ejecución y/o contrato."))))))))</f>
        <v/>
      </c>
      <c r="D213" s="88" t="str">
        <f>IF(B213="","",
IFERROR(VLOOKUP(B213,'Maestro Materiales'!A:C,2,FALSE),
IFERROR(VLOOKUP(B213,'Baremos actuales'!A:B,2,FALSE),
IFERROR(VLOOKUP(B213,'Baremos anteriores'!A:B,2,FALSE),
""))))</f>
        <v/>
      </c>
      <c r="E213" s="9"/>
      <c r="F213" s="89" t="str">
        <f>IF(D213="MATE",
IF(E213="","¿Unidades?",""),
IF(D213="",IF(E213="","","¿Código?"),
IF(E213="","¿Unidades?",
IF(D213="TARE",
IF(M213=$H$3,IFERROR(VLOOKUP(B213,'Baremos actuales'!A:C,3,FALSE),0),
IF(M213=$H$4,IFERROR(VLOOKUP(B213,'Baremos anteriores'!A:C,3,FALSE),0),0))))))</f>
        <v/>
      </c>
      <c r="G213" s="7"/>
      <c r="H213" s="8"/>
      <c r="I213" s="8"/>
      <c r="J213" s="78" t="str">
        <f>IF($D213="","",
IF($E213="","",
IF($D213="MATE","",
IF(VLOOKUP($B213,'Baremos actuales'!A:D,4,FALSE)=J$9,$E213*$F213,IF(VLOOKUP($B213,'Baremos anteriores'!A:D,4,FALSE)="Sin Definir",$E213*$F213,"")))))</f>
        <v/>
      </c>
      <c r="K213" s="79" t="str">
        <f>IF($D213="","",
IF($E213="","",
IF($D213="MATE","",
IF(VLOOKUP($B213,'Baremos actuales'!$A:$D,4,FALSE)=K$9,$E213*$F213,IF(VLOOKUP($B213,'Baremos anteriores'!$A:$D,4,FALSE)="Desmonte",$E213*$F213,"")))))</f>
        <v/>
      </c>
      <c r="L213" s="80" t="str">
        <f>IF($D213="","",
IF($E213="","",
IF($D213="MATE","",
IF(VLOOKUP($B213,'Baremos actuales'!$A:$D,4,FALSE)=L$9,$E213*$F213,""))))</f>
        <v/>
      </c>
      <c r="M213" s="91" t="str">
        <f t="shared" si="3"/>
        <v/>
      </c>
      <c r="N213" s="96"/>
      <c r="O213" s="95"/>
      <c r="P213" s="96"/>
      <c r="Q213" s="98"/>
    </row>
    <row r="214" spans="1:17" ht="15.75" x14ac:dyDescent="0.2">
      <c r="A214" s="17"/>
      <c r="B214" s="18"/>
      <c r="C214" s="87" t="str">
        <f>IF(B214="","",
IF(M214=$H$5,IFERROR(VLOOKUP(B214,'Baremos actuales'!A:E,5,FALSE),"No encontrado. Revisar código, fecha ejecución y/o contrato."),
IF(M214=$H$4,IFERROR(VLOOKUP(B214,'Baremos anteriores'!A:E,5,FALSE),"No encontrado. Revisar código, fecha ejecución y/o contrato."),
IF(M214=$H$3,IFERROR(VLOOKUP(B214,#REF!,5,FALSE),"No encontrado. Revisar código, fecha ejecución y/o contrato."),
IF(D214="","Código no encontrado",
IF(D214="ERROR","No encontrado. Revisar Código, fecha de ejecución y/o contrato.",
IF(D214="MATE",
IF(C213="DESCRIPCION","NO SE PUEDE COMENZAR SIN CÓDIGO DE TAREA",
IF(C213="","FALTA CÓDIGO DE TAREA",
CONCATENATE("          ",VLOOKUP(B214,'Maestro Materiales'!A:C,3,FALSE)))),IFERROR(VLOOKUP(B214,#REF!,5,FALSE),"No encontrado. Revisar código, fecha ejecución y/o contrato."))))))))</f>
        <v/>
      </c>
      <c r="D214" s="88" t="str">
        <f>IF(B214="","",
IFERROR(VLOOKUP(B214,'Maestro Materiales'!A:C,2,FALSE),
IFERROR(VLOOKUP(B214,'Baremos actuales'!A:B,2,FALSE),
IFERROR(VLOOKUP(B214,'Baremos anteriores'!A:B,2,FALSE),
""))))</f>
        <v/>
      </c>
      <c r="E214" s="9"/>
      <c r="F214" s="89" t="str">
        <f>IF(D214="MATE",
IF(E214="","¿Unidades?",""),
IF(D214="",IF(E214="","","¿Código?"),
IF(E214="","¿Unidades?",
IF(D214="TARE",
IF(M214=$H$3,IFERROR(VLOOKUP(B214,'Baremos actuales'!A:C,3,FALSE),0),
IF(M214=$H$4,IFERROR(VLOOKUP(B214,'Baremos anteriores'!A:C,3,FALSE),0),0))))))</f>
        <v/>
      </c>
      <c r="G214" s="7"/>
      <c r="H214" s="8"/>
      <c r="I214" s="8"/>
      <c r="J214" s="78" t="str">
        <f>IF($D214="","",
IF($E214="","",
IF($D214="MATE","",
IF(VLOOKUP($B214,'Baremos actuales'!A:D,4,FALSE)=J$9,$E214*$F214,IF(VLOOKUP($B214,'Baremos anteriores'!A:D,4,FALSE)="Sin Definir",$E214*$F214,"")))))</f>
        <v/>
      </c>
      <c r="K214" s="79" t="str">
        <f>IF($D214="","",
IF($E214="","",
IF($D214="MATE","",
IF(VLOOKUP($B214,'Baremos actuales'!$A:$D,4,FALSE)=K$9,$E214*$F214,IF(VLOOKUP($B214,'Baremos anteriores'!$A:$D,4,FALSE)="Desmonte",$E214*$F214,"")))))</f>
        <v/>
      </c>
      <c r="L214" s="80" t="str">
        <f>IF($D214="","",
IF($E214="","",
IF($D214="MATE","",
IF(VLOOKUP($B214,'Baremos actuales'!$A:$D,4,FALSE)=L$9,$E214*$F214,""))))</f>
        <v/>
      </c>
      <c r="M214" s="91" t="str">
        <f t="shared" si="3"/>
        <v/>
      </c>
      <c r="N214" s="96"/>
      <c r="O214" s="95"/>
      <c r="P214" s="96"/>
      <c r="Q214" s="98"/>
    </row>
    <row r="215" spans="1:17" ht="15.75" x14ac:dyDescent="0.2">
      <c r="A215" s="17"/>
      <c r="B215" s="18"/>
      <c r="C215" s="87" t="str">
        <f>IF(B215="","",
IF(M215=$H$5,IFERROR(VLOOKUP(B215,'Baremos actuales'!A:E,5,FALSE),"No encontrado. Revisar código, fecha ejecución y/o contrato."),
IF(M215=$H$4,IFERROR(VLOOKUP(B215,'Baremos anteriores'!A:E,5,FALSE),"No encontrado. Revisar código, fecha ejecución y/o contrato."),
IF(M215=$H$3,IFERROR(VLOOKUP(B215,#REF!,5,FALSE),"No encontrado. Revisar código, fecha ejecución y/o contrato."),
IF(D215="","Código no encontrado",
IF(D215="ERROR","No encontrado. Revisar Código, fecha de ejecución y/o contrato.",
IF(D215="MATE",
IF(C214="DESCRIPCION","NO SE PUEDE COMENZAR SIN CÓDIGO DE TAREA",
IF(C214="","FALTA CÓDIGO DE TAREA",
CONCATENATE("          ",VLOOKUP(B215,'Maestro Materiales'!A:C,3,FALSE)))),IFERROR(VLOOKUP(B215,#REF!,5,FALSE),"No encontrado. Revisar código, fecha ejecución y/o contrato."))))))))</f>
        <v/>
      </c>
      <c r="D215" s="88" t="str">
        <f>IF(B215="","",
IFERROR(VLOOKUP(B215,'Maestro Materiales'!A:C,2,FALSE),
IFERROR(VLOOKUP(B215,'Baremos actuales'!A:B,2,FALSE),
IFERROR(VLOOKUP(B215,'Baremos anteriores'!A:B,2,FALSE),
""))))</f>
        <v/>
      </c>
      <c r="E215" s="9"/>
      <c r="F215" s="89" t="str">
        <f>IF(D215="MATE",
IF(E215="","¿Unidades?",""),
IF(D215="",IF(E215="","","¿Código?"),
IF(E215="","¿Unidades?",
IF(D215="TARE",
IF(M215=$H$3,IFERROR(VLOOKUP(B215,'Baremos actuales'!A:C,3,FALSE),0),
IF(M215=$H$4,IFERROR(VLOOKUP(B215,'Baremos anteriores'!A:C,3,FALSE),0),0))))))</f>
        <v/>
      </c>
      <c r="G215" s="7"/>
      <c r="H215" s="8"/>
      <c r="I215" s="8"/>
      <c r="J215" s="78" t="str">
        <f>IF($D215="","",
IF($E215="","",
IF($D215="MATE","",
IF(VLOOKUP($B215,'Baremos actuales'!A:D,4,FALSE)=J$9,$E215*$F215,IF(VLOOKUP($B215,'Baremos anteriores'!A:D,4,FALSE)="Sin Definir",$E215*$F215,"")))))</f>
        <v/>
      </c>
      <c r="K215" s="79" t="str">
        <f>IF($D215="","",
IF($E215="","",
IF($D215="MATE","",
IF(VLOOKUP($B215,'Baremos actuales'!$A:$D,4,FALSE)=K$9,$E215*$F215,IF(VLOOKUP($B215,'Baremos anteriores'!$A:$D,4,FALSE)="Desmonte",$E215*$F215,"")))))</f>
        <v/>
      </c>
      <c r="L215" s="80" t="str">
        <f>IF($D215="","",
IF($E215="","",
IF($D215="MATE","",
IF(VLOOKUP($B215,'Baremos actuales'!$A:$D,4,FALSE)=L$9,$E215*$F215,""))))</f>
        <v/>
      </c>
      <c r="M215" s="91" t="str">
        <f t="shared" si="3"/>
        <v/>
      </c>
      <c r="N215" s="96"/>
      <c r="O215" s="95"/>
      <c r="P215" s="96"/>
      <c r="Q215" s="98"/>
    </row>
    <row r="216" spans="1:17" ht="15.75" x14ac:dyDescent="0.2">
      <c r="A216" s="17"/>
      <c r="B216" s="18"/>
      <c r="C216" s="87" t="str">
        <f>IF(B216="","",
IF(M216=$H$5,IFERROR(VLOOKUP(B216,'Baremos actuales'!A:E,5,FALSE),"No encontrado. Revisar código, fecha ejecución y/o contrato."),
IF(M216=$H$4,IFERROR(VLOOKUP(B216,'Baremos anteriores'!A:E,5,FALSE),"No encontrado. Revisar código, fecha ejecución y/o contrato."),
IF(M216=$H$3,IFERROR(VLOOKUP(B216,#REF!,5,FALSE),"No encontrado. Revisar código, fecha ejecución y/o contrato."),
IF(D216="","Código no encontrado",
IF(D216="ERROR","No encontrado. Revisar Código, fecha de ejecución y/o contrato.",
IF(D216="MATE",
IF(C215="DESCRIPCION","NO SE PUEDE COMENZAR SIN CÓDIGO DE TAREA",
IF(C215="","FALTA CÓDIGO DE TAREA",
CONCATENATE("          ",VLOOKUP(B216,'Maestro Materiales'!A:C,3,FALSE)))),IFERROR(VLOOKUP(B216,#REF!,5,FALSE),"No encontrado. Revisar código, fecha ejecución y/o contrato."))))))))</f>
        <v/>
      </c>
      <c r="D216" s="88" t="str">
        <f>IF(B216="","",
IFERROR(VLOOKUP(B216,'Maestro Materiales'!A:C,2,FALSE),
IFERROR(VLOOKUP(B216,'Baremos actuales'!A:B,2,FALSE),
IFERROR(VLOOKUP(B216,'Baremos anteriores'!A:B,2,FALSE),
""))))</f>
        <v/>
      </c>
      <c r="E216" s="9"/>
      <c r="F216" s="89" t="str">
        <f>IF(D216="MATE",
IF(E216="","¿Unidades?",""),
IF(D216="",IF(E216="","","¿Código?"),
IF(E216="","¿Unidades?",
IF(D216="TARE",
IF(M216=$H$3,IFERROR(VLOOKUP(B216,'Baremos actuales'!A:C,3,FALSE),0),
IF(M216=$H$4,IFERROR(VLOOKUP(B216,'Baremos anteriores'!A:C,3,FALSE),0),0))))))</f>
        <v/>
      </c>
      <c r="G216" s="7"/>
      <c r="H216" s="8"/>
      <c r="I216" s="8"/>
      <c r="J216" s="78" t="str">
        <f>IF($D216="","",
IF($E216="","",
IF($D216="MATE","",
IF(VLOOKUP($B216,'Baremos actuales'!A:D,4,FALSE)=J$9,$E216*$F216,IF(VLOOKUP($B216,'Baremos anteriores'!A:D,4,FALSE)="Sin Definir",$E216*$F216,"")))))</f>
        <v/>
      </c>
      <c r="K216" s="79" t="str">
        <f>IF($D216="","",
IF($E216="","",
IF($D216="MATE","",
IF(VLOOKUP($B216,'Baremos actuales'!$A:$D,4,FALSE)=K$9,$E216*$F216,IF(VLOOKUP($B216,'Baremos anteriores'!$A:$D,4,FALSE)="Desmonte",$E216*$F216,"")))))</f>
        <v/>
      </c>
      <c r="L216" s="80" t="str">
        <f>IF($D216="","",
IF($E216="","",
IF($D216="MATE","",
IF(VLOOKUP($B216,'Baremos actuales'!$A:$D,4,FALSE)=L$9,$E216*$F216,""))))</f>
        <v/>
      </c>
      <c r="M216" s="91" t="str">
        <f t="shared" si="3"/>
        <v/>
      </c>
      <c r="N216" s="96"/>
      <c r="O216" s="95"/>
      <c r="P216" s="96"/>
      <c r="Q216" s="98"/>
    </row>
    <row r="217" spans="1:17" ht="15.75" x14ac:dyDescent="0.2">
      <c r="A217" s="17"/>
      <c r="B217" s="18"/>
      <c r="C217" s="87" t="str">
        <f>IF(B217="","",
IF(M217=$H$5,IFERROR(VLOOKUP(B217,'Baremos actuales'!A:E,5,FALSE),"No encontrado. Revisar código, fecha ejecución y/o contrato."),
IF(M217=$H$4,IFERROR(VLOOKUP(B217,'Baremos anteriores'!A:E,5,FALSE),"No encontrado. Revisar código, fecha ejecución y/o contrato."),
IF(M217=$H$3,IFERROR(VLOOKUP(B217,#REF!,5,FALSE),"No encontrado. Revisar código, fecha ejecución y/o contrato."),
IF(D217="","Código no encontrado",
IF(D217="ERROR","No encontrado. Revisar Código, fecha de ejecución y/o contrato.",
IF(D217="MATE",
IF(C216="DESCRIPCION","NO SE PUEDE COMENZAR SIN CÓDIGO DE TAREA",
IF(C216="","FALTA CÓDIGO DE TAREA",
CONCATENATE("          ",VLOOKUP(B217,'Maestro Materiales'!A:C,3,FALSE)))),IFERROR(VLOOKUP(B217,#REF!,5,FALSE),"No encontrado. Revisar código, fecha ejecución y/o contrato."))))))))</f>
        <v/>
      </c>
      <c r="D217" s="88" t="str">
        <f>IF(B217="","",
IFERROR(VLOOKUP(B217,'Maestro Materiales'!A:C,2,FALSE),
IFERROR(VLOOKUP(B217,'Baremos actuales'!A:B,2,FALSE),
IFERROR(VLOOKUP(B217,'Baremos anteriores'!A:B,2,FALSE),
""))))</f>
        <v/>
      </c>
      <c r="E217" s="9"/>
      <c r="F217" s="89" t="str">
        <f>IF(D217="MATE",
IF(E217="","¿Unidades?",""),
IF(D217="",IF(E217="","","¿Código?"),
IF(E217="","¿Unidades?",
IF(D217="TARE",
IF(M217=$H$3,IFERROR(VLOOKUP(B217,'Baremos actuales'!A:C,3,FALSE),0),
IF(M217=$H$4,IFERROR(VLOOKUP(B217,'Baremos anteriores'!A:C,3,FALSE),0),0))))))</f>
        <v/>
      </c>
      <c r="G217" s="7"/>
      <c r="H217" s="8"/>
      <c r="I217" s="8"/>
      <c r="J217" s="78" t="str">
        <f>IF($D217="","",
IF($E217="","",
IF($D217="MATE","",
IF(VLOOKUP($B217,'Baremos actuales'!A:D,4,FALSE)=J$9,$E217*$F217,IF(VLOOKUP($B217,'Baremos anteriores'!A:D,4,FALSE)="Sin Definir",$E217*$F217,"")))))</f>
        <v/>
      </c>
      <c r="K217" s="79" t="str">
        <f>IF($D217="","",
IF($E217="","",
IF($D217="MATE","",
IF(VLOOKUP($B217,'Baremos actuales'!$A:$D,4,FALSE)=K$9,$E217*$F217,IF(VLOOKUP($B217,'Baremos anteriores'!$A:$D,4,FALSE)="Desmonte",$E217*$F217,"")))))</f>
        <v/>
      </c>
      <c r="L217" s="80" t="str">
        <f>IF($D217="","",
IF($E217="","",
IF($D217="MATE","",
IF(VLOOKUP($B217,'Baremos actuales'!$A:$D,4,FALSE)=L$9,$E217*$F217,""))))</f>
        <v/>
      </c>
      <c r="M217" s="91" t="str">
        <f t="shared" si="3"/>
        <v/>
      </c>
      <c r="N217" s="96"/>
      <c r="O217" s="95"/>
      <c r="P217" s="96"/>
      <c r="Q217" s="98"/>
    </row>
    <row r="218" spans="1:17" ht="15.75" x14ac:dyDescent="0.2">
      <c r="A218" s="17"/>
      <c r="B218" s="18"/>
      <c r="C218" s="87" t="str">
        <f>IF(B218="","",
IF(M218=$H$5,IFERROR(VLOOKUP(B218,'Baremos actuales'!A:E,5,FALSE),"No encontrado. Revisar código, fecha ejecución y/o contrato."),
IF(M218=$H$4,IFERROR(VLOOKUP(B218,'Baremos anteriores'!A:E,5,FALSE),"No encontrado. Revisar código, fecha ejecución y/o contrato."),
IF(M218=$H$3,IFERROR(VLOOKUP(B218,#REF!,5,FALSE),"No encontrado. Revisar código, fecha ejecución y/o contrato."),
IF(D218="","Código no encontrado",
IF(D218="ERROR","No encontrado. Revisar Código, fecha de ejecución y/o contrato.",
IF(D218="MATE",
IF(C217="DESCRIPCION","NO SE PUEDE COMENZAR SIN CÓDIGO DE TAREA",
IF(C217="","FALTA CÓDIGO DE TAREA",
CONCATENATE("          ",VLOOKUP(B218,'Maestro Materiales'!A:C,3,FALSE)))),IFERROR(VLOOKUP(B218,#REF!,5,FALSE),"No encontrado. Revisar código, fecha ejecución y/o contrato."))))))))</f>
        <v/>
      </c>
      <c r="D218" s="88" t="str">
        <f>IF(B218="","",
IFERROR(VLOOKUP(B218,'Maestro Materiales'!A:C,2,FALSE),
IFERROR(VLOOKUP(B218,'Baremos actuales'!A:B,2,FALSE),
IFERROR(VLOOKUP(B218,'Baremos anteriores'!A:B,2,FALSE),
""))))</f>
        <v/>
      </c>
      <c r="E218" s="9"/>
      <c r="F218" s="89" t="str">
        <f>IF(D218="MATE",
IF(E218="","¿Unidades?",""),
IF(D218="",IF(E218="","","¿Código?"),
IF(E218="","¿Unidades?",
IF(D218="TARE",
IF(M218=$H$3,IFERROR(VLOOKUP(B218,'Baremos actuales'!A:C,3,FALSE),0),
IF(M218=$H$4,IFERROR(VLOOKUP(B218,'Baremos anteriores'!A:C,3,FALSE),0),0))))))</f>
        <v/>
      </c>
      <c r="G218" s="7"/>
      <c r="H218" s="8"/>
      <c r="I218" s="8"/>
      <c r="J218" s="78" t="str">
        <f>IF($D218="","",
IF($E218="","",
IF($D218="MATE","",
IF(VLOOKUP($B218,'Baremos actuales'!A:D,4,FALSE)=J$9,$E218*$F218,IF(VLOOKUP($B218,'Baremos anteriores'!A:D,4,FALSE)="Sin Definir",$E218*$F218,"")))))</f>
        <v/>
      </c>
      <c r="K218" s="79" t="str">
        <f>IF($D218="","",
IF($E218="","",
IF($D218="MATE","",
IF(VLOOKUP($B218,'Baremos actuales'!$A:$D,4,FALSE)=K$9,$E218*$F218,IF(VLOOKUP($B218,'Baremos anteriores'!$A:$D,4,FALSE)="Desmonte",$E218*$F218,"")))))</f>
        <v/>
      </c>
      <c r="L218" s="80" t="str">
        <f>IF($D218="","",
IF($E218="","",
IF($D218="MATE","",
IF(VLOOKUP($B218,'Baremos actuales'!$A:$D,4,FALSE)=L$9,$E218*$F218,""))))</f>
        <v/>
      </c>
      <c r="M218" s="91" t="str">
        <f t="shared" si="3"/>
        <v/>
      </c>
      <c r="N218" s="96"/>
      <c r="O218" s="95"/>
      <c r="P218" s="96"/>
      <c r="Q218" s="98"/>
    </row>
    <row r="219" spans="1:17" ht="15.75" x14ac:dyDescent="0.2">
      <c r="A219" s="17"/>
      <c r="B219" s="18"/>
      <c r="C219" s="87" t="str">
        <f>IF(B219="","",
IF(M219=$H$5,IFERROR(VLOOKUP(B219,'Baremos actuales'!A:E,5,FALSE),"No encontrado. Revisar código, fecha ejecución y/o contrato."),
IF(M219=$H$4,IFERROR(VLOOKUP(B219,'Baremos anteriores'!A:E,5,FALSE),"No encontrado. Revisar código, fecha ejecución y/o contrato."),
IF(M219=$H$3,IFERROR(VLOOKUP(B219,#REF!,5,FALSE),"No encontrado. Revisar código, fecha ejecución y/o contrato."),
IF(D219="","Código no encontrado",
IF(D219="ERROR","No encontrado. Revisar Código, fecha de ejecución y/o contrato.",
IF(D219="MATE",
IF(C218="DESCRIPCION","NO SE PUEDE COMENZAR SIN CÓDIGO DE TAREA",
IF(C218="","FALTA CÓDIGO DE TAREA",
CONCATENATE("          ",VLOOKUP(B219,'Maestro Materiales'!A:C,3,FALSE)))),IFERROR(VLOOKUP(B219,#REF!,5,FALSE),"No encontrado. Revisar código, fecha ejecución y/o contrato."))))))))</f>
        <v/>
      </c>
      <c r="D219" s="88" t="str">
        <f>IF(B219="","",
IFERROR(VLOOKUP(B219,'Maestro Materiales'!A:C,2,FALSE),
IFERROR(VLOOKUP(B219,'Baremos actuales'!A:B,2,FALSE),
IFERROR(VLOOKUP(B219,'Baremos anteriores'!A:B,2,FALSE),
""))))</f>
        <v/>
      </c>
      <c r="E219" s="9"/>
      <c r="F219" s="89" t="str">
        <f>IF(D219="MATE",
IF(E219="","¿Unidades?",""),
IF(D219="",IF(E219="","","¿Código?"),
IF(E219="","¿Unidades?",
IF(D219="TARE",
IF(M219=$H$3,IFERROR(VLOOKUP(B219,'Baremos actuales'!A:C,3,FALSE),0),
IF(M219=$H$4,IFERROR(VLOOKUP(B219,'Baremos anteriores'!A:C,3,FALSE),0),0))))))</f>
        <v/>
      </c>
      <c r="G219" s="7"/>
      <c r="H219" s="8"/>
      <c r="I219" s="8"/>
      <c r="J219" s="78" t="str">
        <f>IF($D219="","",
IF($E219="","",
IF($D219="MATE","",
IF(VLOOKUP($B219,'Baremos actuales'!A:D,4,FALSE)=J$9,$E219*$F219,IF(VLOOKUP($B219,'Baremos anteriores'!A:D,4,FALSE)="Sin Definir",$E219*$F219,"")))))</f>
        <v/>
      </c>
      <c r="K219" s="79" t="str">
        <f>IF($D219="","",
IF($E219="","",
IF($D219="MATE","",
IF(VLOOKUP($B219,'Baremos actuales'!$A:$D,4,FALSE)=K$9,$E219*$F219,IF(VLOOKUP($B219,'Baremos anteriores'!$A:$D,4,FALSE)="Desmonte",$E219*$F219,"")))))</f>
        <v/>
      </c>
      <c r="L219" s="80" t="str">
        <f>IF($D219="","",
IF($E219="","",
IF($D219="MATE","",
IF(VLOOKUP($B219,'Baremos actuales'!$A:$D,4,FALSE)=L$9,$E219*$F219,""))))</f>
        <v/>
      </c>
      <c r="M219" s="91" t="str">
        <f t="shared" si="3"/>
        <v/>
      </c>
      <c r="N219" s="96"/>
      <c r="O219" s="95"/>
      <c r="P219" s="96"/>
      <c r="Q219" s="98"/>
    </row>
    <row r="220" spans="1:17" ht="15.75" x14ac:dyDescent="0.2">
      <c r="A220" s="17"/>
      <c r="B220" s="18"/>
      <c r="C220" s="87" t="str">
        <f>IF(B220="","",
IF(M220=$H$5,IFERROR(VLOOKUP(B220,'Baremos actuales'!A:E,5,FALSE),"No encontrado. Revisar código, fecha ejecución y/o contrato."),
IF(M220=$H$4,IFERROR(VLOOKUP(B220,'Baremos anteriores'!A:E,5,FALSE),"No encontrado. Revisar código, fecha ejecución y/o contrato."),
IF(M220=$H$3,IFERROR(VLOOKUP(B220,#REF!,5,FALSE),"No encontrado. Revisar código, fecha ejecución y/o contrato."),
IF(D220="","Código no encontrado",
IF(D220="ERROR","No encontrado. Revisar Código, fecha de ejecución y/o contrato.",
IF(D220="MATE",
IF(C219="DESCRIPCION","NO SE PUEDE COMENZAR SIN CÓDIGO DE TAREA",
IF(C219="","FALTA CÓDIGO DE TAREA",
CONCATENATE("          ",VLOOKUP(B220,'Maestro Materiales'!A:C,3,FALSE)))),IFERROR(VLOOKUP(B220,#REF!,5,FALSE),"No encontrado. Revisar código, fecha ejecución y/o contrato."))))))))</f>
        <v/>
      </c>
      <c r="D220" s="88" t="str">
        <f>IF(B220="","",
IFERROR(VLOOKUP(B220,'Maestro Materiales'!A:C,2,FALSE),
IFERROR(VLOOKUP(B220,'Baremos actuales'!A:B,2,FALSE),
IFERROR(VLOOKUP(B220,'Baremos anteriores'!A:B,2,FALSE),
""))))</f>
        <v/>
      </c>
      <c r="E220" s="9"/>
      <c r="F220" s="89" t="str">
        <f>IF(D220="MATE",
IF(E220="","¿Unidades?",""),
IF(D220="",IF(E220="","","¿Código?"),
IF(E220="","¿Unidades?",
IF(D220="TARE",
IF(M220=$H$3,IFERROR(VLOOKUP(B220,'Baremos actuales'!A:C,3,FALSE),0),
IF(M220=$H$4,IFERROR(VLOOKUP(B220,'Baremos anteriores'!A:C,3,FALSE),0),0))))))</f>
        <v/>
      </c>
      <c r="G220" s="7"/>
      <c r="H220" s="8"/>
      <c r="I220" s="8"/>
      <c r="J220" s="78" t="str">
        <f>IF($D220="","",
IF($E220="","",
IF($D220="MATE","",
IF(VLOOKUP($B220,'Baremos actuales'!A:D,4,FALSE)=J$9,$E220*$F220,IF(VLOOKUP($B220,'Baremos anteriores'!A:D,4,FALSE)="Sin Definir",$E220*$F220,"")))))</f>
        <v/>
      </c>
      <c r="K220" s="79" t="str">
        <f>IF($D220="","",
IF($E220="","",
IF($D220="MATE","",
IF(VLOOKUP($B220,'Baremos actuales'!$A:$D,4,FALSE)=K$9,$E220*$F220,IF(VLOOKUP($B220,'Baremos anteriores'!$A:$D,4,FALSE)="Desmonte",$E220*$F220,"")))))</f>
        <v/>
      </c>
      <c r="L220" s="80" t="str">
        <f>IF($D220="","",
IF($E220="","",
IF($D220="MATE","",
IF(VLOOKUP($B220,'Baremos actuales'!$A:$D,4,FALSE)=L$9,$E220*$F220,""))))</f>
        <v/>
      </c>
      <c r="M220" s="91" t="str">
        <f t="shared" si="3"/>
        <v/>
      </c>
      <c r="N220" s="96"/>
      <c r="O220" s="95"/>
      <c r="P220" s="96"/>
      <c r="Q220" s="98"/>
    </row>
    <row r="221" spans="1:17" ht="15.75" x14ac:dyDescent="0.2">
      <c r="A221" s="17"/>
      <c r="B221" s="18"/>
      <c r="C221" s="87" t="str">
        <f>IF(B221="","",
IF(M221=$H$5,IFERROR(VLOOKUP(B221,'Baremos actuales'!A:E,5,FALSE),"No encontrado. Revisar código, fecha ejecución y/o contrato."),
IF(M221=$H$4,IFERROR(VLOOKUP(B221,'Baremos anteriores'!A:E,5,FALSE),"No encontrado. Revisar código, fecha ejecución y/o contrato."),
IF(M221=$H$3,IFERROR(VLOOKUP(B221,#REF!,5,FALSE),"No encontrado. Revisar código, fecha ejecución y/o contrato."),
IF(D221="","Código no encontrado",
IF(D221="ERROR","No encontrado. Revisar Código, fecha de ejecución y/o contrato.",
IF(D221="MATE",
IF(C220="DESCRIPCION","NO SE PUEDE COMENZAR SIN CÓDIGO DE TAREA",
IF(C220="","FALTA CÓDIGO DE TAREA",
CONCATENATE("          ",VLOOKUP(B221,'Maestro Materiales'!A:C,3,FALSE)))),IFERROR(VLOOKUP(B221,#REF!,5,FALSE),"No encontrado. Revisar código, fecha ejecución y/o contrato."))))))))</f>
        <v/>
      </c>
      <c r="D221" s="88" t="str">
        <f>IF(B221="","",
IFERROR(VLOOKUP(B221,'Maestro Materiales'!A:C,2,FALSE),
IFERROR(VLOOKUP(B221,'Baremos actuales'!A:B,2,FALSE),
IFERROR(VLOOKUP(B221,'Baremos anteriores'!A:B,2,FALSE),
""))))</f>
        <v/>
      </c>
      <c r="E221" s="9"/>
      <c r="F221" s="89" t="str">
        <f>IF(D221="MATE",
IF(E221="","¿Unidades?",""),
IF(D221="",IF(E221="","","¿Código?"),
IF(E221="","¿Unidades?",
IF(D221="TARE",
IF(M221=$H$3,IFERROR(VLOOKUP(B221,'Baremos actuales'!A:C,3,FALSE),0),
IF(M221=$H$4,IFERROR(VLOOKUP(B221,'Baremos anteriores'!A:C,3,FALSE),0),0))))))</f>
        <v/>
      </c>
      <c r="G221" s="7"/>
      <c r="H221" s="8"/>
      <c r="I221" s="8"/>
      <c r="J221" s="78" t="str">
        <f>IF($D221="","",
IF($E221="","",
IF($D221="MATE","",
IF(VLOOKUP($B221,'Baremos actuales'!A:D,4,FALSE)=J$9,$E221*$F221,IF(VLOOKUP($B221,'Baremos anteriores'!A:D,4,FALSE)="Sin Definir",$E221*$F221,"")))))</f>
        <v/>
      </c>
      <c r="K221" s="79" t="str">
        <f>IF($D221="","",
IF($E221="","",
IF($D221="MATE","",
IF(VLOOKUP($B221,'Baremos actuales'!$A:$D,4,FALSE)=K$9,$E221*$F221,IF(VLOOKUP($B221,'Baremos anteriores'!$A:$D,4,FALSE)="Desmonte",$E221*$F221,"")))))</f>
        <v/>
      </c>
      <c r="L221" s="80" t="str">
        <f>IF($D221="","",
IF($E221="","",
IF($D221="MATE","",
IF(VLOOKUP($B221,'Baremos actuales'!$A:$D,4,FALSE)=L$9,$E221*$F221,""))))</f>
        <v/>
      </c>
      <c r="M221" s="91" t="str">
        <f t="shared" si="3"/>
        <v/>
      </c>
      <c r="N221" s="96"/>
      <c r="O221" s="95"/>
      <c r="P221" s="96"/>
      <c r="Q221" s="98"/>
    </row>
    <row r="222" spans="1:17" ht="15.75" x14ac:dyDescent="0.2">
      <c r="A222" s="17"/>
      <c r="B222" s="18"/>
      <c r="C222" s="87" t="str">
        <f>IF(B222="","",
IF(M222=$H$5,IFERROR(VLOOKUP(B222,'Baremos actuales'!A:E,5,FALSE),"No encontrado. Revisar código, fecha ejecución y/o contrato."),
IF(M222=$H$4,IFERROR(VLOOKUP(B222,'Baremos anteriores'!A:E,5,FALSE),"No encontrado. Revisar código, fecha ejecución y/o contrato."),
IF(M222=$H$3,IFERROR(VLOOKUP(B222,#REF!,5,FALSE),"No encontrado. Revisar código, fecha ejecución y/o contrato."),
IF(D222="","Código no encontrado",
IF(D222="ERROR","No encontrado. Revisar Código, fecha de ejecución y/o contrato.",
IF(D222="MATE",
IF(C221="DESCRIPCION","NO SE PUEDE COMENZAR SIN CÓDIGO DE TAREA",
IF(C221="","FALTA CÓDIGO DE TAREA",
CONCATENATE("          ",VLOOKUP(B222,'Maestro Materiales'!A:C,3,FALSE)))),IFERROR(VLOOKUP(B222,#REF!,5,FALSE),"No encontrado. Revisar código, fecha ejecución y/o contrato."))))))))</f>
        <v/>
      </c>
      <c r="D222" s="88" t="str">
        <f>IF(B222="","",
IFERROR(VLOOKUP(B222,'Maestro Materiales'!A:C,2,FALSE),
IFERROR(VLOOKUP(B222,'Baremos actuales'!A:B,2,FALSE),
IFERROR(VLOOKUP(B222,'Baremos anteriores'!A:B,2,FALSE),
""))))</f>
        <v/>
      </c>
      <c r="E222" s="9"/>
      <c r="F222" s="89" t="str">
        <f>IF(D222="MATE",
IF(E222="","¿Unidades?",""),
IF(D222="",IF(E222="","","¿Código?"),
IF(E222="","¿Unidades?",
IF(D222="TARE",
IF(M222=$H$3,IFERROR(VLOOKUP(B222,'Baremos actuales'!A:C,3,FALSE),0),
IF(M222=$H$4,IFERROR(VLOOKUP(B222,'Baremos anteriores'!A:C,3,FALSE),0),0))))))</f>
        <v/>
      </c>
      <c r="G222" s="7"/>
      <c r="H222" s="8"/>
      <c r="I222" s="8"/>
      <c r="J222" s="78" t="str">
        <f>IF($D222="","",
IF($E222="","",
IF($D222="MATE","",
IF(VLOOKUP($B222,'Baremos actuales'!A:D,4,FALSE)=J$9,$E222*$F222,IF(VLOOKUP($B222,'Baremos anteriores'!A:D,4,FALSE)="Sin Definir",$E222*$F222,"")))))</f>
        <v/>
      </c>
      <c r="K222" s="79" t="str">
        <f>IF($D222="","",
IF($E222="","",
IF($D222="MATE","",
IF(VLOOKUP($B222,'Baremos actuales'!$A:$D,4,FALSE)=K$9,$E222*$F222,IF(VLOOKUP($B222,'Baremos anteriores'!$A:$D,4,FALSE)="Desmonte",$E222*$F222,"")))))</f>
        <v/>
      </c>
      <c r="L222" s="80" t="str">
        <f>IF($D222="","",
IF($E222="","",
IF($D222="MATE","",
IF(VLOOKUP($B222,'Baremos actuales'!$A:$D,4,FALSE)=L$9,$E222*$F222,""))))</f>
        <v/>
      </c>
      <c r="M222" s="91" t="str">
        <f t="shared" si="3"/>
        <v/>
      </c>
      <c r="N222" s="96"/>
      <c r="O222" s="95"/>
      <c r="P222" s="96"/>
      <c r="Q222" s="98"/>
    </row>
    <row r="223" spans="1:17" ht="15.75" x14ac:dyDescent="0.2">
      <c r="A223" s="17"/>
      <c r="B223" s="18"/>
      <c r="C223" s="87" t="str">
        <f>IF(B223="","",
IF(M223=$H$5,IFERROR(VLOOKUP(B223,'Baremos actuales'!A:E,5,FALSE),"No encontrado. Revisar código, fecha ejecución y/o contrato."),
IF(M223=$H$4,IFERROR(VLOOKUP(B223,'Baremos anteriores'!A:E,5,FALSE),"No encontrado. Revisar código, fecha ejecución y/o contrato."),
IF(M223=$H$3,IFERROR(VLOOKUP(B223,#REF!,5,FALSE),"No encontrado. Revisar código, fecha ejecución y/o contrato."),
IF(D223="","Código no encontrado",
IF(D223="ERROR","No encontrado. Revisar Código, fecha de ejecución y/o contrato.",
IF(D223="MATE",
IF(C222="DESCRIPCION","NO SE PUEDE COMENZAR SIN CÓDIGO DE TAREA",
IF(C222="","FALTA CÓDIGO DE TAREA",
CONCATENATE("          ",VLOOKUP(B223,'Maestro Materiales'!A:C,3,FALSE)))),IFERROR(VLOOKUP(B223,#REF!,5,FALSE),"No encontrado. Revisar código, fecha ejecución y/o contrato."))))))))</f>
        <v/>
      </c>
      <c r="D223" s="88" t="str">
        <f>IF(B223="","",
IFERROR(VLOOKUP(B223,'Maestro Materiales'!A:C,2,FALSE),
IFERROR(VLOOKUP(B223,'Baremos actuales'!A:B,2,FALSE),
IFERROR(VLOOKUP(B223,'Baremos anteriores'!A:B,2,FALSE),
""))))</f>
        <v/>
      </c>
      <c r="E223" s="9"/>
      <c r="F223" s="89" t="str">
        <f>IF(D223="MATE",
IF(E223="","¿Unidades?",""),
IF(D223="",IF(E223="","","¿Código?"),
IF(E223="","¿Unidades?",
IF(D223="TARE",
IF(M223=$H$3,IFERROR(VLOOKUP(B223,'Baremos actuales'!A:C,3,FALSE),0),
IF(M223=$H$4,IFERROR(VLOOKUP(B223,'Baremos anteriores'!A:C,3,FALSE),0),0))))))</f>
        <v/>
      </c>
      <c r="G223" s="7"/>
      <c r="H223" s="8"/>
      <c r="I223" s="8"/>
      <c r="J223" s="78" t="str">
        <f>IF($D223="","",
IF($E223="","",
IF($D223="MATE","",
IF(VLOOKUP($B223,'Baremos actuales'!A:D,4,FALSE)=J$9,$E223*$F223,IF(VLOOKUP($B223,'Baremos anteriores'!A:D,4,FALSE)="Sin Definir",$E223*$F223,"")))))</f>
        <v/>
      </c>
      <c r="K223" s="79" t="str">
        <f>IF($D223="","",
IF($E223="","",
IF($D223="MATE","",
IF(VLOOKUP($B223,'Baremos actuales'!$A:$D,4,FALSE)=K$9,$E223*$F223,IF(VLOOKUP($B223,'Baremos anteriores'!$A:$D,4,FALSE)="Desmonte",$E223*$F223,"")))))</f>
        <v/>
      </c>
      <c r="L223" s="80" t="str">
        <f>IF($D223="","",
IF($E223="","",
IF($D223="MATE","",
IF(VLOOKUP($B223,'Baremos actuales'!$A:$D,4,FALSE)=L$9,$E223*$F223,""))))</f>
        <v/>
      </c>
      <c r="M223" s="91" t="str">
        <f t="shared" si="3"/>
        <v/>
      </c>
      <c r="N223" s="96"/>
      <c r="O223" s="95"/>
      <c r="P223" s="96"/>
      <c r="Q223" s="98"/>
    </row>
    <row r="224" spans="1:17" ht="15.75" x14ac:dyDescent="0.2">
      <c r="A224" s="17"/>
      <c r="B224" s="18"/>
      <c r="C224" s="87" t="str">
        <f>IF(B224="","",
IF(M224=$H$5,IFERROR(VLOOKUP(B224,'Baremos actuales'!A:E,5,FALSE),"No encontrado. Revisar código, fecha ejecución y/o contrato."),
IF(M224=$H$4,IFERROR(VLOOKUP(B224,'Baremos anteriores'!A:E,5,FALSE),"No encontrado. Revisar código, fecha ejecución y/o contrato."),
IF(M224=$H$3,IFERROR(VLOOKUP(B224,#REF!,5,FALSE),"No encontrado. Revisar código, fecha ejecución y/o contrato."),
IF(D224="","Código no encontrado",
IF(D224="ERROR","No encontrado. Revisar Código, fecha de ejecución y/o contrato.",
IF(D224="MATE",
IF(C223="DESCRIPCION","NO SE PUEDE COMENZAR SIN CÓDIGO DE TAREA",
IF(C223="","FALTA CÓDIGO DE TAREA",
CONCATENATE("          ",VLOOKUP(B224,'Maestro Materiales'!A:C,3,FALSE)))),IFERROR(VLOOKUP(B224,#REF!,5,FALSE),"No encontrado. Revisar código, fecha ejecución y/o contrato."))))))))</f>
        <v/>
      </c>
      <c r="D224" s="88" t="str">
        <f>IF(B224="","",
IFERROR(VLOOKUP(B224,'Maestro Materiales'!A:C,2,FALSE),
IFERROR(VLOOKUP(B224,'Baremos actuales'!A:B,2,FALSE),
IFERROR(VLOOKUP(B224,'Baremos anteriores'!A:B,2,FALSE),
""))))</f>
        <v/>
      </c>
      <c r="E224" s="9"/>
      <c r="F224" s="89" t="str">
        <f>IF(D224="MATE",
IF(E224="","¿Unidades?",""),
IF(D224="",IF(E224="","","¿Código?"),
IF(E224="","¿Unidades?",
IF(D224="TARE",
IF(M224=$H$3,IFERROR(VLOOKUP(B224,'Baremos actuales'!A:C,3,FALSE),0),
IF(M224=$H$4,IFERROR(VLOOKUP(B224,'Baremos anteriores'!A:C,3,FALSE),0),0))))))</f>
        <v/>
      </c>
      <c r="G224" s="7"/>
      <c r="H224" s="8"/>
      <c r="I224" s="8"/>
      <c r="J224" s="78" t="str">
        <f>IF($D224="","",
IF($E224="","",
IF($D224="MATE","",
IF(VLOOKUP($B224,'Baremos actuales'!A:D,4,FALSE)=J$9,$E224*$F224,IF(VLOOKUP($B224,'Baremos anteriores'!A:D,4,FALSE)="Sin Definir",$E224*$F224,"")))))</f>
        <v/>
      </c>
      <c r="K224" s="79" t="str">
        <f>IF($D224="","",
IF($E224="","",
IF($D224="MATE","",
IF(VLOOKUP($B224,'Baremos actuales'!$A:$D,4,FALSE)=K$9,$E224*$F224,IF(VLOOKUP($B224,'Baremos anteriores'!$A:$D,4,FALSE)="Desmonte",$E224*$F224,"")))))</f>
        <v/>
      </c>
      <c r="L224" s="80" t="str">
        <f>IF($D224="","",
IF($E224="","",
IF($D224="MATE","",
IF(VLOOKUP($B224,'Baremos actuales'!$A:$D,4,FALSE)=L$9,$E224*$F224,""))))</f>
        <v/>
      </c>
      <c r="M224" s="91" t="str">
        <f t="shared" si="3"/>
        <v/>
      </c>
      <c r="N224" s="96"/>
      <c r="O224" s="95"/>
      <c r="P224" s="96"/>
      <c r="Q224" s="98"/>
    </row>
    <row r="225" spans="1:17" ht="15.75" x14ac:dyDescent="0.2">
      <c r="A225" s="17"/>
      <c r="B225" s="18"/>
      <c r="C225" s="87" t="str">
        <f>IF(B225="","",
IF(M225=$H$5,IFERROR(VLOOKUP(B225,'Baremos actuales'!A:E,5,FALSE),"No encontrado. Revisar código, fecha ejecución y/o contrato."),
IF(M225=$H$4,IFERROR(VLOOKUP(B225,'Baremos anteriores'!A:E,5,FALSE),"No encontrado. Revisar código, fecha ejecución y/o contrato."),
IF(M225=$H$3,IFERROR(VLOOKUP(B225,#REF!,5,FALSE),"No encontrado. Revisar código, fecha ejecución y/o contrato."),
IF(D225="","Código no encontrado",
IF(D225="ERROR","No encontrado. Revisar Código, fecha de ejecución y/o contrato.",
IF(D225="MATE",
IF(C224="DESCRIPCION","NO SE PUEDE COMENZAR SIN CÓDIGO DE TAREA",
IF(C224="","FALTA CÓDIGO DE TAREA",
CONCATENATE("          ",VLOOKUP(B225,'Maestro Materiales'!A:C,3,FALSE)))),IFERROR(VLOOKUP(B225,#REF!,5,FALSE),"No encontrado. Revisar código, fecha ejecución y/o contrato."))))))))</f>
        <v/>
      </c>
      <c r="D225" s="88" t="str">
        <f>IF(B225="","",
IFERROR(VLOOKUP(B225,'Maestro Materiales'!A:C,2,FALSE),
IFERROR(VLOOKUP(B225,'Baremos actuales'!A:B,2,FALSE),
IFERROR(VLOOKUP(B225,'Baremos anteriores'!A:B,2,FALSE),
""))))</f>
        <v/>
      </c>
      <c r="E225" s="9"/>
      <c r="F225" s="89" t="str">
        <f>IF(D225="MATE",
IF(E225="","¿Unidades?",""),
IF(D225="",IF(E225="","","¿Código?"),
IF(E225="","¿Unidades?",
IF(D225="TARE",
IF(M225=$H$3,IFERROR(VLOOKUP(B225,'Baremos actuales'!A:C,3,FALSE),0),
IF(M225=$H$4,IFERROR(VLOOKUP(B225,'Baremos anteriores'!A:C,3,FALSE),0),0))))))</f>
        <v/>
      </c>
      <c r="G225" s="7"/>
      <c r="H225" s="8"/>
      <c r="I225" s="8"/>
      <c r="J225" s="78" t="str">
        <f>IF($D225="","",
IF($E225="","",
IF($D225="MATE","",
IF(VLOOKUP($B225,'Baremos actuales'!A:D,4,FALSE)=J$9,$E225*$F225,IF(VLOOKUP($B225,'Baremos anteriores'!A:D,4,FALSE)="Sin Definir",$E225*$F225,"")))))</f>
        <v/>
      </c>
      <c r="K225" s="79" t="str">
        <f>IF($D225="","",
IF($E225="","",
IF($D225="MATE","",
IF(VLOOKUP($B225,'Baremos actuales'!$A:$D,4,FALSE)=K$9,$E225*$F225,IF(VLOOKUP($B225,'Baremos anteriores'!$A:$D,4,FALSE)="Desmonte",$E225*$F225,"")))))</f>
        <v/>
      </c>
      <c r="L225" s="80" t="str">
        <f>IF($D225="","",
IF($E225="","",
IF($D225="MATE","",
IF(VLOOKUP($B225,'Baremos actuales'!$A:$D,4,FALSE)=L$9,$E225*$F225,""))))</f>
        <v/>
      </c>
      <c r="M225" s="91" t="str">
        <f t="shared" si="3"/>
        <v/>
      </c>
      <c r="N225" s="96"/>
      <c r="O225" s="95"/>
      <c r="P225" s="96"/>
      <c r="Q225" s="98"/>
    </row>
    <row r="226" spans="1:17" ht="15.75" x14ac:dyDescent="0.2">
      <c r="A226" s="17"/>
      <c r="B226" s="18"/>
      <c r="C226" s="87" t="str">
        <f>IF(B226="","",
IF(M226=$H$5,IFERROR(VLOOKUP(B226,'Baremos actuales'!A:E,5,FALSE),"No encontrado. Revisar código, fecha ejecución y/o contrato."),
IF(M226=$H$4,IFERROR(VLOOKUP(B226,'Baremos anteriores'!A:E,5,FALSE),"No encontrado. Revisar código, fecha ejecución y/o contrato."),
IF(M226=$H$3,IFERROR(VLOOKUP(B226,#REF!,5,FALSE),"No encontrado. Revisar código, fecha ejecución y/o contrato."),
IF(D226="","Código no encontrado",
IF(D226="ERROR","No encontrado. Revisar Código, fecha de ejecución y/o contrato.",
IF(D226="MATE",
IF(C225="DESCRIPCION","NO SE PUEDE COMENZAR SIN CÓDIGO DE TAREA",
IF(C225="","FALTA CÓDIGO DE TAREA",
CONCATENATE("          ",VLOOKUP(B226,'Maestro Materiales'!A:C,3,FALSE)))),IFERROR(VLOOKUP(B226,#REF!,5,FALSE),"No encontrado. Revisar código, fecha ejecución y/o contrato."))))))))</f>
        <v/>
      </c>
      <c r="D226" s="88" t="str">
        <f>IF(B226="","",
IFERROR(VLOOKUP(B226,'Maestro Materiales'!A:C,2,FALSE),
IFERROR(VLOOKUP(B226,'Baremos actuales'!A:B,2,FALSE),
IFERROR(VLOOKUP(B226,'Baremos anteriores'!A:B,2,FALSE),
""))))</f>
        <v/>
      </c>
      <c r="E226" s="9"/>
      <c r="F226" s="89" t="str">
        <f>IF(D226="MATE",
IF(E226="","¿Unidades?",""),
IF(D226="",IF(E226="","","¿Código?"),
IF(E226="","¿Unidades?",
IF(D226="TARE",
IF(M226=$H$3,IFERROR(VLOOKUP(B226,'Baremos actuales'!A:C,3,FALSE),0),
IF(M226=$H$4,IFERROR(VLOOKUP(B226,'Baremos anteriores'!A:C,3,FALSE),0),0))))))</f>
        <v/>
      </c>
      <c r="G226" s="7"/>
      <c r="H226" s="8"/>
      <c r="I226" s="8"/>
      <c r="J226" s="78" t="str">
        <f>IF($D226="","",
IF($E226="","",
IF($D226="MATE","",
IF(VLOOKUP($B226,'Baremos actuales'!A:D,4,FALSE)=J$9,$E226*$F226,IF(VLOOKUP($B226,'Baremos anteriores'!A:D,4,FALSE)="Sin Definir",$E226*$F226,"")))))</f>
        <v/>
      </c>
      <c r="K226" s="79" t="str">
        <f>IF($D226="","",
IF($E226="","",
IF($D226="MATE","",
IF(VLOOKUP($B226,'Baremos actuales'!$A:$D,4,FALSE)=K$9,$E226*$F226,IF(VLOOKUP($B226,'Baremos anteriores'!$A:$D,4,FALSE)="Desmonte",$E226*$F226,"")))))</f>
        <v/>
      </c>
      <c r="L226" s="80" t="str">
        <f>IF($D226="","",
IF($E226="","",
IF($D226="MATE","",
IF(VLOOKUP($B226,'Baremos actuales'!$A:$D,4,FALSE)=L$9,$E226*$F226,""))))</f>
        <v/>
      </c>
      <c r="M226" s="91" t="str">
        <f t="shared" si="3"/>
        <v/>
      </c>
      <c r="N226" s="96"/>
      <c r="O226" s="95"/>
      <c r="P226" s="96"/>
      <c r="Q226" s="98"/>
    </row>
    <row r="227" spans="1:17" ht="15.75" x14ac:dyDescent="0.2">
      <c r="A227" s="17"/>
      <c r="B227" s="18"/>
      <c r="C227" s="87" t="str">
        <f>IF(B227="","",
IF(M227=$H$5,IFERROR(VLOOKUP(B227,'Baremos actuales'!A:E,5,FALSE),"No encontrado. Revisar código, fecha ejecución y/o contrato."),
IF(M227=$H$4,IFERROR(VLOOKUP(B227,'Baremos anteriores'!A:E,5,FALSE),"No encontrado. Revisar código, fecha ejecución y/o contrato."),
IF(M227=$H$3,IFERROR(VLOOKUP(B227,#REF!,5,FALSE),"No encontrado. Revisar código, fecha ejecución y/o contrato."),
IF(D227="","Código no encontrado",
IF(D227="ERROR","No encontrado. Revisar Código, fecha de ejecución y/o contrato.",
IF(D227="MATE",
IF(C226="DESCRIPCION","NO SE PUEDE COMENZAR SIN CÓDIGO DE TAREA",
IF(C226="","FALTA CÓDIGO DE TAREA",
CONCATENATE("          ",VLOOKUP(B227,'Maestro Materiales'!A:C,3,FALSE)))),IFERROR(VLOOKUP(B227,#REF!,5,FALSE),"No encontrado. Revisar código, fecha ejecución y/o contrato."))))))))</f>
        <v/>
      </c>
      <c r="D227" s="88" t="str">
        <f>IF(B227="","",
IFERROR(VLOOKUP(B227,'Maestro Materiales'!A:C,2,FALSE),
IFERROR(VLOOKUP(B227,'Baremos actuales'!A:B,2,FALSE),
IFERROR(VLOOKUP(B227,'Baremos anteriores'!A:B,2,FALSE),
""))))</f>
        <v/>
      </c>
      <c r="E227" s="9"/>
      <c r="F227" s="89" t="str">
        <f>IF(D227="MATE",
IF(E227="","¿Unidades?",""),
IF(D227="",IF(E227="","","¿Código?"),
IF(E227="","¿Unidades?",
IF(D227="TARE",
IF(M227=$H$3,IFERROR(VLOOKUP(B227,'Baremos actuales'!A:C,3,FALSE),0),
IF(M227=$H$4,IFERROR(VLOOKUP(B227,'Baremos anteriores'!A:C,3,FALSE),0),0))))))</f>
        <v/>
      </c>
      <c r="G227" s="7"/>
      <c r="H227" s="8"/>
      <c r="I227" s="8"/>
      <c r="J227" s="78" t="str">
        <f>IF($D227="","",
IF($E227="","",
IF($D227="MATE","",
IF(VLOOKUP($B227,'Baremos actuales'!A:D,4,FALSE)=J$9,$E227*$F227,IF(VLOOKUP($B227,'Baremos anteriores'!A:D,4,FALSE)="Sin Definir",$E227*$F227,"")))))</f>
        <v/>
      </c>
      <c r="K227" s="79" t="str">
        <f>IF($D227="","",
IF($E227="","",
IF($D227="MATE","",
IF(VLOOKUP($B227,'Baremos actuales'!$A:$D,4,FALSE)=K$9,$E227*$F227,IF(VLOOKUP($B227,'Baremos anteriores'!$A:$D,4,FALSE)="Desmonte",$E227*$F227,"")))))</f>
        <v/>
      </c>
      <c r="L227" s="80" t="str">
        <f>IF($D227="","",
IF($E227="","",
IF($D227="MATE","",
IF(VLOOKUP($B227,'Baremos actuales'!$A:$D,4,FALSE)=L$9,$E227*$F227,""))))</f>
        <v/>
      </c>
      <c r="M227" s="91" t="str">
        <f t="shared" si="3"/>
        <v/>
      </c>
      <c r="N227" s="96"/>
      <c r="O227" s="95"/>
      <c r="P227" s="96"/>
      <c r="Q227" s="98"/>
    </row>
    <row r="228" spans="1:17" ht="15.75" x14ac:dyDescent="0.2">
      <c r="A228" s="17"/>
      <c r="B228" s="18"/>
      <c r="C228" s="87" t="str">
        <f>IF(B228="","",
IF(M228=$H$5,IFERROR(VLOOKUP(B228,'Baremos actuales'!A:E,5,FALSE),"No encontrado. Revisar código, fecha ejecución y/o contrato."),
IF(M228=$H$4,IFERROR(VLOOKUP(B228,'Baremos anteriores'!A:E,5,FALSE),"No encontrado. Revisar código, fecha ejecución y/o contrato."),
IF(M228=$H$3,IFERROR(VLOOKUP(B228,#REF!,5,FALSE),"No encontrado. Revisar código, fecha ejecución y/o contrato."),
IF(D228="","Código no encontrado",
IF(D228="ERROR","No encontrado. Revisar Código, fecha de ejecución y/o contrato.",
IF(D228="MATE",
IF(C227="DESCRIPCION","NO SE PUEDE COMENZAR SIN CÓDIGO DE TAREA",
IF(C227="","FALTA CÓDIGO DE TAREA",
CONCATENATE("          ",VLOOKUP(B228,'Maestro Materiales'!A:C,3,FALSE)))),IFERROR(VLOOKUP(B228,#REF!,5,FALSE),"No encontrado. Revisar código, fecha ejecución y/o contrato."))))))))</f>
        <v/>
      </c>
      <c r="D228" s="88" t="str">
        <f>IF(B228="","",
IFERROR(VLOOKUP(B228,'Maestro Materiales'!A:C,2,FALSE),
IFERROR(VLOOKUP(B228,'Baremos actuales'!A:B,2,FALSE),
IFERROR(VLOOKUP(B228,'Baremos anteriores'!A:B,2,FALSE),
""))))</f>
        <v/>
      </c>
      <c r="E228" s="9"/>
      <c r="F228" s="89" t="str">
        <f>IF(D228="MATE",
IF(E228="","¿Unidades?",""),
IF(D228="",IF(E228="","","¿Código?"),
IF(E228="","¿Unidades?",
IF(D228="TARE",
IF(M228=$H$3,IFERROR(VLOOKUP(B228,'Baremos actuales'!A:C,3,FALSE),0),
IF(M228=$H$4,IFERROR(VLOOKUP(B228,'Baremos anteriores'!A:C,3,FALSE),0),0))))))</f>
        <v/>
      </c>
      <c r="G228" s="7"/>
      <c r="H228" s="8"/>
      <c r="I228" s="8"/>
      <c r="J228" s="78" t="str">
        <f>IF($D228="","",
IF($E228="","",
IF($D228="MATE","",
IF(VLOOKUP($B228,'Baremos actuales'!A:D,4,FALSE)=J$9,$E228*$F228,IF(VLOOKUP($B228,'Baremos anteriores'!A:D,4,FALSE)="Sin Definir",$E228*$F228,"")))))</f>
        <v/>
      </c>
      <c r="K228" s="79" t="str">
        <f>IF($D228="","",
IF($E228="","",
IF($D228="MATE","",
IF(VLOOKUP($B228,'Baremos actuales'!$A:$D,4,FALSE)=K$9,$E228*$F228,IF(VLOOKUP($B228,'Baremos anteriores'!$A:$D,4,FALSE)="Desmonte",$E228*$F228,"")))))</f>
        <v/>
      </c>
      <c r="L228" s="80" t="str">
        <f>IF($D228="","",
IF($E228="","",
IF($D228="MATE","",
IF(VLOOKUP($B228,'Baremos actuales'!$A:$D,4,FALSE)=L$9,$E228*$F228,""))))</f>
        <v/>
      </c>
      <c r="M228" s="91" t="str">
        <f t="shared" si="3"/>
        <v/>
      </c>
      <c r="N228" s="96"/>
      <c r="O228" s="95"/>
      <c r="P228" s="96"/>
      <c r="Q228" s="98"/>
    </row>
    <row r="229" spans="1:17" ht="15.75" x14ac:dyDescent="0.2">
      <c r="A229" s="17"/>
      <c r="B229" s="18"/>
      <c r="C229" s="87" t="str">
        <f>IF(B229="","",
IF(M229=$H$5,IFERROR(VLOOKUP(B229,'Baremos actuales'!A:E,5,FALSE),"No encontrado. Revisar código, fecha ejecución y/o contrato."),
IF(M229=$H$4,IFERROR(VLOOKUP(B229,'Baremos anteriores'!A:E,5,FALSE),"No encontrado. Revisar código, fecha ejecución y/o contrato."),
IF(M229=$H$3,IFERROR(VLOOKUP(B229,#REF!,5,FALSE),"No encontrado. Revisar código, fecha ejecución y/o contrato."),
IF(D229="","Código no encontrado",
IF(D229="ERROR","No encontrado. Revisar Código, fecha de ejecución y/o contrato.",
IF(D229="MATE",
IF(C228="DESCRIPCION","NO SE PUEDE COMENZAR SIN CÓDIGO DE TAREA",
IF(C228="","FALTA CÓDIGO DE TAREA",
CONCATENATE("          ",VLOOKUP(B229,'Maestro Materiales'!A:C,3,FALSE)))),IFERROR(VLOOKUP(B229,#REF!,5,FALSE),"No encontrado. Revisar código, fecha ejecución y/o contrato."))))))))</f>
        <v/>
      </c>
      <c r="D229" s="88" t="str">
        <f>IF(B229="","",
IFERROR(VLOOKUP(B229,'Maestro Materiales'!A:C,2,FALSE),
IFERROR(VLOOKUP(B229,'Baremos actuales'!A:B,2,FALSE),
IFERROR(VLOOKUP(B229,'Baremos anteriores'!A:B,2,FALSE),
""))))</f>
        <v/>
      </c>
      <c r="E229" s="9"/>
      <c r="F229" s="89" t="str">
        <f>IF(D229="MATE",
IF(E229="","¿Unidades?",""),
IF(D229="",IF(E229="","","¿Código?"),
IF(E229="","¿Unidades?",
IF(D229="TARE",
IF(M229=$H$3,IFERROR(VLOOKUP(B229,'Baremos actuales'!A:C,3,FALSE),0),
IF(M229=$H$4,IFERROR(VLOOKUP(B229,'Baremos anteriores'!A:C,3,FALSE),0),0))))))</f>
        <v/>
      </c>
      <c r="G229" s="7"/>
      <c r="H229" s="8"/>
      <c r="I229" s="8"/>
      <c r="J229" s="78" t="str">
        <f>IF($D229="","",
IF($E229="","",
IF($D229="MATE","",
IF(VLOOKUP($B229,'Baremos actuales'!A:D,4,FALSE)=J$9,$E229*$F229,IF(VLOOKUP($B229,'Baremos anteriores'!A:D,4,FALSE)="Sin Definir",$E229*$F229,"")))))</f>
        <v/>
      </c>
      <c r="K229" s="79" t="str">
        <f>IF($D229="","",
IF($E229="","",
IF($D229="MATE","",
IF(VLOOKUP($B229,'Baremos actuales'!$A:$D,4,FALSE)=K$9,$E229*$F229,IF(VLOOKUP($B229,'Baremos anteriores'!$A:$D,4,FALSE)="Desmonte",$E229*$F229,"")))))</f>
        <v/>
      </c>
      <c r="L229" s="80" t="str">
        <f>IF($D229="","",
IF($E229="","",
IF($D229="MATE","",
IF(VLOOKUP($B229,'Baremos actuales'!$A:$D,4,FALSE)=L$9,$E229*$F229,""))))</f>
        <v/>
      </c>
      <c r="M229" s="91" t="str">
        <f t="shared" si="3"/>
        <v/>
      </c>
      <c r="N229" s="96"/>
      <c r="O229" s="95"/>
      <c r="P229" s="96"/>
      <c r="Q229" s="98"/>
    </row>
    <row r="230" spans="1:17" ht="15.75" x14ac:dyDescent="0.2">
      <c r="A230" s="17"/>
      <c r="B230" s="18"/>
      <c r="C230" s="87" t="str">
        <f>IF(B230="","",
IF(M230=$H$5,IFERROR(VLOOKUP(B230,'Baremos actuales'!A:E,5,FALSE),"No encontrado. Revisar código, fecha ejecución y/o contrato."),
IF(M230=$H$4,IFERROR(VLOOKUP(B230,'Baremos anteriores'!A:E,5,FALSE),"No encontrado. Revisar código, fecha ejecución y/o contrato."),
IF(M230=$H$3,IFERROR(VLOOKUP(B230,#REF!,5,FALSE),"No encontrado. Revisar código, fecha ejecución y/o contrato."),
IF(D230="","Código no encontrado",
IF(D230="ERROR","No encontrado. Revisar Código, fecha de ejecución y/o contrato.",
IF(D230="MATE",
IF(C229="DESCRIPCION","NO SE PUEDE COMENZAR SIN CÓDIGO DE TAREA",
IF(C229="","FALTA CÓDIGO DE TAREA",
CONCATENATE("          ",VLOOKUP(B230,'Maestro Materiales'!A:C,3,FALSE)))),IFERROR(VLOOKUP(B230,#REF!,5,FALSE),"No encontrado. Revisar código, fecha ejecución y/o contrato."))))))))</f>
        <v/>
      </c>
      <c r="D230" s="88" t="str">
        <f>IF(B230="","",
IFERROR(VLOOKUP(B230,'Maestro Materiales'!A:C,2,FALSE),
IFERROR(VLOOKUP(B230,'Baremos actuales'!A:B,2,FALSE),
IFERROR(VLOOKUP(B230,'Baremos anteriores'!A:B,2,FALSE),
""))))</f>
        <v/>
      </c>
      <c r="E230" s="9"/>
      <c r="F230" s="89" t="str">
        <f>IF(D230="MATE",
IF(E230="","¿Unidades?",""),
IF(D230="",IF(E230="","","¿Código?"),
IF(E230="","¿Unidades?",
IF(D230="TARE",
IF(M230=$H$3,IFERROR(VLOOKUP(B230,'Baremos actuales'!A:C,3,FALSE),0),
IF(M230=$H$4,IFERROR(VLOOKUP(B230,'Baremos anteriores'!A:C,3,FALSE),0),0))))))</f>
        <v/>
      </c>
      <c r="G230" s="7"/>
      <c r="H230" s="8"/>
      <c r="I230" s="8"/>
      <c r="J230" s="78" t="str">
        <f>IF($D230="","",
IF($E230="","",
IF($D230="MATE","",
IF(VLOOKUP($B230,'Baremos actuales'!A:D,4,FALSE)=J$9,$E230*$F230,IF(VLOOKUP($B230,'Baremos anteriores'!A:D,4,FALSE)="Sin Definir",$E230*$F230,"")))))</f>
        <v/>
      </c>
      <c r="K230" s="79" t="str">
        <f>IF($D230="","",
IF($E230="","",
IF($D230="MATE","",
IF(VLOOKUP($B230,'Baremos actuales'!$A:$D,4,FALSE)=K$9,$E230*$F230,IF(VLOOKUP($B230,'Baremos anteriores'!$A:$D,4,FALSE)="Desmonte",$E230*$F230,"")))))</f>
        <v/>
      </c>
      <c r="L230" s="80" t="str">
        <f>IF($D230="","",
IF($E230="","",
IF($D230="MATE","",
IF(VLOOKUP($B230,'Baremos actuales'!$A:$D,4,FALSE)=L$9,$E230*$F230,""))))</f>
        <v/>
      </c>
      <c r="M230" s="91" t="str">
        <f t="shared" si="3"/>
        <v/>
      </c>
      <c r="N230" s="96"/>
      <c r="O230" s="95"/>
      <c r="P230" s="96"/>
      <c r="Q230" s="98"/>
    </row>
    <row r="231" spans="1:17" ht="15.75" x14ac:dyDescent="0.2">
      <c r="A231" s="17"/>
      <c r="B231" s="18"/>
      <c r="C231" s="87" t="str">
        <f>IF(B231="","",
IF(M231=$H$5,IFERROR(VLOOKUP(B231,'Baremos actuales'!A:E,5,FALSE),"No encontrado. Revisar código, fecha ejecución y/o contrato."),
IF(M231=$H$4,IFERROR(VLOOKUP(B231,'Baremos anteriores'!A:E,5,FALSE),"No encontrado. Revisar código, fecha ejecución y/o contrato."),
IF(M231=$H$3,IFERROR(VLOOKUP(B231,#REF!,5,FALSE),"No encontrado. Revisar código, fecha ejecución y/o contrato."),
IF(D231="","Código no encontrado",
IF(D231="ERROR","No encontrado. Revisar Código, fecha de ejecución y/o contrato.",
IF(D231="MATE",
IF(C230="DESCRIPCION","NO SE PUEDE COMENZAR SIN CÓDIGO DE TAREA",
IF(C230="","FALTA CÓDIGO DE TAREA",
CONCATENATE("          ",VLOOKUP(B231,'Maestro Materiales'!A:C,3,FALSE)))),IFERROR(VLOOKUP(B231,#REF!,5,FALSE),"No encontrado. Revisar código, fecha ejecución y/o contrato."))))))))</f>
        <v/>
      </c>
      <c r="D231" s="88" t="str">
        <f>IF(B231="","",
IFERROR(VLOOKUP(B231,'Maestro Materiales'!A:C,2,FALSE),
IFERROR(VLOOKUP(B231,'Baremos actuales'!A:B,2,FALSE),
IFERROR(VLOOKUP(B231,'Baremos anteriores'!A:B,2,FALSE),
""))))</f>
        <v/>
      </c>
      <c r="E231" s="9"/>
      <c r="F231" s="89" t="str">
        <f>IF(D231="MATE",
IF(E231="","¿Unidades?",""),
IF(D231="",IF(E231="","","¿Código?"),
IF(E231="","¿Unidades?",
IF(D231="TARE",
IF(M231=$H$3,IFERROR(VLOOKUP(B231,'Baremos actuales'!A:C,3,FALSE),0),
IF(M231=$H$4,IFERROR(VLOOKUP(B231,'Baremos anteriores'!A:C,3,FALSE),0),0))))))</f>
        <v/>
      </c>
      <c r="G231" s="7"/>
      <c r="H231" s="8"/>
      <c r="I231" s="8"/>
      <c r="J231" s="78" t="str">
        <f>IF($D231="","",
IF($E231="","",
IF($D231="MATE","",
IF(VLOOKUP($B231,'Baremos actuales'!A:D,4,FALSE)=J$9,$E231*$F231,IF(VLOOKUP($B231,'Baremos anteriores'!A:D,4,FALSE)="Sin Definir",$E231*$F231,"")))))</f>
        <v/>
      </c>
      <c r="K231" s="79" t="str">
        <f>IF($D231="","",
IF($E231="","",
IF($D231="MATE","",
IF(VLOOKUP($B231,'Baremos actuales'!$A:$D,4,FALSE)=K$9,$E231*$F231,IF(VLOOKUP($B231,'Baremos anteriores'!$A:$D,4,FALSE)="Desmonte",$E231*$F231,"")))))</f>
        <v/>
      </c>
      <c r="L231" s="80" t="str">
        <f>IF($D231="","",
IF($E231="","",
IF($D231="MATE","",
IF(VLOOKUP($B231,'Baremos actuales'!$A:$D,4,FALSE)=L$9,$E231*$F231,""))))</f>
        <v/>
      </c>
      <c r="M231" s="91" t="str">
        <f t="shared" si="3"/>
        <v/>
      </c>
      <c r="N231" s="96"/>
      <c r="O231" s="95"/>
      <c r="P231" s="96"/>
      <c r="Q231" s="98"/>
    </row>
    <row r="232" spans="1:17" ht="15.75" x14ac:dyDescent="0.2">
      <c r="A232" s="17"/>
      <c r="B232" s="18"/>
      <c r="C232" s="87" t="str">
        <f>IF(B232="","",
IF(M232=$H$5,IFERROR(VLOOKUP(B232,'Baremos actuales'!A:E,5,FALSE),"No encontrado. Revisar código, fecha ejecución y/o contrato."),
IF(M232=$H$4,IFERROR(VLOOKUP(B232,'Baremos anteriores'!A:E,5,FALSE),"No encontrado. Revisar código, fecha ejecución y/o contrato."),
IF(M232=$H$3,IFERROR(VLOOKUP(B232,#REF!,5,FALSE),"No encontrado. Revisar código, fecha ejecución y/o contrato."),
IF(D232="","Código no encontrado",
IF(D232="ERROR","No encontrado. Revisar Código, fecha de ejecución y/o contrato.",
IF(D232="MATE",
IF(C231="DESCRIPCION","NO SE PUEDE COMENZAR SIN CÓDIGO DE TAREA",
IF(C231="","FALTA CÓDIGO DE TAREA",
CONCATENATE("          ",VLOOKUP(B232,'Maestro Materiales'!A:C,3,FALSE)))),IFERROR(VLOOKUP(B232,#REF!,5,FALSE),"No encontrado. Revisar código, fecha ejecución y/o contrato."))))))))</f>
        <v/>
      </c>
      <c r="D232" s="88" t="str">
        <f>IF(B232="","",
IFERROR(VLOOKUP(B232,'Maestro Materiales'!A:C,2,FALSE),
IFERROR(VLOOKUP(B232,'Baremos actuales'!A:B,2,FALSE),
IFERROR(VLOOKUP(B232,'Baremos anteriores'!A:B,2,FALSE),
""))))</f>
        <v/>
      </c>
      <c r="E232" s="9"/>
      <c r="F232" s="89" t="str">
        <f>IF(D232="MATE",
IF(E232="","¿Unidades?",""),
IF(D232="",IF(E232="","","¿Código?"),
IF(E232="","¿Unidades?",
IF(D232="TARE",
IF(M232=$H$3,IFERROR(VLOOKUP(B232,'Baremos actuales'!A:C,3,FALSE),0),
IF(M232=$H$4,IFERROR(VLOOKUP(B232,'Baremos anteriores'!A:C,3,FALSE),0),0))))))</f>
        <v/>
      </c>
      <c r="G232" s="7"/>
      <c r="H232" s="8"/>
      <c r="I232" s="8"/>
      <c r="J232" s="78" t="str">
        <f>IF($D232="","",
IF($E232="","",
IF($D232="MATE","",
IF(VLOOKUP($B232,'Baremos actuales'!A:D,4,FALSE)=J$9,$E232*$F232,IF(VLOOKUP($B232,'Baremos anteriores'!A:D,4,FALSE)="Sin Definir",$E232*$F232,"")))))</f>
        <v/>
      </c>
      <c r="K232" s="79" t="str">
        <f>IF($D232="","",
IF($E232="","",
IF($D232="MATE","",
IF(VLOOKUP($B232,'Baremos actuales'!$A:$D,4,FALSE)=K$9,$E232*$F232,IF(VLOOKUP($B232,'Baremos anteriores'!$A:$D,4,FALSE)="Desmonte",$E232*$F232,"")))))</f>
        <v/>
      </c>
      <c r="L232" s="80" t="str">
        <f>IF($D232="","",
IF($E232="","",
IF($D232="MATE","",
IF(VLOOKUP($B232,'Baremos actuales'!$A:$D,4,FALSE)=L$9,$E232*$F232,""))))</f>
        <v/>
      </c>
      <c r="M232" s="91" t="str">
        <f t="shared" si="3"/>
        <v/>
      </c>
      <c r="N232" s="96"/>
      <c r="O232" s="95"/>
      <c r="P232" s="96"/>
      <c r="Q232" s="98"/>
    </row>
    <row r="233" spans="1:17" ht="15.75" x14ac:dyDescent="0.2">
      <c r="A233" s="17"/>
      <c r="B233" s="18"/>
      <c r="C233" s="87" t="str">
        <f>IF(B233="","",
IF(M233=$H$5,IFERROR(VLOOKUP(B233,'Baremos actuales'!A:E,5,FALSE),"No encontrado. Revisar código, fecha ejecución y/o contrato."),
IF(M233=$H$4,IFERROR(VLOOKUP(B233,'Baremos anteriores'!A:E,5,FALSE),"No encontrado. Revisar código, fecha ejecución y/o contrato."),
IF(M233=$H$3,IFERROR(VLOOKUP(B233,#REF!,5,FALSE),"No encontrado. Revisar código, fecha ejecución y/o contrato."),
IF(D233="","Código no encontrado",
IF(D233="ERROR","No encontrado. Revisar Código, fecha de ejecución y/o contrato.",
IF(D233="MATE",
IF(C232="DESCRIPCION","NO SE PUEDE COMENZAR SIN CÓDIGO DE TAREA",
IF(C232="","FALTA CÓDIGO DE TAREA",
CONCATENATE("          ",VLOOKUP(B233,'Maestro Materiales'!A:C,3,FALSE)))),IFERROR(VLOOKUP(B233,#REF!,5,FALSE),"No encontrado. Revisar código, fecha ejecución y/o contrato."))))))))</f>
        <v/>
      </c>
      <c r="D233" s="88" t="str">
        <f>IF(B233="","",
IFERROR(VLOOKUP(B233,'Maestro Materiales'!A:C,2,FALSE),
IFERROR(VLOOKUP(B233,'Baremos actuales'!A:B,2,FALSE),
IFERROR(VLOOKUP(B233,'Baremos anteriores'!A:B,2,FALSE),
""))))</f>
        <v/>
      </c>
      <c r="E233" s="9"/>
      <c r="F233" s="89" t="str">
        <f>IF(D233="MATE",
IF(E233="","¿Unidades?",""),
IF(D233="",IF(E233="","","¿Código?"),
IF(E233="","¿Unidades?",
IF(D233="TARE",
IF(M233=$H$3,IFERROR(VLOOKUP(B233,'Baremos actuales'!A:C,3,FALSE),0),
IF(M233=$H$4,IFERROR(VLOOKUP(B233,'Baremos anteriores'!A:C,3,FALSE),0),0))))))</f>
        <v/>
      </c>
      <c r="G233" s="7"/>
      <c r="H233" s="8"/>
      <c r="I233" s="8"/>
      <c r="J233" s="78" t="str">
        <f>IF($D233="","",
IF($E233="","",
IF($D233="MATE","",
IF(VLOOKUP($B233,'Baremos actuales'!A:D,4,FALSE)=J$9,$E233*$F233,IF(VLOOKUP($B233,'Baremos anteriores'!A:D,4,FALSE)="Sin Definir",$E233*$F233,"")))))</f>
        <v/>
      </c>
      <c r="K233" s="79" t="str">
        <f>IF($D233="","",
IF($E233="","",
IF($D233="MATE","",
IF(VLOOKUP($B233,'Baremos actuales'!$A:$D,4,FALSE)=K$9,$E233*$F233,IF(VLOOKUP($B233,'Baremos anteriores'!$A:$D,4,FALSE)="Desmonte",$E233*$F233,"")))))</f>
        <v/>
      </c>
      <c r="L233" s="80" t="str">
        <f>IF($D233="","",
IF($E233="","",
IF($D233="MATE","",
IF(VLOOKUP($B233,'Baremos actuales'!$A:$D,4,FALSE)=L$9,$E233*$F233,""))))</f>
        <v/>
      </c>
      <c r="M233" s="91" t="str">
        <f t="shared" si="3"/>
        <v/>
      </c>
      <c r="N233" s="96"/>
      <c r="O233" s="95"/>
      <c r="P233" s="96"/>
      <c r="Q233" s="98"/>
    </row>
    <row r="234" spans="1:17" ht="15.75" x14ac:dyDescent="0.2">
      <c r="A234" s="17"/>
      <c r="B234" s="18"/>
      <c r="C234" s="87" t="str">
        <f>IF(B234="","",
IF(M234=$H$5,IFERROR(VLOOKUP(B234,'Baremos actuales'!A:E,5,FALSE),"No encontrado. Revisar código, fecha ejecución y/o contrato."),
IF(M234=$H$4,IFERROR(VLOOKUP(B234,'Baremos anteriores'!A:E,5,FALSE),"No encontrado. Revisar código, fecha ejecución y/o contrato."),
IF(M234=$H$3,IFERROR(VLOOKUP(B234,#REF!,5,FALSE),"No encontrado. Revisar código, fecha ejecución y/o contrato."),
IF(D234="","Código no encontrado",
IF(D234="ERROR","No encontrado. Revisar Código, fecha de ejecución y/o contrato.",
IF(D234="MATE",
IF(C233="DESCRIPCION","NO SE PUEDE COMENZAR SIN CÓDIGO DE TAREA",
IF(C233="","FALTA CÓDIGO DE TAREA",
CONCATENATE("          ",VLOOKUP(B234,'Maestro Materiales'!A:C,3,FALSE)))),IFERROR(VLOOKUP(B234,#REF!,5,FALSE),"No encontrado. Revisar código, fecha ejecución y/o contrato."))))))))</f>
        <v/>
      </c>
      <c r="D234" s="88" t="str">
        <f>IF(B234="","",
IFERROR(VLOOKUP(B234,'Maestro Materiales'!A:C,2,FALSE),
IFERROR(VLOOKUP(B234,'Baremos actuales'!A:B,2,FALSE),
IFERROR(VLOOKUP(B234,'Baremos anteriores'!A:B,2,FALSE),
""))))</f>
        <v/>
      </c>
      <c r="E234" s="9"/>
      <c r="F234" s="89" t="str">
        <f>IF(D234="MATE",
IF(E234="","¿Unidades?",""),
IF(D234="",IF(E234="","","¿Código?"),
IF(E234="","¿Unidades?",
IF(D234="TARE",
IF(M234=$H$3,IFERROR(VLOOKUP(B234,'Baremos actuales'!A:C,3,FALSE),0),
IF(M234=$H$4,IFERROR(VLOOKUP(B234,'Baremos anteriores'!A:C,3,FALSE),0),0))))))</f>
        <v/>
      </c>
      <c r="G234" s="7"/>
      <c r="H234" s="8"/>
      <c r="I234" s="8"/>
      <c r="J234" s="78" t="str">
        <f>IF($D234="","",
IF($E234="","",
IF($D234="MATE","",
IF(VLOOKUP($B234,'Baremos actuales'!A:D,4,FALSE)=J$9,$E234*$F234,IF(VLOOKUP($B234,'Baremos anteriores'!A:D,4,FALSE)="Sin Definir",$E234*$F234,"")))))</f>
        <v/>
      </c>
      <c r="K234" s="79" t="str">
        <f>IF($D234="","",
IF($E234="","",
IF($D234="MATE","",
IF(VLOOKUP($B234,'Baremos actuales'!$A:$D,4,FALSE)=K$9,$E234*$F234,IF(VLOOKUP($B234,'Baremos anteriores'!$A:$D,4,FALSE)="Desmonte",$E234*$F234,"")))))</f>
        <v/>
      </c>
      <c r="L234" s="80" t="str">
        <f>IF($D234="","",
IF($E234="","",
IF($D234="MATE","",
IF(VLOOKUP($B234,'Baremos actuales'!$A:$D,4,FALSE)=L$9,$E234*$F234,""))))</f>
        <v/>
      </c>
      <c r="M234" s="91" t="str">
        <f t="shared" si="3"/>
        <v/>
      </c>
      <c r="N234" s="96"/>
      <c r="O234" s="95"/>
      <c r="P234" s="96"/>
      <c r="Q234" s="98"/>
    </row>
    <row r="235" spans="1:17" ht="15.75" x14ac:dyDescent="0.2">
      <c r="A235" s="17"/>
      <c r="B235" s="18"/>
      <c r="C235" s="87" t="str">
        <f>IF(B235="","",
IF(M235=$H$5,IFERROR(VLOOKUP(B235,'Baremos actuales'!A:E,5,FALSE),"No encontrado. Revisar código, fecha ejecución y/o contrato."),
IF(M235=$H$4,IFERROR(VLOOKUP(B235,'Baremos anteriores'!A:E,5,FALSE),"No encontrado. Revisar código, fecha ejecución y/o contrato."),
IF(M235=$H$3,IFERROR(VLOOKUP(B235,#REF!,5,FALSE),"No encontrado. Revisar código, fecha ejecución y/o contrato."),
IF(D235="","Código no encontrado",
IF(D235="ERROR","No encontrado. Revisar Código, fecha de ejecución y/o contrato.",
IF(D235="MATE",
IF(C234="DESCRIPCION","NO SE PUEDE COMENZAR SIN CÓDIGO DE TAREA",
IF(C234="","FALTA CÓDIGO DE TAREA",
CONCATENATE("          ",VLOOKUP(B235,'Maestro Materiales'!A:C,3,FALSE)))),IFERROR(VLOOKUP(B235,#REF!,5,FALSE),"No encontrado. Revisar código, fecha ejecución y/o contrato."))))))))</f>
        <v/>
      </c>
      <c r="D235" s="88" t="str">
        <f>IF(B235="","",
IFERROR(VLOOKUP(B235,'Maestro Materiales'!A:C,2,FALSE),
IFERROR(VLOOKUP(B235,'Baremos actuales'!A:B,2,FALSE),
IFERROR(VLOOKUP(B235,'Baremos anteriores'!A:B,2,FALSE),
""))))</f>
        <v/>
      </c>
      <c r="E235" s="9"/>
      <c r="F235" s="89" t="str">
        <f>IF(D235="MATE",
IF(E235="","¿Unidades?",""),
IF(D235="",IF(E235="","","¿Código?"),
IF(E235="","¿Unidades?",
IF(D235="TARE",
IF(M235=$H$3,IFERROR(VLOOKUP(B235,'Baremos actuales'!A:C,3,FALSE),0),
IF(M235=$H$4,IFERROR(VLOOKUP(B235,'Baremos anteriores'!A:C,3,FALSE),0),0))))))</f>
        <v/>
      </c>
      <c r="G235" s="7"/>
      <c r="H235" s="8"/>
      <c r="I235" s="8"/>
      <c r="J235" s="78" t="str">
        <f>IF($D235="","",
IF($E235="","",
IF($D235="MATE","",
IF(VLOOKUP($B235,'Baremos actuales'!A:D,4,FALSE)=J$9,$E235*$F235,IF(VLOOKUP($B235,'Baremos anteriores'!A:D,4,FALSE)="Sin Definir",$E235*$F235,"")))))</f>
        <v/>
      </c>
      <c r="K235" s="79" t="str">
        <f>IF($D235="","",
IF($E235="","",
IF($D235="MATE","",
IF(VLOOKUP($B235,'Baremos actuales'!$A:$D,4,FALSE)=K$9,$E235*$F235,IF(VLOOKUP($B235,'Baremos anteriores'!$A:$D,4,FALSE)="Desmonte",$E235*$F235,"")))))</f>
        <v/>
      </c>
      <c r="L235" s="80" t="str">
        <f>IF($D235="","",
IF($E235="","",
IF($D235="MATE","",
IF(VLOOKUP($B235,'Baremos actuales'!$A:$D,4,FALSE)=L$9,$E235*$F235,""))))</f>
        <v/>
      </c>
      <c r="M235" s="91" t="str">
        <f t="shared" si="3"/>
        <v/>
      </c>
      <c r="N235" s="96"/>
      <c r="O235" s="95"/>
      <c r="P235" s="96"/>
      <c r="Q235" s="98"/>
    </row>
    <row r="236" spans="1:17" ht="15.75" x14ac:dyDescent="0.2">
      <c r="A236" s="17"/>
      <c r="B236" s="18"/>
      <c r="C236" s="87" t="str">
        <f>IF(B236="","",
IF(M236=$H$5,IFERROR(VLOOKUP(B236,'Baremos actuales'!A:E,5,FALSE),"No encontrado. Revisar código, fecha ejecución y/o contrato."),
IF(M236=$H$4,IFERROR(VLOOKUP(B236,'Baremos anteriores'!A:E,5,FALSE),"No encontrado. Revisar código, fecha ejecución y/o contrato."),
IF(M236=$H$3,IFERROR(VLOOKUP(B236,#REF!,5,FALSE),"No encontrado. Revisar código, fecha ejecución y/o contrato."),
IF(D236="","Código no encontrado",
IF(D236="ERROR","No encontrado. Revisar Código, fecha de ejecución y/o contrato.",
IF(D236="MATE",
IF(C235="DESCRIPCION","NO SE PUEDE COMENZAR SIN CÓDIGO DE TAREA",
IF(C235="","FALTA CÓDIGO DE TAREA",
CONCATENATE("          ",VLOOKUP(B236,'Maestro Materiales'!A:C,3,FALSE)))),IFERROR(VLOOKUP(B236,#REF!,5,FALSE),"No encontrado. Revisar código, fecha ejecución y/o contrato."))))))))</f>
        <v/>
      </c>
      <c r="D236" s="88" t="str">
        <f>IF(B236="","",
IFERROR(VLOOKUP(B236,'Maestro Materiales'!A:C,2,FALSE),
IFERROR(VLOOKUP(B236,'Baremos actuales'!A:B,2,FALSE),
IFERROR(VLOOKUP(B236,'Baremos anteriores'!A:B,2,FALSE),
""))))</f>
        <v/>
      </c>
      <c r="E236" s="9"/>
      <c r="F236" s="89" t="str">
        <f>IF(D236="MATE",
IF(E236="","¿Unidades?",""),
IF(D236="",IF(E236="","","¿Código?"),
IF(E236="","¿Unidades?",
IF(D236="TARE",
IF(M236=$H$3,IFERROR(VLOOKUP(B236,'Baremos actuales'!A:C,3,FALSE),0),
IF(M236=$H$4,IFERROR(VLOOKUP(B236,'Baremos anteriores'!A:C,3,FALSE),0),0))))))</f>
        <v/>
      </c>
      <c r="G236" s="7"/>
      <c r="H236" s="8"/>
      <c r="I236" s="8"/>
      <c r="J236" s="78" t="str">
        <f>IF($D236="","",
IF($E236="","",
IF($D236="MATE","",
IF(VLOOKUP($B236,'Baremos actuales'!A:D,4,FALSE)=J$9,$E236*$F236,IF(VLOOKUP($B236,'Baremos anteriores'!A:D,4,FALSE)="Sin Definir",$E236*$F236,"")))))</f>
        <v/>
      </c>
      <c r="K236" s="79" t="str">
        <f>IF($D236="","",
IF($E236="","",
IF($D236="MATE","",
IF(VLOOKUP($B236,'Baremos actuales'!$A:$D,4,FALSE)=K$9,$E236*$F236,IF(VLOOKUP($B236,'Baremos anteriores'!$A:$D,4,FALSE)="Desmonte",$E236*$F236,"")))))</f>
        <v/>
      </c>
      <c r="L236" s="80" t="str">
        <f>IF($D236="","",
IF($E236="","",
IF($D236="MATE","",
IF(VLOOKUP($B236,'Baremos actuales'!$A:$D,4,FALSE)=L$9,$E236*$F236,""))))</f>
        <v/>
      </c>
      <c r="M236" s="91" t="str">
        <f t="shared" si="3"/>
        <v/>
      </c>
      <c r="N236" s="96"/>
      <c r="O236" s="95"/>
      <c r="P236" s="96"/>
      <c r="Q236" s="98"/>
    </row>
    <row r="237" spans="1:17" ht="15.75" x14ac:dyDescent="0.2">
      <c r="A237" s="17"/>
      <c r="B237" s="18"/>
      <c r="C237" s="87" t="str">
        <f>IF(B237="","",
IF(M237=$H$5,IFERROR(VLOOKUP(B237,'Baremos actuales'!A:E,5,FALSE),"No encontrado. Revisar código, fecha ejecución y/o contrato."),
IF(M237=$H$4,IFERROR(VLOOKUP(B237,'Baremos anteriores'!A:E,5,FALSE),"No encontrado. Revisar código, fecha ejecución y/o contrato."),
IF(M237=$H$3,IFERROR(VLOOKUP(B237,#REF!,5,FALSE),"No encontrado. Revisar código, fecha ejecución y/o contrato."),
IF(D237="","Código no encontrado",
IF(D237="ERROR","No encontrado. Revisar Código, fecha de ejecución y/o contrato.",
IF(D237="MATE",
IF(C236="DESCRIPCION","NO SE PUEDE COMENZAR SIN CÓDIGO DE TAREA",
IF(C236="","FALTA CÓDIGO DE TAREA",
CONCATENATE("          ",VLOOKUP(B237,'Maestro Materiales'!A:C,3,FALSE)))),IFERROR(VLOOKUP(B237,#REF!,5,FALSE),"No encontrado. Revisar código, fecha ejecución y/o contrato."))))))))</f>
        <v/>
      </c>
      <c r="D237" s="88" t="str">
        <f>IF(B237="","",
IFERROR(VLOOKUP(B237,'Maestro Materiales'!A:C,2,FALSE),
IFERROR(VLOOKUP(B237,'Baremos actuales'!A:B,2,FALSE),
IFERROR(VLOOKUP(B237,'Baremos anteriores'!A:B,2,FALSE),
""))))</f>
        <v/>
      </c>
      <c r="E237" s="9"/>
      <c r="F237" s="89" t="str">
        <f>IF(D237="MATE",
IF(E237="","¿Unidades?",""),
IF(D237="",IF(E237="","","¿Código?"),
IF(E237="","¿Unidades?",
IF(D237="TARE",
IF(M237=$H$3,IFERROR(VLOOKUP(B237,'Baremos actuales'!A:C,3,FALSE),0),
IF(M237=$H$4,IFERROR(VLOOKUP(B237,'Baremos anteriores'!A:C,3,FALSE),0),0))))))</f>
        <v/>
      </c>
      <c r="G237" s="7"/>
      <c r="H237" s="8"/>
      <c r="I237" s="8"/>
      <c r="J237" s="78" t="str">
        <f>IF($D237="","",
IF($E237="","",
IF($D237="MATE","",
IF(VLOOKUP($B237,'Baremos actuales'!A:D,4,FALSE)=J$9,$E237*$F237,IF(VLOOKUP($B237,'Baremos anteriores'!A:D,4,FALSE)="Sin Definir",$E237*$F237,"")))))</f>
        <v/>
      </c>
      <c r="K237" s="79" t="str">
        <f>IF($D237="","",
IF($E237="","",
IF($D237="MATE","",
IF(VLOOKUP($B237,'Baremos actuales'!$A:$D,4,FALSE)=K$9,$E237*$F237,IF(VLOOKUP($B237,'Baremos anteriores'!$A:$D,4,FALSE)="Desmonte",$E237*$F237,"")))))</f>
        <v/>
      </c>
      <c r="L237" s="80" t="str">
        <f>IF($D237="","",
IF($E237="","",
IF($D237="MATE","",
IF(VLOOKUP($B237,'Baremos actuales'!$A:$D,4,FALSE)=L$9,$E237*$F237,""))))</f>
        <v/>
      </c>
      <c r="M237" s="91" t="str">
        <f t="shared" si="3"/>
        <v/>
      </c>
      <c r="N237" s="96"/>
      <c r="O237" s="95"/>
      <c r="P237" s="96"/>
      <c r="Q237" s="98"/>
    </row>
    <row r="238" spans="1:17" ht="15.75" x14ac:dyDescent="0.2">
      <c r="A238" s="17"/>
      <c r="B238" s="18"/>
      <c r="C238" s="87" t="str">
        <f>IF(B238="","",
IF(M238=$H$5,IFERROR(VLOOKUP(B238,'Baremos actuales'!A:E,5,FALSE),"No encontrado. Revisar código, fecha ejecución y/o contrato."),
IF(M238=$H$4,IFERROR(VLOOKUP(B238,'Baremos anteriores'!A:E,5,FALSE),"No encontrado. Revisar código, fecha ejecución y/o contrato."),
IF(M238=$H$3,IFERROR(VLOOKUP(B238,#REF!,5,FALSE),"No encontrado. Revisar código, fecha ejecución y/o contrato."),
IF(D238="","Código no encontrado",
IF(D238="ERROR","No encontrado. Revisar Código, fecha de ejecución y/o contrato.",
IF(D238="MATE",
IF(C237="DESCRIPCION","NO SE PUEDE COMENZAR SIN CÓDIGO DE TAREA",
IF(C237="","FALTA CÓDIGO DE TAREA",
CONCATENATE("          ",VLOOKUP(B238,'Maestro Materiales'!A:C,3,FALSE)))),IFERROR(VLOOKUP(B238,#REF!,5,FALSE),"No encontrado. Revisar código, fecha ejecución y/o contrato."))))))))</f>
        <v/>
      </c>
      <c r="D238" s="88" t="str">
        <f>IF(B238="","",
IFERROR(VLOOKUP(B238,'Maestro Materiales'!A:C,2,FALSE),
IFERROR(VLOOKUP(B238,'Baremos actuales'!A:B,2,FALSE),
IFERROR(VLOOKUP(B238,'Baremos anteriores'!A:B,2,FALSE),
""))))</f>
        <v/>
      </c>
      <c r="E238" s="9"/>
      <c r="F238" s="89" t="str">
        <f>IF(D238="MATE",
IF(E238="","¿Unidades?",""),
IF(D238="",IF(E238="","","¿Código?"),
IF(E238="","¿Unidades?",
IF(D238="TARE",
IF(M238=$H$3,IFERROR(VLOOKUP(B238,'Baremos actuales'!A:C,3,FALSE),0),
IF(M238=$H$4,IFERROR(VLOOKUP(B238,'Baremos anteriores'!A:C,3,FALSE),0),0))))))</f>
        <v/>
      </c>
      <c r="G238" s="7"/>
      <c r="H238" s="8"/>
      <c r="I238" s="8"/>
      <c r="J238" s="78" t="str">
        <f>IF($D238="","",
IF($E238="","",
IF($D238="MATE","",
IF(VLOOKUP($B238,'Baremos actuales'!A:D,4,FALSE)=J$9,$E238*$F238,IF(VLOOKUP($B238,'Baremos anteriores'!A:D,4,FALSE)="Sin Definir",$E238*$F238,"")))))</f>
        <v/>
      </c>
      <c r="K238" s="79" t="str">
        <f>IF($D238="","",
IF($E238="","",
IF($D238="MATE","",
IF(VLOOKUP($B238,'Baremos actuales'!$A:$D,4,FALSE)=K$9,$E238*$F238,IF(VLOOKUP($B238,'Baremos anteriores'!$A:$D,4,FALSE)="Desmonte",$E238*$F238,"")))))</f>
        <v/>
      </c>
      <c r="L238" s="80" t="str">
        <f>IF($D238="","",
IF($E238="","",
IF($D238="MATE","",
IF(VLOOKUP($B238,'Baremos actuales'!$A:$D,4,FALSE)=L$9,$E238*$F238,""))))</f>
        <v/>
      </c>
      <c r="M238" s="91" t="str">
        <f t="shared" si="3"/>
        <v/>
      </c>
      <c r="N238" s="96"/>
      <c r="O238" s="95"/>
      <c r="P238" s="96"/>
      <c r="Q238" s="98"/>
    </row>
    <row r="239" spans="1:17" ht="15.75" x14ac:dyDescent="0.2">
      <c r="A239" s="17"/>
      <c r="B239" s="18"/>
      <c r="C239" s="87" t="str">
        <f>IF(B239="","",
IF(M239=$H$5,IFERROR(VLOOKUP(B239,'Baremos actuales'!A:E,5,FALSE),"No encontrado. Revisar código, fecha ejecución y/o contrato."),
IF(M239=$H$4,IFERROR(VLOOKUP(B239,'Baremos anteriores'!A:E,5,FALSE),"No encontrado. Revisar código, fecha ejecución y/o contrato."),
IF(M239=$H$3,IFERROR(VLOOKUP(B239,#REF!,5,FALSE),"No encontrado. Revisar código, fecha ejecución y/o contrato."),
IF(D239="","Código no encontrado",
IF(D239="ERROR","No encontrado. Revisar Código, fecha de ejecución y/o contrato.",
IF(D239="MATE",
IF(C238="DESCRIPCION","NO SE PUEDE COMENZAR SIN CÓDIGO DE TAREA",
IF(C238="","FALTA CÓDIGO DE TAREA",
CONCATENATE("          ",VLOOKUP(B239,'Maestro Materiales'!A:C,3,FALSE)))),IFERROR(VLOOKUP(B239,#REF!,5,FALSE),"No encontrado. Revisar código, fecha ejecución y/o contrato."))))))))</f>
        <v/>
      </c>
      <c r="D239" s="88" t="str">
        <f>IF(B239="","",
IFERROR(VLOOKUP(B239,'Maestro Materiales'!A:C,2,FALSE),
IFERROR(VLOOKUP(B239,'Baremos actuales'!A:B,2,FALSE),
IFERROR(VLOOKUP(B239,'Baremos anteriores'!A:B,2,FALSE),
""))))</f>
        <v/>
      </c>
      <c r="E239" s="9"/>
      <c r="F239" s="89" t="str">
        <f>IF(D239="MATE",
IF(E239="","¿Unidades?",""),
IF(D239="",IF(E239="","","¿Código?"),
IF(E239="","¿Unidades?",
IF(D239="TARE",
IF(M239=$H$3,IFERROR(VLOOKUP(B239,'Baremos actuales'!A:C,3,FALSE),0),
IF(M239=$H$4,IFERROR(VLOOKUP(B239,'Baremos anteriores'!A:C,3,FALSE),0),0))))))</f>
        <v/>
      </c>
      <c r="G239" s="7"/>
      <c r="H239" s="8"/>
      <c r="I239" s="8"/>
      <c r="J239" s="78" t="str">
        <f>IF($D239="","",
IF($E239="","",
IF($D239="MATE","",
IF(VLOOKUP($B239,'Baremos actuales'!A:D,4,FALSE)=J$9,$E239*$F239,IF(VLOOKUP($B239,'Baremos anteriores'!A:D,4,FALSE)="Sin Definir",$E239*$F239,"")))))</f>
        <v/>
      </c>
      <c r="K239" s="79" t="str">
        <f>IF($D239="","",
IF($E239="","",
IF($D239="MATE","",
IF(VLOOKUP($B239,'Baremos actuales'!$A:$D,4,FALSE)=K$9,$E239*$F239,IF(VLOOKUP($B239,'Baremos anteriores'!$A:$D,4,FALSE)="Desmonte",$E239*$F239,"")))))</f>
        <v/>
      </c>
      <c r="L239" s="80" t="str">
        <f>IF($D239="","",
IF($E239="","",
IF($D239="MATE","",
IF(VLOOKUP($B239,'Baremos actuales'!$A:$D,4,FALSE)=L$9,$E239*$F239,""))))</f>
        <v/>
      </c>
      <c r="M239" s="91" t="str">
        <f t="shared" si="3"/>
        <v/>
      </c>
      <c r="N239" s="96"/>
      <c r="O239" s="95"/>
      <c r="P239" s="96"/>
      <c r="Q239" s="98"/>
    </row>
    <row r="240" spans="1:17" ht="15.75" x14ac:dyDescent="0.2">
      <c r="A240" s="17"/>
      <c r="B240" s="18"/>
      <c r="C240" s="87" t="str">
        <f>IF(B240="","",
IF(M240=$H$5,IFERROR(VLOOKUP(B240,'Baremos actuales'!A:E,5,FALSE),"No encontrado. Revisar código, fecha ejecución y/o contrato."),
IF(M240=$H$4,IFERROR(VLOOKUP(B240,'Baremos anteriores'!A:E,5,FALSE),"No encontrado. Revisar código, fecha ejecución y/o contrato."),
IF(M240=$H$3,IFERROR(VLOOKUP(B240,#REF!,5,FALSE),"No encontrado. Revisar código, fecha ejecución y/o contrato."),
IF(D240="","Código no encontrado",
IF(D240="ERROR","No encontrado. Revisar Código, fecha de ejecución y/o contrato.",
IF(D240="MATE",
IF(C239="DESCRIPCION","NO SE PUEDE COMENZAR SIN CÓDIGO DE TAREA",
IF(C239="","FALTA CÓDIGO DE TAREA",
CONCATENATE("          ",VLOOKUP(B240,'Maestro Materiales'!A:C,3,FALSE)))),IFERROR(VLOOKUP(B240,#REF!,5,FALSE),"No encontrado. Revisar código, fecha ejecución y/o contrato."))))))))</f>
        <v/>
      </c>
      <c r="D240" s="88" t="str">
        <f>IF(B240="","",
IFERROR(VLOOKUP(B240,'Maestro Materiales'!A:C,2,FALSE),
IFERROR(VLOOKUP(B240,'Baremos actuales'!A:B,2,FALSE),
IFERROR(VLOOKUP(B240,'Baremos anteriores'!A:B,2,FALSE),
""))))</f>
        <v/>
      </c>
      <c r="E240" s="9"/>
      <c r="F240" s="89" t="str">
        <f>IF(D240="MATE",
IF(E240="","¿Unidades?",""),
IF(D240="",IF(E240="","","¿Código?"),
IF(E240="","¿Unidades?",
IF(D240="TARE",
IF(M240=$H$3,IFERROR(VLOOKUP(B240,'Baremos actuales'!A:C,3,FALSE),0),
IF(M240=$H$4,IFERROR(VLOOKUP(B240,'Baremos anteriores'!A:C,3,FALSE),0),0))))))</f>
        <v/>
      </c>
      <c r="G240" s="7"/>
      <c r="H240" s="8"/>
      <c r="I240" s="8"/>
      <c r="J240" s="78" t="str">
        <f>IF($D240="","",
IF($E240="","",
IF($D240="MATE","",
IF(VLOOKUP($B240,'Baremos actuales'!A:D,4,FALSE)=J$9,$E240*$F240,IF(VLOOKUP($B240,'Baremos anteriores'!A:D,4,FALSE)="Sin Definir",$E240*$F240,"")))))</f>
        <v/>
      </c>
      <c r="K240" s="79" t="str">
        <f>IF($D240="","",
IF($E240="","",
IF($D240="MATE","",
IF(VLOOKUP($B240,'Baremos actuales'!$A:$D,4,FALSE)=K$9,$E240*$F240,IF(VLOOKUP($B240,'Baremos anteriores'!$A:$D,4,FALSE)="Desmonte",$E240*$F240,"")))))</f>
        <v/>
      </c>
      <c r="L240" s="80" t="str">
        <f>IF($D240="","",
IF($E240="","",
IF($D240="MATE","",
IF(VLOOKUP($B240,'Baremos actuales'!$A:$D,4,FALSE)=L$9,$E240*$F240,""))))</f>
        <v/>
      </c>
      <c r="M240" s="91" t="str">
        <f t="shared" si="3"/>
        <v/>
      </c>
      <c r="N240" s="96"/>
      <c r="O240" s="95"/>
      <c r="P240" s="96"/>
      <c r="Q240" s="98"/>
    </row>
    <row r="241" spans="1:17" ht="15.75" x14ac:dyDescent="0.2">
      <c r="A241" s="17"/>
      <c r="B241" s="18"/>
      <c r="C241" s="87" t="str">
        <f>IF(B241="","",
IF(M241=$H$5,IFERROR(VLOOKUP(B241,'Baremos actuales'!A:E,5,FALSE),"No encontrado. Revisar código, fecha ejecución y/o contrato."),
IF(M241=$H$4,IFERROR(VLOOKUP(B241,'Baremos anteriores'!A:E,5,FALSE),"No encontrado. Revisar código, fecha ejecución y/o contrato."),
IF(M241=$H$3,IFERROR(VLOOKUP(B241,#REF!,5,FALSE),"No encontrado. Revisar código, fecha ejecución y/o contrato."),
IF(D241="","Código no encontrado",
IF(D241="ERROR","No encontrado. Revisar Código, fecha de ejecución y/o contrato.",
IF(D241="MATE",
IF(C240="DESCRIPCION","NO SE PUEDE COMENZAR SIN CÓDIGO DE TAREA",
IF(C240="","FALTA CÓDIGO DE TAREA",
CONCATENATE("          ",VLOOKUP(B241,'Maestro Materiales'!A:C,3,FALSE)))),IFERROR(VLOOKUP(B241,#REF!,5,FALSE),"No encontrado. Revisar código, fecha ejecución y/o contrato."))))))))</f>
        <v/>
      </c>
      <c r="D241" s="88" t="str">
        <f>IF(B241="","",
IFERROR(VLOOKUP(B241,'Maestro Materiales'!A:C,2,FALSE),
IFERROR(VLOOKUP(B241,'Baremos actuales'!A:B,2,FALSE),
IFERROR(VLOOKUP(B241,'Baremos anteriores'!A:B,2,FALSE),
""))))</f>
        <v/>
      </c>
      <c r="E241" s="9"/>
      <c r="F241" s="89" t="str">
        <f>IF(D241="MATE",
IF(E241="","¿Unidades?",""),
IF(D241="",IF(E241="","","¿Código?"),
IF(E241="","¿Unidades?",
IF(D241="TARE",
IF(M241=$H$3,IFERROR(VLOOKUP(B241,'Baremos actuales'!A:C,3,FALSE),0),
IF(M241=$H$4,IFERROR(VLOOKUP(B241,'Baremos anteriores'!A:C,3,FALSE),0),0))))))</f>
        <v/>
      </c>
      <c r="G241" s="7"/>
      <c r="H241" s="8"/>
      <c r="I241" s="8"/>
      <c r="J241" s="78" t="str">
        <f>IF($D241="","",
IF($E241="","",
IF($D241="MATE","",
IF(VLOOKUP($B241,'Baremos actuales'!A:D,4,FALSE)=J$9,$E241*$F241,IF(VLOOKUP($B241,'Baremos anteriores'!A:D,4,FALSE)="Sin Definir",$E241*$F241,"")))))</f>
        <v/>
      </c>
      <c r="K241" s="79" t="str">
        <f>IF($D241="","",
IF($E241="","",
IF($D241="MATE","",
IF(VLOOKUP($B241,'Baremos actuales'!$A:$D,4,FALSE)=K$9,$E241*$F241,IF(VLOOKUP($B241,'Baremos anteriores'!$A:$D,4,FALSE)="Desmonte",$E241*$F241,"")))))</f>
        <v/>
      </c>
      <c r="L241" s="80" t="str">
        <f>IF($D241="","",
IF($E241="","",
IF($D241="MATE","",
IF(VLOOKUP($B241,'Baremos actuales'!$A:$D,4,FALSE)=L$9,$E241*$F241,""))))</f>
        <v/>
      </c>
      <c r="M241" s="91" t="str">
        <f t="shared" si="3"/>
        <v/>
      </c>
      <c r="N241" s="96"/>
      <c r="O241" s="95"/>
      <c r="P241" s="96"/>
      <c r="Q241" s="98"/>
    </row>
    <row r="242" spans="1:17" ht="15.75" x14ac:dyDescent="0.2">
      <c r="A242" s="17"/>
      <c r="B242" s="18"/>
      <c r="C242" s="87" t="str">
        <f>IF(B242="","",
IF(M242=$H$5,IFERROR(VLOOKUP(B242,'Baremos actuales'!A:E,5,FALSE),"No encontrado. Revisar código, fecha ejecución y/o contrato."),
IF(M242=$H$4,IFERROR(VLOOKUP(B242,'Baremos anteriores'!A:E,5,FALSE),"No encontrado. Revisar código, fecha ejecución y/o contrato."),
IF(M242=$H$3,IFERROR(VLOOKUP(B242,#REF!,5,FALSE),"No encontrado. Revisar código, fecha ejecución y/o contrato."),
IF(D242="","Código no encontrado",
IF(D242="ERROR","No encontrado. Revisar Código, fecha de ejecución y/o contrato.",
IF(D242="MATE",
IF(C241="DESCRIPCION","NO SE PUEDE COMENZAR SIN CÓDIGO DE TAREA",
IF(C241="","FALTA CÓDIGO DE TAREA",
CONCATENATE("          ",VLOOKUP(B242,'Maestro Materiales'!A:C,3,FALSE)))),IFERROR(VLOOKUP(B242,#REF!,5,FALSE),"No encontrado. Revisar código, fecha ejecución y/o contrato."))))))))</f>
        <v/>
      </c>
      <c r="D242" s="88" t="str">
        <f>IF(B242="","",
IFERROR(VLOOKUP(B242,'Maestro Materiales'!A:C,2,FALSE),
IFERROR(VLOOKUP(B242,'Baremos actuales'!A:B,2,FALSE),
IFERROR(VLOOKUP(B242,'Baremos anteriores'!A:B,2,FALSE),
""))))</f>
        <v/>
      </c>
      <c r="E242" s="9"/>
      <c r="F242" s="89" t="str">
        <f>IF(D242="MATE",
IF(E242="","¿Unidades?",""),
IF(D242="",IF(E242="","","¿Código?"),
IF(E242="","¿Unidades?",
IF(D242="TARE",
IF(M242=$H$3,IFERROR(VLOOKUP(B242,'Baremos actuales'!A:C,3,FALSE),0),
IF(M242=$H$4,IFERROR(VLOOKUP(B242,'Baremos anteriores'!A:C,3,FALSE),0),0))))))</f>
        <v/>
      </c>
      <c r="G242" s="7"/>
      <c r="H242" s="8"/>
      <c r="I242" s="8"/>
      <c r="J242" s="78" t="str">
        <f>IF($D242="","",
IF($E242="","",
IF($D242="MATE","",
IF(VLOOKUP($B242,'Baremos actuales'!A:D,4,FALSE)=J$9,$E242*$F242,IF(VLOOKUP($B242,'Baremos anteriores'!A:D,4,FALSE)="Sin Definir",$E242*$F242,"")))))</f>
        <v/>
      </c>
      <c r="K242" s="79" t="str">
        <f>IF($D242="","",
IF($E242="","",
IF($D242="MATE","",
IF(VLOOKUP($B242,'Baremos actuales'!$A:$D,4,FALSE)=K$9,$E242*$F242,IF(VLOOKUP($B242,'Baremos anteriores'!$A:$D,4,FALSE)="Desmonte",$E242*$F242,"")))))</f>
        <v/>
      </c>
      <c r="L242" s="80" t="str">
        <f>IF($D242="","",
IF($E242="","",
IF($D242="MATE","",
IF(VLOOKUP($B242,'Baremos actuales'!$A:$D,4,FALSE)=L$9,$E242*$F242,""))))</f>
        <v/>
      </c>
      <c r="M242" s="91" t="str">
        <f t="shared" si="3"/>
        <v/>
      </c>
      <c r="N242" s="96"/>
      <c r="O242" s="95"/>
      <c r="P242" s="96"/>
      <c r="Q242" s="98"/>
    </row>
    <row r="243" spans="1:17" ht="15.75" x14ac:dyDescent="0.2">
      <c r="A243" s="17"/>
      <c r="B243" s="18"/>
      <c r="C243" s="87" t="str">
        <f>IF(B243="","",
IF(M243=$H$5,IFERROR(VLOOKUP(B243,'Baremos actuales'!A:E,5,FALSE),"No encontrado. Revisar código, fecha ejecución y/o contrato."),
IF(M243=$H$4,IFERROR(VLOOKUP(B243,'Baremos anteriores'!A:E,5,FALSE),"No encontrado. Revisar código, fecha ejecución y/o contrato."),
IF(M243=$H$3,IFERROR(VLOOKUP(B243,#REF!,5,FALSE),"No encontrado. Revisar código, fecha ejecución y/o contrato."),
IF(D243="","Código no encontrado",
IF(D243="ERROR","No encontrado. Revisar Código, fecha de ejecución y/o contrato.",
IF(D243="MATE",
IF(C242="DESCRIPCION","NO SE PUEDE COMENZAR SIN CÓDIGO DE TAREA",
IF(C242="","FALTA CÓDIGO DE TAREA",
CONCATENATE("          ",VLOOKUP(B243,'Maestro Materiales'!A:C,3,FALSE)))),IFERROR(VLOOKUP(B243,#REF!,5,FALSE),"No encontrado. Revisar código, fecha ejecución y/o contrato."))))))))</f>
        <v/>
      </c>
      <c r="D243" s="88" t="str">
        <f>IF(B243="","",
IFERROR(VLOOKUP(B243,'Maestro Materiales'!A:C,2,FALSE),
IFERROR(VLOOKUP(B243,'Baremos actuales'!A:B,2,FALSE),
IFERROR(VLOOKUP(B243,'Baremos anteriores'!A:B,2,FALSE),
""))))</f>
        <v/>
      </c>
      <c r="E243" s="9"/>
      <c r="F243" s="89" t="str">
        <f>IF(D243="MATE",
IF(E243="","¿Unidades?",""),
IF(D243="",IF(E243="","","¿Código?"),
IF(E243="","¿Unidades?",
IF(D243="TARE",
IF(M243=$H$3,IFERROR(VLOOKUP(B243,'Baremos actuales'!A:C,3,FALSE),0),
IF(M243=$H$4,IFERROR(VLOOKUP(B243,'Baremos anteriores'!A:C,3,FALSE),0),0))))))</f>
        <v/>
      </c>
      <c r="G243" s="7"/>
      <c r="H243" s="8"/>
      <c r="I243" s="8"/>
      <c r="J243" s="78" t="str">
        <f>IF($D243="","",
IF($E243="","",
IF($D243="MATE","",
IF(VLOOKUP($B243,'Baremos actuales'!A:D,4,FALSE)=J$9,$E243*$F243,IF(VLOOKUP($B243,'Baremos anteriores'!A:D,4,FALSE)="Sin Definir",$E243*$F243,"")))))</f>
        <v/>
      </c>
      <c r="K243" s="79" t="str">
        <f>IF($D243="","",
IF($E243="","",
IF($D243="MATE","",
IF(VLOOKUP($B243,'Baremos actuales'!$A:$D,4,FALSE)=K$9,$E243*$F243,IF(VLOOKUP($B243,'Baremos anteriores'!$A:$D,4,FALSE)="Desmonte",$E243*$F243,"")))))</f>
        <v/>
      </c>
      <c r="L243" s="80" t="str">
        <f>IF($D243="","",
IF($E243="","",
IF($D243="MATE","",
IF(VLOOKUP($B243,'Baremos actuales'!$A:$D,4,FALSE)=L$9,$E243*$F243,""))))</f>
        <v/>
      </c>
      <c r="M243" s="91" t="str">
        <f t="shared" si="3"/>
        <v/>
      </c>
      <c r="N243" s="96"/>
      <c r="O243" s="95"/>
      <c r="P243" s="96"/>
      <c r="Q243" s="98"/>
    </row>
    <row r="244" spans="1:17" ht="15.75" x14ac:dyDescent="0.2">
      <c r="A244" s="17"/>
      <c r="B244" s="18"/>
      <c r="C244" s="87" t="str">
        <f>IF(B244="","",
IF(M244=$H$5,IFERROR(VLOOKUP(B244,'Baremos actuales'!A:E,5,FALSE),"No encontrado. Revisar código, fecha ejecución y/o contrato."),
IF(M244=$H$4,IFERROR(VLOOKUP(B244,'Baremos anteriores'!A:E,5,FALSE),"No encontrado. Revisar código, fecha ejecución y/o contrato."),
IF(M244=$H$3,IFERROR(VLOOKUP(B244,#REF!,5,FALSE),"No encontrado. Revisar código, fecha ejecución y/o contrato."),
IF(D244="","Código no encontrado",
IF(D244="ERROR","No encontrado. Revisar Código, fecha de ejecución y/o contrato.",
IF(D244="MATE",
IF(C243="DESCRIPCION","NO SE PUEDE COMENZAR SIN CÓDIGO DE TAREA",
IF(C243="","FALTA CÓDIGO DE TAREA",
CONCATENATE("          ",VLOOKUP(B244,'Maestro Materiales'!A:C,3,FALSE)))),IFERROR(VLOOKUP(B244,#REF!,5,FALSE),"No encontrado. Revisar código, fecha ejecución y/o contrato."))))))))</f>
        <v/>
      </c>
      <c r="D244" s="88" t="str">
        <f>IF(B244="","",
IFERROR(VLOOKUP(B244,'Maestro Materiales'!A:C,2,FALSE),
IFERROR(VLOOKUP(B244,'Baremos actuales'!A:B,2,FALSE),
IFERROR(VLOOKUP(B244,'Baremos anteriores'!A:B,2,FALSE),
""))))</f>
        <v/>
      </c>
      <c r="E244" s="9"/>
      <c r="F244" s="89" t="str">
        <f>IF(D244="MATE",
IF(E244="","¿Unidades?",""),
IF(D244="",IF(E244="","","¿Código?"),
IF(E244="","¿Unidades?",
IF(D244="TARE",
IF(M244=$H$3,IFERROR(VLOOKUP(B244,'Baremos actuales'!A:C,3,FALSE),0),
IF(M244=$H$4,IFERROR(VLOOKUP(B244,'Baremos anteriores'!A:C,3,FALSE),0),0))))))</f>
        <v/>
      </c>
      <c r="G244" s="7"/>
      <c r="H244" s="8"/>
      <c r="I244" s="8"/>
      <c r="J244" s="78" t="str">
        <f>IF($D244="","",
IF($E244="","",
IF($D244="MATE","",
IF(VLOOKUP($B244,'Baremos actuales'!A:D,4,FALSE)=J$9,$E244*$F244,IF(VLOOKUP($B244,'Baremos anteriores'!A:D,4,FALSE)="Sin Definir",$E244*$F244,"")))))</f>
        <v/>
      </c>
      <c r="K244" s="79" t="str">
        <f>IF($D244="","",
IF($E244="","",
IF($D244="MATE","",
IF(VLOOKUP($B244,'Baremos actuales'!$A:$D,4,FALSE)=K$9,$E244*$F244,IF(VLOOKUP($B244,'Baremos anteriores'!$A:$D,4,FALSE)="Desmonte",$E244*$F244,"")))))</f>
        <v/>
      </c>
      <c r="L244" s="80" t="str">
        <f>IF($D244="","",
IF($E244="","",
IF($D244="MATE","",
IF(VLOOKUP($B244,'Baremos actuales'!$A:$D,4,FALSE)=L$9,$E244*$F244,""))))</f>
        <v/>
      </c>
      <c r="M244" s="91" t="str">
        <f t="shared" si="3"/>
        <v/>
      </c>
      <c r="N244" s="96"/>
      <c r="O244" s="95"/>
      <c r="P244" s="96"/>
      <c r="Q244" s="98"/>
    </row>
    <row r="245" spans="1:17" ht="15.75" x14ac:dyDescent="0.2">
      <c r="A245" s="17"/>
      <c r="B245" s="18"/>
      <c r="C245" s="87" t="str">
        <f>IF(B245="","",
IF(M245=$H$5,IFERROR(VLOOKUP(B245,'Baremos actuales'!A:E,5,FALSE),"No encontrado. Revisar código, fecha ejecución y/o contrato."),
IF(M245=$H$4,IFERROR(VLOOKUP(B245,'Baremos anteriores'!A:E,5,FALSE),"No encontrado. Revisar código, fecha ejecución y/o contrato."),
IF(M245=$H$3,IFERROR(VLOOKUP(B245,#REF!,5,FALSE),"No encontrado. Revisar código, fecha ejecución y/o contrato."),
IF(D245="","Código no encontrado",
IF(D245="ERROR","No encontrado. Revisar Código, fecha de ejecución y/o contrato.",
IF(D245="MATE",
IF(C244="DESCRIPCION","NO SE PUEDE COMENZAR SIN CÓDIGO DE TAREA",
IF(C244="","FALTA CÓDIGO DE TAREA",
CONCATENATE("          ",VLOOKUP(B245,'Maestro Materiales'!A:C,3,FALSE)))),IFERROR(VLOOKUP(B245,#REF!,5,FALSE),"No encontrado. Revisar código, fecha ejecución y/o contrato."))))))))</f>
        <v/>
      </c>
      <c r="D245" s="88" t="str">
        <f>IF(B245="","",
IFERROR(VLOOKUP(B245,'Maestro Materiales'!A:C,2,FALSE),
IFERROR(VLOOKUP(B245,'Baremos actuales'!A:B,2,FALSE),
IFERROR(VLOOKUP(B245,'Baremos anteriores'!A:B,2,FALSE),
""))))</f>
        <v/>
      </c>
      <c r="E245" s="9"/>
      <c r="F245" s="89" t="str">
        <f>IF(D245="MATE",
IF(E245="","¿Unidades?",""),
IF(D245="",IF(E245="","","¿Código?"),
IF(E245="","¿Unidades?",
IF(D245="TARE",
IF(M245=$H$3,IFERROR(VLOOKUP(B245,'Baremos actuales'!A:C,3,FALSE),0),
IF(M245=$H$4,IFERROR(VLOOKUP(B245,'Baremos anteriores'!A:C,3,FALSE),0),0))))))</f>
        <v/>
      </c>
      <c r="G245" s="7"/>
      <c r="H245" s="8"/>
      <c r="I245" s="8"/>
      <c r="J245" s="78" t="str">
        <f>IF($D245="","",
IF($E245="","",
IF($D245="MATE","",
IF(VLOOKUP($B245,'Baremos actuales'!A:D,4,FALSE)=J$9,$E245*$F245,IF(VLOOKUP($B245,'Baremos anteriores'!A:D,4,FALSE)="Sin Definir",$E245*$F245,"")))))</f>
        <v/>
      </c>
      <c r="K245" s="79" t="str">
        <f>IF($D245="","",
IF($E245="","",
IF($D245="MATE","",
IF(VLOOKUP($B245,'Baremos actuales'!$A:$D,4,FALSE)=K$9,$E245*$F245,IF(VLOOKUP($B245,'Baremos anteriores'!$A:$D,4,FALSE)="Desmonte",$E245*$F245,"")))))</f>
        <v/>
      </c>
      <c r="L245" s="80" t="str">
        <f>IF($D245="","",
IF($E245="","",
IF($D245="MATE","",
IF(VLOOKUP($B245,'Baremos actuales'!$A:$D,4,FALSE)=L$9,$E245*$F245,""))))</f>
        <v/>
      </c>
      <c r="M245" s="91" t="str">
        <f t="shared" si="3"/>
        <v/>
      </c>
      <c r="N245" s="96"/>
      <c r="O245" s="95"/>
      <c r="P245" s="96"/>
      <c r="Q245" s="98"/>
    </row>
    <row r="246" spans="1:17" ht="15.75" x14ac:dyDescent="0.2">
      <c r="A246" s="17"/>
      <c r="B246" s="18"/>
      <c r="C246" s="87" t="str">
        <f>IF(B246="","",
IF(M246=$H$5,IFERROR(VLOOKUP(B246,'Baremos actuales'!A:E,5,FALSE),"No encontrado. Revisar código, fecha ejecución y/o contrato."),
IF(M246=$H$4,IFERROR(VLOOKUP(B246,'Baremos anteriores'!A:E,5,FALSE),"No encontrado. Revisar código, fecha ejecución y/o contrato."),
IF(M246=$H$3,IFERROR(VLOOKUP(B246,#REF!,5,FALSE),"No encontrado. Revisar código, fecha ejecución y/o contrato."),
IF(D246="","Código no encontrado",
IF(D246="ERROR","No encontrado. Revisar Código, fecha de ejecución y/o contrato.",
IF(D246="MATE",
IF(C245="DESCRIPCION","NO SE PUEDE COMENZAR SIN CÓDIGO DE TAREA",
IF(C245="","FALTA CÓDIGO DE TAREA",
CONCATENATE("          ",VLOOKUP(B246,'Maestro Materiales'!A:C,3,FALSE)))),IFERROR(VLOOKUP(B246,#REF!,5,FALSE),"No encontrado. Revisar código, fecha ejecución y/o contrato."))))))))</f>
        <v/>
      </c>
      <c r="D246" s="88" t="str">
        <f>IF(B246="","",
IFERROR(VLOOKUP(B246,'Maestro Materiales'!A:C,2,FALSE),
IFERROR(VLOOKUP(B246,'Baremos actuales'!A:B,2,FALSE),
IFERROR(VLOOKUP(B246,'Baremos anteriores'!A:B,2,FALSE),
""))))</f>
        <v/>
      </c>
      <c r="E246" s="9"/>
      <c r="F246" s="89" t="str">
        <f>IF(D246="MATE",
IF(E246="","¿Unidades?",""),
IF(D246="",IF(E246="","","¿Código?"),
IF(E246="","¿Unidades?",
IF(D246="TARE",
IF(M246=$H$3,IFERROR(VLOOKUP(B246,'Baremos actuales'!A:C,3,FALSE),0),
IF(M246=$H$4,IFERROR(VLOOKUP(B246,'Baremos anteriores'!A:C,3,FALSE),0),0))))))</f>
        <v/>
      </c>
      <c r="G246" s="7"/>
      <c r="H246" s="8"/>
      <c r="I246" s="8"/>
      <c r="J246" s="78" t="str">
        <f>IF($D246="","",
IF($E246="","",
IF($D246="MATE","",
IF(VLOOKUP($B246,'Baremos actuales'!A:D,4,FALSE)=J$9,$E246*$F246,IF(VLOOKUP($B246,'Baremos anteriores'!A:D,4,FALSE)="Sin Definir",$E246*$F246,"")))))</f>
        <v/>
      </c>
      <c r="K246" s="79" t="str">
        <f>IF($D246="","",
IF($E246="","",
IF($D246="MATE","",
IF(VLOOKUP($B246,'Baremos actuales'!$A:$D,4,FALSE)=K$9,$E246*$F246,IF(VLOOKUP($B246,'Baremos anteriores'!$A:$D,4,FALSE)="Desmonte",$E246*$F246,"")))))</f>
        <v/>
      </c>
      <c r="L246" s="80" t="str">
        <f>IF($D246="","",
IF($E246="","",
IF($D246="MATE","",
IF(VLOOKUP($B246,'Baremos actuales'!$A:$D,4,FALSE)=L$9,$E246*$F246,""))))</f>
        <v/>
      </c>
      <c r="M246" s="91" t="str">
        <f t="shared" si="3"/>
        <v/>
      </c>
      <c r="N246" s="96"/>
      <c r="O246" s="95"/>
      <c r="P246" s="96"/>
      <c r="Q246" s="98"/>
    </row>
    <row r="247" spans="1:17" ht="15.75" x14ac:dyDescent="0.2">
      <c r="A247" s="17"/>
      <c r="B247" s="18"/>
      <c r="C247" s="87" t="str">
        <f>IF(B247="","",
IF(M247=$H$5,IFERROR(VLOOKUP(B247,'Baremos actuales'!A:E,5,FALSE),"No encontrado. Revisar código, fecha ejecución y/o contrato."),
IF(M247=$H$4,IFERROR(VLOOKUP(B247,'Baremos anteriores'!A:E,5,FALSE),"No encontrado. Revisar código, fecha ejecución y/o contrato."),
IF(M247=$H$3,IFERROR(VLOOKUP(B247,#REF!,5,FALSE),"No encontrado. Revisar código, fecha ejecución y/o contrato."),
IF(D247="","Código no encontrado",
IF(D247="ERROR","No encontrado. Revisar Código, fecha de ejecución y/o contrato.",
IF(D247="MATE",
IF(C246="DESCRIPCION","NO SE PUEDE COMENZAR SIN CÓDIGO DE TAREA",
IF(C246="","FALTA CÓDIGO DE TAREA",
CONCATENATE("          ",VLOOKUP(B247,'Maestro Materiales'!A:C,3,FALSE)))),IFERROR(VLOOKUP(B247,#REF!,5,FALSE),"No encontrado. Revisar código, fecha ejecución y/o contrato."))))))))</f>
        <v/>
      </c>
      <c r="D247" s="88" t="str">
        <f>IF(B247="","",
IFERROR(VLOOKUP(B247,'Maestro Materiales'!A:C,2,FALSE),
IFERROR(VLOOKUP(B247,'Baremos actuales'!A:B,2,FALSE),
IFERROR(VLOOKUP(B247,'Baremos anteriores'!A:B,2,FALSE),
""))))</f>
        <v/>
      </c>
      <c r="E247" s="9"/>
      <c r="F247" s="89" t="str">
        <f>IF(D247="MATE",
IF(E247="","¿Unidades?",""),
IF(D247="",IF(E247="","","¿Código?"),
IF(E247="","¿Unidades?",
IF(D247="TARE",
IF(M247=$H$3,IFERROR(VLOOKUP(B247,'Baremos actuales'!A:C,3,FALSE),0),
IF(M247=$H$4,IFERROR(VLOOKUP(B247,'Baremos anteriores'!A:C,3,FALSE),0),0))))))</f>
        <v/>
      </c>
      <c r="G247" s="7"/>
      <c r="H247" s="8"/>
      <c r="I247" s="8"/>
      <c r="J247" s="78" t="str">
        <f>IF($D247="","",
IF($E247="","",
IF($D247="MATE","",
IF(VLOOKUP($B247,'Baremos actuales'!A:D,4,FALSE)=J$9,$E247*$F247,IF(VLOOKUP($B247,'Baremos anteriores'!A:D,4,FALSE)="Sin Definir",$E247*$F247,"")))))</f>
        <v/>
      </c>
      <c r="K247" s="79" t="str">
        <f>IF($D247="","",
IF($E247="","",
IF($D247="MATE","",
IF(VLOOKUP($B247,'Baremos actuales'!$A:$D,4,FALSE)=K$9,$E247*$F247,IF(VLOOKUP($B247,'Baremos anteriores'!$A:$D,4,FALSE)="Desmonte",$E247*$F247,"")))))</f>
        <v/>
      </c>
      <c r="L247" s="80" t="str">
        <f>IF($D247="","",
IF($E247="","",
IF($D247="MATE","",
IF(VLOOKUP($B247,'Baremos actuales'!$A:$D,4,FALSE)=L$9,$E247*$F247,""))))</f>
        <v/>
      </c>
      <c r="M247" s="91" t="str">
        <f t="shared" si="3"/>
        <v/>
      </c>
      <c r="N247" s="96"/>
      <c r="O247" s="95"/>
      <c r="P247" s="96"/>
      <c r="Q247" s="98"/>
    </row>
    <row r="248" spans="1:17" ht="15.75" x14ac:dyDescent="0.2">
      <c r="A248" s="17"/>
      <c r="B248" s="18"/>
      <c r="C248" s="87" t="str">
        <f>IF(B248="","",
IF(M248=$H$5,IFERROR(VLOOKUP(B248,'Baremos actuales'!A:E,5,FALSE),"No encontrado. Revisar código, fecha ejecución y/o contrato."),
IF(M248=$H$4,IFERROR(VLOOKUP(B248,'Baremos anteriores'!A:E,5,FALSE),"No encontrado. Revisar código, fecha ejecución y/o contrato."),
IF(M248=$H$3,IFERROR(VLOOKUP(B248,#REF!,5,FALSE),"No encontrado. Revisar código, fecha ejecución y/o contrato."),
IF(D248="","Código no encontrado",
IF(D248="ERROR","No encontrado. Revisar Código, fecha de ejecución y/o contrato.",
IF(D248="MATE",
IF(C247="DESCRIPCION","NO SE PUEDE COMENZAR SIN CÓDIGO DE TAREA",
IF(C247="","FALTA CÓDIGO DE TAREA",
CONCATENATE("          ",VLOOKUP(B248,'Maestro Materiales'!A:C,3,FALSE)))),IFERROR(VLOOKUP(B248,#REF!,5,FALSE),"No encontrado. Revisar código, fecha ejecución y/o contrato."))))))))</f>
        <v/>
      </c>
      <c r="D248" s="88" t="str">
        <f>IF(B248="","",
IFERROR(VLOOKUP(B248,'Maestro Materiales'!A:C,2,FALSE),
IFERROR(VLOOKUP(B248,'Baremos actuales'!A:B,2,FALSE),
IFERROR(VLOOKUP(B248,'Baremos anteriores'!A:B,2,FALSE),
""))))</f>
        <v/>
      </c>
      <c r="E248" s="9"/>
      <c r="F248" s="89" t="str">
        <f>IF(D248="MATE",
IF(E248="","¿Unidades?",""),
IF(D248="",IF(E248="","","¿Código?"),
IF(E248="","¿Unidades?",
IF(D248="TARE",
IF(M248=$H$3,IFERROR(VLOOKUP(B248,'Baremos actuales'!A:C,3,FALSE),0),
IF(M248=$H$4,IFERROR(VLOOKUP(B248,'Baremos anteriores'!A:C,3,FALSE),0),0))))))</f>
        <v/>
      </c>
      <c r="G248" s="7"/>
      <c r="H248" s="8"/>
      <c r="I248" s="8"/>
      <c r="J248" s="78" t="str">
        <f>IF($D248="","",
IF($E248="","",
IF($D248="MATE","",
IF(VLOOKUP($B248,'Baremos actuales'!A:D,4,FALSE)=J$9,$E248*$F248,IF(VLOOKUP($B248,'Baremos anteriores'!A:D,4,FALSE)="Sin Definir",$E248*$F248,"")))))</f>
        <v/>
      </c>
      <c r="K248" s="79" t="str">
        <f>IF($D248="","",
IF($E248="","",
IF($D248="MATE","",
IF(VLOOKUP($B248,'Baremos actuales'!$A:$D,4,FALSE)=K$9,$E248*$F248,IF(VLOOKUP($B248,'Baremos anteriores'!$A:$D,4,FALSE)="Desmonte",$E248*$F248,"")))))</f>
        <v/>
      </c>
      <c r="L248" s="80" t="str">
        <f>IF($D248="","",
IF($E248="","",
IF($D248="MATE","",
IF(VLOOKUP($B248,'Baremos actuales'!$A:$D,4,FALSE)=L$9,$E248*$F248,""))))</f>
        <v/>
      </c>
      <c r="M248" s="91" t="str">
        <f t="shared" si="3"/>
        <v/>
      </c>
      <c r="N248" s="96"/>
      <c r="O248" s="95"/>
      <c r="P248" s="96"/>
      <c r="Q248" s="98"/>
    </row>
    <row r="249" spans="1:17" ht="15.75" x14ac:dyDescent="0.2">
      <c r="A249" s="17"/>
      <c r="B249" s="18"/>
      <c r="C249" s="87" t="str">
        <f>IF(B249="","",
IF(M249=$H$5,IFERROR(VLOOKUP(B249,'Baremos actuales'!A:E,5,FALSE),"No encontrado. Revisar código, fecha ejecución y/o contrato."),
IF(M249=$H$4,IFERROR(VLOOKUP(B249,'Baremos anteriores'!A:E,5,FALSE),"No encontrado. Revisar código, fecha ejecución y/o contrato."),
IF(M249=$H$3,IFERROR(VLOOKUP(B249,#REF!,5,FALSE),"No encontrado. Revisar código, fecha ejecución y/o contrato."),
IF(D249="","Código no encontrado",
IF(D249="ERROR","No encontrado. Revisar Código, fecha de ejecución y/o contrato.",
IF(D249="MATE",
IF(C248="DESCRIPCION","NO SE PUEDE COMENZAR SIN CÓDIGO DE TAREA",
IF(C248="","FALTA CÓDIGO DE TAREA",
CONCATENATE("          ",VLOOKUP(B249,'Maestro Materiales'!A:C,3,FALSE)))),IFERROR(VLOOKUP(B249,#REF!,5,FALSE),"No encontrado. Revisar código, fecha ejecución y/o contrato."))))))))</f>
        <v/>
      </c>
      <c r="D249" s="88" t="str">
        <f>IF(B249="","",
IFERROR(VLOOKUP(B249,'Maestro Materiales'!A:C,2,FALSE),
IFERROR(VLOOKUP(B249,'Baremos actuales'!A:B,2,FALSE),
IFERROR(VLOOKUP(B249,'Baremos anteriores'!A:B,2,FALSE),
""))))</f>
        <v/>
      </c>
      <c r="E249" s="9"/>
      <c r="F249" s="89" t="str">
        <f>IF(D249="MATE",
IF(E249="","¿Unidades?",""),
IF(D249="",IF(E249="","","¿Código?"),
IF(E249="","¿Unidades?",
IF(D249="TARE",
IF(M249=$H$3,IFERROR(VLOOKUP(B249,'Baremos actuales'!A:C,3,FALSE),0),
IF(M249=$H$4,IFERROR(VLOOKUP(B249,'Baremos anteriores'!A:C,3,FALSE),0),0))))))</f>
        <v/>
      </c>
      <c r="G249" s="7"/>
      <c r="H249" s="8"/>
      <c r="I249" s="8"/>
      <c r="J249" s="78" t="str">
        <f>IF($D249="","",
IF($E249="","",
IF($D249="MATE","",
IF(VLOOKUP($B249,'Baremos actuales'!A:D,4,FALSE)=J$9,$E249*$F249,IF(VLOOKUP($B249,'Baremos anteriores'!A:D,4,FALSE)="Sin Definir",$E249*$F249,"")))))</f>
        <v/>
      </c>
      <c r="K249" s="79" t="str">
        <f>IF($D249="","",
IF($E249="","",
IF($D249="MATE","",
IF(VLOOKUP($B249,'Baremos actuales'!$A:$D,4,FALSE)=K$9,$E249*$F249,IF(VLOOKUP($B249,'Baremos anteriores'!$A:$D,4,FALSE)="Desmonte",$E249*$F249,"")))))</f>
        <v/>
      </c>
      <c r="L249" s="80" t="str">
        <f>IF($D249="","",
IF($E249="","",
IF($D249="MATE","",
IF(VLOOKUP($B249,'Baremos actuales'!$A:$D,4,FALSE)=L$9,$E249*$F249,""))))</f>
        <v/>
      </c>
      <c r="M249" s="91" t="str">
        <f t="shared" si="3"/>
        <v/>
      </c>
      <c r="N249" s="96"/>
      <c r="O249" s="95"/>
      <c r="P249" s="96"/>
      <c r="Q249" s="98"/>
    </row>
    <row r="250" spans="1:17" ht="15.75" x14ac:dyDescent="0.2">
      <c r="A250" s="17"/>
      <c r="B250" s="18"/>
      <c r="C250" s="87" t="str">
        <f>IF(B250="","",
IF(M250=$H$5,IFERROR(VLOOKUP(B250,'Baremos actuales'!A:E,5,FALSE),"No encontrado. Revisar código, fecha ejecución y/o contrato."),
IF(M250=$H$4,IFERROR(VLOOKUP(B250,'Baremos anteriores'!A:E,5,FALSE),"No encontrado. Revisar código, fecha ejecución y/o contrato."),
IF(M250=$H$3,IFERROR(VLOOKUP(B250,#REF!,5,FALSE),"No encontrado. Revisar código, fecha ejecución y/o contrato."),
IF(D250="","Código no encontrado",
IF(D250="ERROR","No encontrado. Revisar Código, fecha de ejecución y/o contrato.",
IF(D250="MATE",
IF(C249="DESCRIPCION","NO SE PUEDE COMENZAR SIN CÓDIGO DE TAREA",
IF(C249="","FALTA CÓDIGO DE TAREA",
CONCATENATE("          ",VLOOKUP(B250,'Maestro Materiales'!A:C,3,FALSE)))),IFERROR(VLOOKUP(B250,#REF!,5,FALSE),"No encontrado. Revisar código, fecha ejecución y/o contrato."))))))))</f>
        <v/>
      </c>
      <c r="D250" s="88" t="str">
        <f>IF(B250="","",
IFERROR(VLOOKUP(B250,'Maestro Materiales'!A:C,2,FALSE),
IFERROR(VLOOKUP(B250,'Baremos actuales'!A:B,2,FALSE),
IFERROR(VLOOKUP(B250,'Baremos anteriores'!A:B,2,FALSE),
""))))</f>
        <v/>
      </c>
      <c r="E250" s="9"/>
      <c r="F250" s="89" t="str">
        <f>IF(D250="MATE",
IF(E250="","¿Unidades?",""),
IF(D250="",IF(E250="","","¿Código?"),
IF(E250="","¿Unidades?",
IF(D250="TARE",
IF(M250=$H$3,IFERROR(VLOOKUP(B250,'Baremos actuales'!A:C,3,FALSE),0),
IF(M250=$H$4,IFERROR(VLOOKUP(B250,'Baremos anteriores'!A:C,3,FALSE),0),0))))))</f>
        <v/>
      </c>
      <c r="G250" s="7"/>
      <c r="H250" s="8"/>
      <c r="I250" s="8"/>
      <c r="J250" s="78" t="str">
        <f>IF($D250="","",
IF($E250="","",
IF($D250="MATE","",
IF(VLOOKUP($B250,'Baremos actuales'!A:D,4,FALSE)=J$9,$E250*$F250,IF(VLOOKUP($B250,'Baremos anteriores'!A:D,4,FALSE)="Sin Definir",$E250*$F250,"")))))</f>
        <v/>
      </c>
      <c r="K250" s="79" t="str">
        <f>IF($D250="","",
IF($E250="","",
IF($D250="MATE","",
IF(VLOOKUP($B250,'Baremos actuales'!$A:$D,4,FALSE)=K$9,$E250*$F250,IF(VLOOKUP($B250,'Baremos anteriores'!$A:$D,4,FALSE)="Desmonte",$E250*$F250,"")))))</f>
        <v/>
      </c>
      <c r="L250" s="80" t="str">
        <f>IF($D250="","",
IF($E250="","",
IF($D250="MATE","",
IF(VLOOKUP($B250,'Baremos actuales'!$A:$D,4,FALSE)=L$9,$E250*$F250,""))))</f>
        <v/>
      </c>
      <c r="M250" s="91" t="str">
        <f t="shared" si="3"/>
        <v/>
      </c>
      <c r="N250" s="96"/>
      <c r="O250" s="95"/>
      <c r="P250" s="96"/>
      <c r="Q250" s="98"/>
    </row>
    <row r="251" spans="1:17" ht="15.75" x14ac:dyDescent="0.2">
      <c r="A251" s="17"/>
      <c r="B251" s="18"/>
      <c r="C251" s="87" t="str">
        <f>IF(B251="","",
IF(M251=$H$5,IFERROR(VLOOKUP(B251,'Baremos actuales'!A:E,5,FALSE),"No encontrado. Revisar código, fecha ejecución y/o contrato."),
IF(M251=$H$4,IFERROR(VLOOKUP(B251,'Baremos anteriores'!A:E,5,FALSE),"No encontrado. Revisar código, fecha ejecución y/o contrato."),
IF(M251=$H$3,IFERROR(VLOOKUP(B251,#REF!,5,FALSE),"No encontrado. Revisar código, fecha ejecución y/o contrato."),
IF(D251="","Código no encontrado",
IF(D251="ERROR","No encontrado. Revisar Código, fecha de ejecución y/o contrato.",
IF(D251="MATE",
IF(C250="DESCRIPCION","NO SE PUEDE COMENZAR SIN CÓDIGO DE TAREA",
IF(C250="","FALTA CÓDIGO DE TAREA",
CONCATENATE("          ",VLOOKUP(B251,'Maestro Materiales'!A:C,3,FALSE)))),IFERROR(VLOOKUP(B251,#REF!,5,FALSE),"No encontrado. Revisar código, fecha ejecución y/o contrato."))))))))</f>
        <v/>
      </c>
      <c r="D251" s="88" t="str">
        <f>IF(B251="","",
IFERROR(VLOOKUP(B251,'Maestro Materiales'!A:C,2,FALSE),
IFERROR(VLOOKUP(B251,'Baremos actuales'!A:B,2,FALSE),
IFERROR(VLOOKUP(B251,'Baremos anteriores'!A:B,2,FALSE),
""))))</f>
        <v/>
      </c>
      <c r="E251" s="9"/>
      <c r="F251" s="89" t="str">
        <f>IF(D251="MATE",
IF(E251="","¿Unidades?",""),
IF(D251="",IF(E251="","","¿Código?"),
IF(E251="","¿Unidades?",
IF(D251="TARE",
IF(M251=$H$3,IFERROR(VLOOKUP(B251,'Baremos actuales'!A:C,3,FALSE),0),
IF(M251=$H$4,IFERROR(VLOOKUP(B251,'Baremos anteriores'!A:C,3,FALSE),0),0))))))</f>
        <v/>
      </c>
      <c r="G251" s="7"/>
      <c r="H251" s="8"/>
      <c r="I251" s="8"/>
      <c r="J251" s="78" t="str">
        <f>IF($D251="","",
IF($E251="","",
IF($D251="MATE","",
IF(VLOOKUP($B251,'Baremos actuales'!A:D,4,FALSE)=J$9,$E251*$F251,IF(VLOOKUP($B251,'Baremos anteriores'!A:D,4,FALSE)="Sin Definir",$E251*$F251,"")))))</f>
        <v/>
      </c>
      <c r="K251" s="79" t="str">
        <f>IF($D251="","",
IF($E251="","",
IF($D251="MATE","",
IF(VLOOKUP($B251,'Baremos actuales'!$A:$D,4,FALSE)=K$9,$E251*$F251,IF(VLOOKUP($B251,'Baremos anteriores'!$A:$D,4,FALSE)="Desmonte",$E251*$F251,"")))))</f>
        <v/>
      </c>
      <c r="L251" s="80" t="str">
        <f>IF($D251="","",
IF($E251="","",
IF($D251="MATE","",
IF(VLOOKUP($B251,'Baremos actuales'!$A:$D,4,FALSE)=L$9,$E251*$F251,""))))</f>
        <v/>
      </c>
      <c r="M251" s="91" t="str">
        <f t="shared" si="3"/>
        <v/>
      </c>
      <c r="N251" s="96"/>
      <c r="O251" s="95"/>
      <c r="P251" s="96"/>
      <c r="Q251" s="98"/>
    </row>
    <row r="252" spans="1:17" ht="15.75" x14ac:dyDescent="0.2">
      <c r="A252" s="17"/>
      <c r="B252" s="18"/>
      <c r="C252" s="87" t="str">
        <f>IF(B252="","",
IF(M252=$H$5,IFERROR(VLOOKUP(B252,'Baremos actuales'!A:E,5,FALSE),"No encontrado. Revisar código, fecha ejecución y/o contrato."),
IF(M252=$H$4,IFERROR(VLOOKUP(B252,'Baremos anteriores'!A:E,5,FALSE),"No encontrado. Revisar código, fecha ejecución y/o contrato."),
IF(M252=$H$3,IFERROR(VLOOKUP(B252,#REF!,5,FALSE),"No encontrado. Revisar código, fecha ejecución y/o contrato."),
IF(D252="","Código no encontrado",
IF(D252="ERROR","No encontrado. Revisar Código, fecha de ejecución y/o contrato.",
IF(D252="MATE",
IF(C251="DESCRIPCION","NO SE PUEDE COMENZAR SIN CÓDIGO DE TAREA",
IF(C251="","FALTA CÓDIGO DE TAREA",
CONCATENATE("          ",VLOOKUP(B252,'Maestro Materiales'!A:C,3,FALSE)))),IFERROR(VLOOKUP(B252,#REF!,5,FALSE),"No encontrado. Revisar código, fecha ejecución y/o contrato."))))))))</f>
        <v/>
      </c>
      <c r="D252" s="88" t="str">
        <f>IF(B252="","",
IFERROR(VLOOKUP(B252,'Maestro Materiales'!A:C,2,FALSE),
IFERROR(VLOOKUP(B252,'Baremos actuales'!A:B,2,FALSE),
IFERROR(VLOOKUP(B252,'Baremos anteriores'!A:B,2,FALSE),
""))))</f>
        <v/>
      </c>
      <c r="E252" s="9"/>
      <c r="F252" s="89" t="str">
        <f>IF(D252="MATE",
IF(E252="","¿Unidades?",""),
IF(D252="",IF(E252="","","¿Código?"),
IF(E252="","¿Unidades?",
IF(D252="TARE",
IF(M252=$H$3,IFERROR(VLOOKUP(B252,'Baremos actuales'!A:C,3,FALSE),0),
IF(M252=$H$4,IFERROR(VLOOKUP(B252,'Baremos anteriores'!A:C,3,FALSE),0),0))))))</f>
        <v/>
      </c>
      <c r="G252" s="7"/>
      <c r="H252" s="8"/>
      <c r="I252" s="8"/>
      <c r="J252" s="78" t="str">
        <f>IF($D252="","",
IF($E252="","",
IF($D252="MATE","",
IF(VLOOKUP($B252,'Baremos actuales'!A:D,4,FALSE)=J$9,$E252*$F252,IF(VLOOKUP($B252,'Baremos anteriores'!A:D,4,FALSE)="Sin Definir",$E252*$F252,"")))))</f>
        <v/>
      </c>
      <c r="K252" s="79" t="str">
        <f>IF($D252="","",
IF($E252="","",
IF($D252="MATE","",
IF(VLOOKUP($B252,'Baremos actuales'!$A:$D,4,FALSE)=K$9,$E252*$F252,IF(VLOOKUP($B252,'Baremos anteriores'!$A:$D,4,FALSE)="Desmonte",$E252*$F252,"")))))</f>
        <v/>
      </c>
      <c r="L252" s="80" t="str">
        <f>IF($D252="","",
IF($E252="","",
IF($D252="MATE","",
IF(VLOOKUP($B252,'Baremos actuales'!$A:$D,4,FALSE)=L$9,$E252*$F252,""))))</f>
        <v/>
      </c>
      <c r="M252" s="91" t="str">
        <f t="shared" si="3"/>
        <v/>
      </c>
      <c r="N252" s="96"/>
      <c r="O252" s="95"/>
      <c r="P252" s="96"/>
      <c r="Q252" s="98"/>
    </row>
    <row r="253" spans="1:17" ht="15.75" x14ac:dyDescent="0.2">
      <c r="A253" s="17"/>
      <c r="B253" s="18"/>
      <c r="C253" s="87" t="str">
        <f>IF(B253="","",
IF(M253=$H$5,IFERROR(VLOOKUP(B253,'Baremos actuales'!A:E,5,FALSE),"No encontrado. Revisar código, fecha ejecución y/o contrato."),
IF(M253=$H$4,IFERROR(VLOOKUP(B253,'Baremos anteriores'!A:E,5,FALSE),"No encontrado. Revisar código, fecha ejecución y/o contrato."),
IF(M253=$H$3,IFERROR(VLOOKUP(B253,#REF!,5,FALSE),"No encontrado. Revisar código, fecha ejecución y/o contrato."),
IF(D253="","Código no encontrado",
IF(D253="ERROR","No encontrado. Revisar Código, fecha de ejecución y/o contrato.",
IF(D253="MATE",
IF(C252="DESCRIPCION","NO SE PUEDE COMENZAR SIN CÓDIGO DE TAREA",
IF(C252="","FALTA CÓDIGO DE TAREA",
CONCATENATE("          ",VLOOKUP(B253,'Maestro Materiales'!A:C,3,FALSE)))),IFERROR(VLOOKUP(B253,#REF!,5,FALSE),"No encontrado. Revisar código, fecha ejecución y/o contrato."))))))))</f>
        <v/>
      </c>
      <c r="D253" s="88" t="str">
        <f>IF(B253="","",
IFERROR(VLOOKUP(B253,'Maestro Materiales'!A:C,2,FALSE),
IFERROR(VLOOKUP(B253,'Baremos actuales'!A:B,2,FALSE),
IFERROR(VLOOKUP(B253,'Baremos anteriores'!A:B,2,FALSE),
""))))</f>
        <v/>
      </c>
      <c r="E253" s="9"/>
      <c r="F253" s="89" t="str">
        <f>IF(D253="MATE",
IF(E253="","¿Unidades?",""),
IF(D253="",IF(E253="","","¿Código?"),
IF(E253="","¿Unidades?",
IF(D253="TARE",
IF(M253=$H$3,IFERROR(VLOOKUP(B253,'Baremos actuales'!A:C,3,FALSE),0),
IF(M253=$H$4,IFERROR(VLOOKUP(B253,'Baremos anteriores'!A:C,3,FALSE),0),0))))))</f>
        <v/>
      </c>
      <c r="G253" s="7"/>
      <c r="H253" s="8"/>
      <c r="I253" s="8"/>
      <c r="J253" s="78" t="str">
        <f>IF($D253="","",
IF($E253="","",
IF($D253="MATE","",
IF(VLOOKUP($B253,'Baremos actuales'!A:D,4,FALSE)=J$9,$E253*$F253,IF(VLOOKUP($B253,'Baremos anteriores'!A:D,4,FALSE)="Sin Definir",$E253*$F253,"")))))</f>
        <v/>
      </c>
      <c r="K253" s="79" t="str">
        <f>IF($D253="","",
IF($E253="","",
IF($D253="MATE","",
IF(VLOOKUP($B253,'Baremos actuales'!$A:$D,4,FALSE)=K$9,$E253*$F253,IF(VLOOKUP($B253,'Baremos anteriores'!$A:$D,4,FALSE)="Desmonte",$E253*$F253,"")))))</f>
        <v/>
      </c>
      <c r="L253" s="80" t="str">
        <f>IF($D253="","",
IF($E253="","",
IF($D253="MATE","",
IF(VLOOKUP($B253,'Baremos actuales'!$A:$D,4,FALSE)=L$9,$E253*$F253,""))))</f>
        <v/>
      </c>
      <c r="M253" s="91" t="str">
        <f t="shared" si="3"/>
        <v/>
      </c>
      <c r="N253" s="96"/>
      <c r="O253" s="95"/>
      <c r="P253" s="96"/>
      <c r="Q253" s="98"/>
    </row>
    <row r="254" spans="1:17" ht="15.75" x14ac:dyDescent="0.2">
      <c r="A254" s="17"/>
      <c r="B254" s="18"/>
      <c r="C254" s="87" t="str">
        <f>IF(B254="","",
IF(M254=$H$5,IFERROR(VLOOKUP(B254,'Baremos actuales'!A:E,5,FALSE),"No encontrado. Revisar código, fecha ejecución y/o contrato."),
IF(M254=$H$4,IFERROR(VLOOKUP(B254,'Baremos anteriores'!A:E,5,FALSE),"No encontrado. Revisar código, fecha ejecución y/o contrato."),
IF(M254=$H$3,IFERROR(VLOOKUP(B254,#REF!,5,FALSE),"No encontrado. Revisar código, fecha ejecución y/o contrato."),
IF(D254="","Código no encontrado",
IF(D254="ERROR","No encontrado. Revisar Código, fecha de ejecución y/o contrato.",
IF(D254="MATE",
IF(C253="DESCRIPCION","NO SE PUEDE COMENZAR SIN CÓDIGO DE TAREA",
IF(C253="","FALTA CÓDIGO DE TAREA",
CONCATENATE("          ",VLOOKUP(B254,'Maestro Materiales'!A:C,3,FALSE)))),IFERROR(VLOOKUP(B254,#REF!,5,FALSE),"No encontrado. Revisar código, fecha ejecución y/o contrato."))))))))</f>
        <v/>
      </c>
      <c r="D254" s="88" t="str">
        <f>IF(B254="","",
IFERROR(VLOOKUP(B254,'Maestro Materiales'!A:C,2,FALSE),
IFERROR(VLOOKUP(B254,'Baremos actuales'!A:B,2,FALSE),
IFERROR(VLOOKUP(B254,'Baremos anteriores'!A:B,2,FALSE),
""))))</f>
        <v/>
      </c>
      <c r="E254" s="9"/>
      <c r="F254" s="89" t="str">
        <f>IF(D254="MATE",
IF(E254="","¿Unidades?",""),
IF(D254="",IF(E254="","","¿Código?"),
IF(E254="","¿Unidades?",
IF(D254="TARE",
IF(M254=$H$3,IFERROR(VLOOKUP(B254,'Baremos actuales'!A:C,3,FALSE),0),
IF(M254=$H$4,IFERROR(VLOOKUP(B254,'Baremos anteriores'!A:C,3,FALSE),0),0))))))</f>
        <v/>
      </c>
      <c r="G254" s="7"/>
      <c r="H254" s="8"/>
      <c r="I254" s="8"/>
      <c r="J254" s="78" t="str">
        <f>IF($D254="","",
IF($E254="","",
IF($D254="MATE","",
IF(VLOOKUP($B254,'Baremos actuales'!A:D,4,FALSE)=J$9,$E254*$F254,IF(VLOOKUP($B254,'Baremos anteriores'!A:D,4,FALSE)="Sin Definir",$E254*$F254,"")))))</f>
        <v/>
      </c>
      <c r="K254" s="79" t="str">
        <f>IF($D254="","",
IF($E254="","",
IF($D254="MATE","",
IF(VLOOKUP($B254,'Baremos actuales'!$A:$D,4,FALSE)=K$9,$E254*$F254,IF(VLOOKUP($B254,'Baremos anteriores'!$A:$D,4,FALSE)="Desmonte",$E254*$F254,"")))))</f>
        <v/>
      </c>
      <c r="L254" s="80" t="str">
        <f>IF($D254="","",
IF($E254="","",
IF($D254="MATE","",
IF(VLOOKUP($B254,'Baremos actuales'!$A:$D,4,FALSE)=L$9,$E254*$F254,""))))</f>
        <v/>
      </c>
      <c r="M254" s="91" t="str">
        <f t="shared" si="3"/>
        <v/>
      </c>
      <c r="N254" s="96"/>
      <c r="O254" s="95"/>
      <c r="P254" s="96"/>
      <c r="Q254" s="98"/>
    </row>
    <row r="255" spans="1:17" ht="15.75" x14ac:dyDescent="0.2">
      <c r="A255" s="17"/>
      <c r="B255" s="18"/>
      <c r="C255" s="87" t="str">
        <f>IF(B255="","",
IF(M255=$H$5,IFERROR(VLOOKUP(B255,'Baremos actuales'!A:E,5,FALSE),"No encontrado. Revisar código, fecha ejecución y/o contrato."),
IF(M255=$H$4,IFERROR(VLOOKUP(B255,'Baremos anteriores'!A:E,5,FALSE),"No encontrado. Revisar código, fecha ejecución y/o contrato."),
IF(M255=$H$3,IFERROR(VLOOKUP(B255,#REF!,5,FALSE),"No encontrado. Revisar código, fecha ejecución y/o contrato."),
IF(D255="","Código no encontrado",
IF(D255="ERROR","No encontrado. Revisar Código, fecha de ejecución y/o contrato.",
IF(D255="MATE",
IF(C254="DESCRIPCION","NO SE PUEDE COMENZAR SIN CÓDIGO DE TAREA",
IF(C254="","FALTA CÓDIGO DE TAREA",
CONCATENATE("          ",VLOOKUP(B255,'Maestro Materiales'!A:C,3,FALSE)))),IFERROR(VLOOKUP(B255,#REF!,5,FALSE),"No encontrado. Revisar código, fecha ejecución y/o contrato."))))))))</f>
        <v/>
      </c>
      <c r="D255" s="88" t="str">
        <f>IF(B255="","",
IFERROR(VLOOKUP(B255,'Maestro Materiales'!A:C,2,FALSE),
IFERROR(VLOOKUP(B255,'Baremos actuales'!A:B,2,FALSE),
IFERROR(VLOOKUP(B255,'Baremos anteriores'!A:B,2,FALSE),
""))))</f>
        <v/>
      </c>
      <c r="E255" s="9"/>
      <c r="F255" s="89" t="str">
        <f>IF(D255="MATE",
IF(E255="","¿Unidades?",""),
IF(D255="",IF(E255="","","¿Código?"),
IF(E255="","¿Unidades?",
IF(D255="TARE",
IF(M255=$H$3,IFERROR(VLOOKUP(B255,'Baremos actuales'!A:C,3,FALSE),0),
IF(M255=$H$4,IFERROR(VLOOKUP(B255,'Baremos anteriores'!A:C,3,FALSE),0),0))))))</f>
        <v/>
      </c>
      <c r="G255" s="7"/>
      <c r="H255" s="8"/>
      <c r="I255" s="8"/>
      <c r="J255" s="78" t="str">
        <f>IF($D255="","",
IF($E255="","",
IF($D255="MATE","",
IF(VLOOKUP($B255,'Baremos actuales'!A:D,4,FALSE)=J$9,$E255*$F255,IF(VLOOKUP($B255,'Baremos anteriores'!A:D,4,FALSE)="Sin Definir",$E255*$F255,"")))))</f>
        <v/>
      </c>
      <c r="K255" s="79" t="str">
        <f>IF($D255="","",
IF($E255="","",
IF($D255="MATE","",
IF(VLOOKUP($B255,'Baremos actuales'!$A:$D,4,FALSE)=K$9,$E255*$F255,IF(VLOOKUP($B255,'Baremos anteriores'!$A:$D,4,FALSE)="Desmonte",$E255*$F255,"")))))</f>
        <v/>
      </c>
      <c r="L255" s="80" t="str">
        <f>IF($D255="","",
IF($E255="","",
IF($D255="MATE","",
IF(VLOOKUP($B255,'Baremos actuales'!$A:$D,4,FALSE)=L$9,$E255*$F255,""))))</f>
        <v/>
      </c>
      <c r="M255" s="91" t="str">
        <f t="shared" si="3"/>
        <v/>
      </c>
      <c r="N255" s="96"/>
      <c r="O255" s="95"/>
      <c r="P255" s="96"/>
      <c r="Q255" s="98"/>
    </row>
    <row r="256" spans="1:17" ht="15.75" x14ac:dyDescent="0.2">
      <c r="A256" s="17"/>
      <c r="B256" s="18"/>
      <c r="C256" s="87" t="str">
        <f>IF(B256="","",
IF(M256=$H$5,IFERROR(VLOOKUP(B256,'Baremos actuales'!A:E,5,FALSE),"No encontrado. Revisar código, fecha ejecución y/o contrato."),
IF(M256=$H$4,IFERROR(VLOOKUP(B256,'Baremos anteriores'!A:E,5,FALSE),"No encontrado. Revisar código, fecha ejecución y/o contrato."),
IF(M256=$H$3,IFERROR(VLOOKUP(B256,#REF!,5,FALSE),"No encontrado. Revisar código, fecha ejecución y/o contrato."),
IF(D256="","Código no encontrado",
IF(D256="ERROR","No encontrado. Revisar Código, fecha de ejecución y/o contrato.",
IF(D256="MATE",
IF(C255="DESCRIPCION","NO SE PUEDE COMENZAR SIN CÓDIGO DE TAREA",
IF(C255="","FALTA CÓDIGO DE TAREA",
CONCATENATE("          ",VLOOKUP(B256,'Maestro Materiales'!A:C,3,FALSE)))),IFERROR(VLOOKUP(B256,#REF!,5,FALSE),"No encontrado. Revisar código, fecha ejecución y/o contrato."))))))))</f>
        <v/>
      </c>
      <c r="D256" s="88" t="str">
        <f>IF(B256="","",
IFERROR(VLOOKUP(B256,'Maestro Materiales'!A:C,2,FALSE),
IFERROR(VLOOKUP(B256,'Baremos actuales'!A:B,2,FALSE),
IFERROR(VLOOKUP(B256,'Baremos anteriores'!A:B,2,FALSE),
""))))</f>
        <v/>
      </c>
      <c r="E256" s="9"/>
      <c r="F256" s="89" t="str">
        <f>IF(D256="MATE",
IF(E256="","¿Unidades?",""),
IF(D256="",IF(E256="","","¿Código?"),
IF(E256="","¿Unidades?",
IF(D256="TARE",
IF(M256=$H$3,IFERROR(VLOOKUP(B256,'Baremos actuales'!A:C,3,FALSE),0),
IF(M256=$H$4,IFERROR(VLOOKUP(B256,'Baremos anteriores'!A:C,3,FALSE),0),0))))))</f>
        <v/>
      </c>
      <c r="G256" s="7"/>
      <c r="H256" s="8"/>
      <c r="I256" s="8"/>
      <c r="J256" s="78" t="str">
        <f>IF($D256="","",
IF($E256="","",
IF($D256="MATE","",
IF(VLOOKUP($B256,'Baremos actuales'!A:D,4,FALSE)=J$9,$E256*$F256,IF(VLOOKUP($B256,'Baremos anteriores'!A:D,4,FALSE)="Sin Definir",$E256*$F256,"")))))</f>
        <v/>
      </c>
      <c r="K256" s="79" t="str">
        <f>IF($D256="","",
IF($E256="","",
IF($D256="MATE","",
IF(VLOOKUP($B256,'Baremos actuales'!$A:$D,4,FALSE)=K$9,$E256*$F256,IF(VLOOKUP($B256,'Baremos anteriores'!$A:$D,4,FALSE)="Desmonte",$E256*$F256,"")))))</f>
        <v/>
      </c>
      <c r="L256" s="80" t="str">
        <f>IF($D256="","",
IF($E256="","",
IF($D256="MATE","",
IF(VLOOKUP($B256,'Baremos actuales'!$A:$D,4,FALSE)=L$9,$E256*$F256,""))))</f>
        <v/>
      </c>
      <c r="M256" s="91" t="str">
        <f t="shared" si="3"/>
        <v/>
      </c>
      <c r="N256" s="96"/>
      <c r="O256" s="95"/>
      <c r="P256" s="96"/>
      <c r="Q256" s="98"/>
    </row>
    <row r="257" spans="1:17" ht="15.75" x14ac:dyDescent="0.2">
      <c r="A257" s="17"/>
      <c r="B257" s="18"/>
      <c r="C257" s="87" t="str">
        <f>IF(B257="","",
IF(M257=$H$5,IFERROR(VLOOKUP(B257,'Baremos actuales'!A:E,5,FALSE),"No encontrado. Revisar código, fecha ejecución y/o contrato."),
IF(M257=$H$4,IFERROR(VLOOKUP(B257,'Baremos anteriores'!A:E,5,FALSE),"No encontrado. Revisar código, fecha ejecución y/o contrato."),
IF(M257=$H$3,IFERROR(VLOOKUP(B257,#REF!,5,FALSE),"No encontrado. Revisar código, fecha ejecución y/o contrato."),
IF(D257="","Código no encontrado",
IF(D257="ERROR","No encontrado. Revisar Código, fecha de ejecución y/o contrato.",
IF(D257="MATE",
IF(C256="DESCRIPCION","NO SE PUEDE COMENZAR SIN CÓDIGO DE TAREA",
IF(C256="","FALTA CÓDIGO DE TAREA",
CONCATENATE("          ",VLOOKUP(B257,'Maestro Materiales'!A:C,3,FALSE)))),IFERROR(VLOOKUP(B257,#REF!,5,FALSE),"No encontrado. Revisar código, fecha ejecución y/o contrato."))))))))</f>
        <v/>
      </c>
      <c r="D257" s="88" t="str">
        <f>IF(B257="","",
IFERROR(VLOOKUP(B257,'Maestro Materiales'!A:C,2,FALSE),
IFERROR(VLOOKUP(B257,'Baremos actuales'!A:B,2,FALSE),
IFERROR(VLOOKUP(B257,'Baremos anteriores'!A:B,2,FALSE),
""))))</f>
        <v/>
      </c>
      <c r="E257" s="9"/>
      <c r="F257" s="89" t="str">
        <f>IF(D257="MATE",
IF(E257="","¿Unidades?",""),
IF(D257="",IF(E257="","","¿Código?"),
IF(E257="","¿Unidades?",
IF(D257="TARE",
IF(M257=$H$3,IFERROR(VLOOKUP(B257,'Baremos actuales'!A:C,3,FALSE),0),
IF(M257=$H$4,IFERROR(VLOOKUP(B257,'Baremos anteriores'!A:C,3,FALSE),0),0))))))</f>
        <v/>
      </c>
      <c r="G257" s="7"/>
      <c r="H257" s="8"/>
      <c r="I257" s="8"/>
      <c r="J257" s="78" t="str">
        <f>IF($D257="","",
IF($E257="","",
IF($D257="MATE","",
IF(VLOOKUP($B257,'Baremos actuales'!A:D,4,FALSE)=J$9,$E257*$F257,IF(VLOOKUP($B257,'Baremos anteriores'!A:D,4,FALSE)="Sin Definir",$E257*$F257,"")))))</f>
        <v/>
      </c>
      <c r="K257" s="79" t="str">
        <f>IF($D257="","",
IF($E257="","",
IF($D257="MATE","",
IF(VLOOKUP($B257,'Baremos actuales'!$A:$D,4,FALSE)=K$9,$E257*$F257,IF(VLOOKUP($B257,'Baremos anteriores'!$A:$D,4,FALSE)="Desmonte",$E257*$F257,"")))))</f>
        <v/>
      </c>
      <c r="L257" s="80" t="str">
        <f>IF($D257="","",
IF($E257="","",
IF($D257="MATE","",
IF(VLOOKUP($B257,'Baremos actuales'!$A:$D,4,FALSE)=L$9,$E257*$F257,""))))</f>
        <v/>
      </c>
      <c r="M257" s="91" t="str">
        <f t="shared" si="3"/>
        <v/>
      </c>
      <c r="N257" s="96"/>
      <c r="O257" s="95"/>
      <c r="P257" s="96"/>
      <c r="Q257" s="98"/>
    </row>
    <row r="258" spans="1:17" ht="15.75" x14ac:dyDescent="0.2">
      <c r="A258" s="17"/>
      <c r="B258" s="18"/>
      <c r="C258" s="87" t="str">
        <f>IF(B258="","",
IF(M258=$H$5,IFERROR(VLOOKUP(B258,'Baremos actuales'!A:E,5,FALSE),"No encontrado. Revisar código, fecha ejecución y/o contrato."),
IF(M258=$H$4,IFERROR(VLOOKUP(B258,'Baremos anteriores'!A:E,5,FALSE),"No encontrado. Revisar código, fecha ejecución y/o contrato."),
IF(M258=$H$3,IFERROR(VLOOKUP(B258,#REF!,5,FALSE),"No encontrado. Revisar código, fecha ejecución y/o contrato."),
IF(D258="","Código no encontrado",
IF(D258="ERROR","No encontrado. Revisar Código, fecha de ejecución y/o contrato.",
IF(D258="MATE",
IF(C257="DESCRIPCION","NO SE PUEDE COMENZAR SIN CÓDIGO DE TAREA",
IF(C257="","FALTA CÓDIGO DE TAREA",
CONCATENATE("          ",VLOOKUP(B258,'Maestro Materiales'!A:C,3,FALSE)))),IFERROR(VLOOKUP(B258,#REF!,5,FALSE),"No encontrado. Revisar código, fecha ejecución y/o contrato."))))))))</f>
        <v/>
      </c>
      <c r="D258" s="88" t="str">
        <f>IF(B258="","",
IFERROR(VLOOKUP(B258,'Maestro Materiales'!A:C,2,FALSE),
IFERROR(VLOOKUP(B258,'Baremos actuales'!A:B,2,FALSE),
IFERROR(VLOOKUP(B258,'Baremos anteriores'!A:B,2,FALSE),
""))))</f>
        <v/>
      </c>
      <c r="E258" s="9"/>
      <c r="F258" s="89" t="str">
        <f>IF(D258="MATE",
IF(E258="","¿Unidades?",""),
IF(D258="",IF(E258="","","¿Código?"),
IF(E258="","¿Unidades?",
IF(D258="TARE",
IF(M258=$H$3,IFERROR(VLOOKUP(B258,'Baremos actuales'!A:C,3,FALSE),0),
IF(M258=$H$4,IFERROR(VLOOKUP(B258,'Baremos anteriores'!A:C,3,FALSE),0),0))))))</f>
        <v/>
      </c>
      <c r="G258" s="7"/>
      <c r="H258" s="8"/>
      <c r="I258" s="8"/>
      <c r="J258" s="78" t="str">
        <f>IF($D258="","",
IF($E258="","",
IF($D258="MATE","",
IF(VLOOKUP($B258,'Baremos actuales'!A:D,4,FALSE)=J$9,$E258*$F258,IF(VLOOKUP($B258,'Baremos anteriores'!A:D,4,FALSE)="Sin Definir",$E258*$F258,"")))))</f>
        <v/>
      </c>
      <c r="K258" s="79" t="str">
        <f>IF($D258="","",
IF($E258="","",
IF($D258="MATE","",
IF(VLOOKUP($B258,'Baremos actuales'!$A:$D,4,FALSE)=K$9,$E258*$F258,IF(VLOOKUP($B258,'Baremos anteriores'!$A:$D,4,FALSE)="Desmonte",$E258*$F258,"")))))</f>
        <v/>
      </c>
      <c r="L258" s="80" t="str">
        <f>IF($D258="","",
IF($E258="","",
IF($D258="MATE","",
IF(VLOOKUP($B258,'Baremos actuales'!$A:$D,4,FALSE)=L$9,$E258*$F258,""))))</f>
        <v/>
      </c>
      <c r="M258" s="91" t="str">
        <f t="shared" si="3"/>
        <v/>
      </c>
      <c r="N258" s="96"/>
      <c r="O258" s="95"/>
      <c r="P258" s="96"/>
      <c r="Q258" s="98"/>
    </row>
    <row r="259" spans="1:17" ht="15.75" x14ac:dyDescent="0.2">
      <c r="A259" s="17"/>
      <c r="B259" s="18"/>
      <c r="C259" s="87" t="str">
        <f>IF(B259="","",
IF(M259=$H$5,IFERROR(VLOOKUP(B259,'Baremos actuales'!A:E,5,FALSE),"No encontrado. Revisar código, fecha ejecución y/o contrato."),
IF(M259=$H$4,IFERROR(VLOOKUP(B259,'Baremos anteriores'!A:E,5,FALSE),"No encontrado. Revisar código, fecha ejecución y/o contrato."),
IF(M259=$H$3,IFERROR(VLOOKUP(B259,#REF!,5,FALSE),"No encontrado. Revisar código, fecha ejecución y/o contrato."),
IF(D259="","Código no encontrado",
IF(D259="ERROR","No encontrado. Revisar Código, fecha de ejecución y/o contrato.",
IF(D259="MATE",
IF(C258="DESCRIPCION","NO SE PUEDE COMENZAR SIN CÓDIGO DE TAREA",
IF(C258="","FALTA CÓDIGO DE TAREA",
CONCATENATE("          ",VLOOKUP(B259,'Maestro Materiales'!A:C,3,FALSE)))),IFERROR(VLOOKUP(B259,#REF!,5,FALSE),"No encontrado. Revisar código, fecha ejecución y/o contrato."))))))))</f>
        <v/>
      </c>
      <c r="D259" s="88" t="str">
        <f>IF(B259="","",
IFERROR(VLOOKUP(B259,'Maestro Materiales'!A:C,2,FALSE),
IFERROR(VLOOKUP(B259,'Baremos actuales'!A:B,2,FALSE),
IFERROR(VLOOKUP(B259,'Baremos anteriores'!A:B,2,FALSE),
""))))</f>
        <v/>
      </c>
      <c r="E259" s="9"/>
      <c r="F259" s="89" t="str">
        <f>IF(D259="MATE",
IF(E259="","¿Unidades?",""),
IF(D259="",IF(E259="","","¿Código?"),
IF(E259="","¿Unidades?",
IF(D259="TARE",
IF(M259=$H$3,IFERROR(VLOOKUP(B259,'Baremos actuales'!A:C,3,FALSE),0),
IF(M259=$H$4,IFERROR(VLOOKUP(B259,'Baremos anteriores'!A:C,3,FALSE),0),0))))))</f>
        <v/>
      </c>
      <c r="G259" s="7"/>
      <c r="H259" s="8"/>
      <c r="I259" s="8"/>
      <c r="J259" s="78" t="str">
        <f>IF($D259="","",
IF($E259="","",
IF($D259="MATE","",
IF(VLOOKUP($B259,'Baremos actuales'!A:D,4,FALSE)=J$9,$E259*$F259,IF(VLOOKUP($B259,'Baremos anteriores'!A:D,4,FALSE)="Sin Definir",$E259*$F259,"")))))</f>
        <v/>
      </c>
      <c r="K259" s="79" t="str">
        <f>IF($D259="","",
IF($E259="","",
IF($D259="MATE","",
IF(VLOOKUP($B259,'Baremos actuales'!$A:$D,4,FALSE)=K$9,$E259*$F259,IF(VLOOKUP($B259,'Baremos anteriores'!$A:$D,4,FALSE)="Desmonte",$E259*$F259,"")))))</f>
        <v/>
      </c>
      <c r="L259" s="80" t="str">
        <f>IF($D259="","",
IF($E259="","",
IF($D259="MATE","",
IF(VLOOKUP($B259,'Baremos actuales'!$A:$D,4,FALSE)=L$9,$E259*$F259,""))))</f>
        <v/>
      </c>
      <c r="M259" s="91" t="str">
        <f t="shared" si="3"/>
        <v/>
      </c>
      <c r="N259" s="96"/>
      <c r="O259" s="95"/>
      <c r="P259" s="96"/>
      <c r="Q259" s="98"/>
    </row>
    <row r="260" spans="1:17" ht="15.75" x14ac:dyDescent="0.2">
      <c r="A260" s="17"/>
      <c r="B260" s="18"/>
      <c r="C260" s="87" t="str">
        <f>IF(B260="","",
IF(M260=$H$5,IFERROR(VLOOKUP(B260,'Baremos actuales'!A:E,5,FALSE),"No encontrado. Revisar código, fecha ejecución y/o contrato."),
IF(M260=$H$4,IFERROR(VLOOKUP(B260,'Baremos anteriores'!A:E,5,FALSE),"No encontrado. Revisar código, fecha ejecución y/o contrato."),
IF(M260=$H$3,IFERROR(VLOOKUP(B260,#REF!,5,FALSE),"No encontrado. Revisar código, fecha ejecución y/o contrato."),
IF(D260="","Código no encontrado",
IF(D260="ERROR","No encontrado. Revisar Código, fecha de ejecución y/o contrato.",
IF(D260="MATE",
IF(C259="DESCRIPCION","NO SE PUEDE COMENZAR SIN CÓDIGO DE TAREA",
IF(C259="","FALTA CÓDIGO DE TAREA",
CONCATENATE("          ",VLOOKUP(B260,'Maestro Materiales'!A:C,3,FALSE)))),IFERROR(VLOOKUP(B260,#REF!,5,FALSE),"No encontrado. Revisar código, fecha ejecución y/o contrato."))))))))</f>
        <v/>
      </c>
      <c r="D260" s="88" t="str">
        <f>IF(B260="","",
IFERROR(VLOOKUP(B260,'Maestro Materiales'!A:C,2,FALSE),
IFERROR(VLOOKUP(B260,'Baremos actuales'!A:B,2,FALSE),
IFERROR(VLOOKUP(B260,'Baremos anteriores'!A:B,2,FALSE),
""))))</f>
        <v/>
      </c>
      <c r="E260" s="9"/>
      <c r="F260" s="89" t="str">
        <f>IF(D260="MATE",
IF(E260="","¿Unidades?",""),
IF(D260="",IF(E260="","","¿Código?"),
IF(E260="","¿Unidades?",
IF(D260="TARE",
IF(M260=$H$3,IFERROR(VLOOKUP(B260,'Baremos actuales'!A:C,3,FALSE),0),
IF(M260=$H$4,IFERROR(VLOOKUP(B260,'Baremos anteriores'!A:C,3,FALSE),0),0))))))</f>
        <v/>
      </c>
      <c r="G260" s="7"/>
      <c r="H260" s="8"/>
      <c r="I260" s="8"/>
      <c r="J260" s="78" t="str">
        <f>IF($D260="","",
IF($E260="","",
IF($D260="MATE","",
IF(VLOOKUP($B260,'Baremos actuales'!A:D,4,FALSE)=J$9,$E260*$F260,IF(VLOOKUP($B260,'Baremos anteriores'!A:D,4,FALSE)="Sin Definir",$E260*$F260,"")))))</f>
        <v/>
      </c>
      <c r="K260" s="79" t="str">
        <f>IF($D260="","",
IF($E260="","",
IF($D260="MATE","",
IF(VLOOKUP($B260,'Baremos actuales'!$A:$D,4,FALSE)=K$9,$E260*$F260,IF(VLOOKUP($B260,'Baremos anteriores'!$A:$D,4,FALSE)="Desmonte",$E260*$F260,"")))))</f>
        <v/>
      </c>
      <c r="L260" s="80" t="str">
        <f>IF($D260="","",
IF($E260="","",
IF($D260="MATE","",
IF(VLOOKUP($B260,'Baremos actuales'!$A:$D,4,FALSE)=L$9,$E260*$F260,""))))</f>
        <v/>
      </c>
      <c r="M260" s="91" t="str">
        <f t="shared" si="3"/>
        <v/>
      </c>
      <c r="N260" s="96"/>
      <c r="O260" s="95"/>
      <c r="P260" s="96"/>
      <c r="Q260" s="98"/>
    </row>
    <row r="261" spans="1:17" ht="15.75" x14ac:dyDescent="0.2">
      <c r="A261" s="17"/>
      <c r="B261" s="18"/>
      <c r="C261" s="87" t="str">
        <f>IF(B261="","",
IF(M261=$H$5,IFERROR(VLOOKUP(B261,'Baremos actuales'!A:E,5,FALSE),"No encontrado. Revisar código, fecha ejecución y/o contrato."),
IF(M261=$H$4,IFERROR(VLOOKUP(B261,'Baremos anteriores'!A:E,5,FALSE),"No encontrado. Revisar código, fecha ejecución y/o contrato."),
IF(M261=$H$3,IFERROR(VLOOKUP(B261,#REF!,5,FALSE),"No encontrado. Revisar código, fecha ejecución y/o contrato."),
IF(D261="","Código no encontrado",
IF(D261="ERROR","No encontrado. Revisar Código, fecha de ejecución y/o contrato.",
IF(D261="MATE",
IF(C260="DESCRIPCION","NO SE PUEDE COMENZAR SIN CÓDIGO DE TAREA",
IF(C260="","FALTA CÓDIGO DE TAREA",
CONCATENATE("          ",VLOOKUP(B261,'Maestro Materiales'!A:C,3,FALSE)))),IFERROR(VLOOKUP(B261,#REF!,5,FALSE),"No encontrado. Revisar código, fecha ejecución y/o contrato."))))))))</f>
        <v/>
      </c>
      <c r="D261" s="88" t="str">
        <f>IF(B261="","",
IFERROR(VLOOKUP(B261,'Maestro Materiales'!A:C,2,FALSE),
IFERROR(VLOOKUP(B261,'Baremos actuales'!A:B,2,FALSE),
IFERROR(VLOOKUP(B261,'Baremos anteriores'!A:B,2,FALSE),
""))))</f>
        <v/>
      </c>
      <c r="E261" s="9"/>
      <c r="F261" s="89" t="str">
        <f>IF(D261="MATE",
IF(E261="","¿Unidades?",""),
IF(D261="",IF(E261="","","¿Código?"),
IF(E261="","¿Unidades?",
IF(D261="TARE",
IF(M261=$H$3,IFERROR(VLOOKUP(B261,'Baremos actuales'!A:C,3,FALSE),0),
IF(M261=$H$4,IFERROR(VLOOKUP(B261,'Baremos anteriores'!A:C,3,FALSE),0),0))))))</f>
        <v/>
      </c>
      <c r="G261" s="7"/>
      <c r="H261" s="8"/>
      <c r="I261" s="8"/>
      <c r="J261" s="78" t="str">
        <f>IF($D261="","",
IF($E261="","",
IF($D261="MATE","",
IF(VLOOKUP($B261,'Baremos actuales'!A:D,4,FALSE)=J$9,$E261*$F261,IF(VLOOKUP($B261,'Baremos anteriores'!A:D,4,FALSE)="Sin Definir",$E261*$F261,"")))))</f>
        <v/>
      </c>
      <c r="K261" s="79" t="str">
        <f>IF($D261="","",
IF($E261="","",
IF($D261="MATE","",
IF(VLOOKUP($B261,'Baremos actuales'!$A:$D,4,FALSE)=K$9,$E261*$F261,IF(VLOOKUP($B261,'Baremos anteriores'!$A:$D,4,FALSE)="Desmonte",$E261*$F261,"")))))</f>
        <v/>
      </c>
      <c r="L261" s="80" t="str">
        <f>IF($D261="","",
IF($E261="","",
IF($D261="MATE","",
IF(VLOOKUP($B261,'Baremos actuales'!$A:$D,4,FALSE)=L$9,$E261*$F261,""))))</f>
        <v/>
      </c>
      <c r="M261" s="91" t="str">
        <f t="shared" si="3"/>
        <v/>
      </c>
      <c r="N261" s="96"/>
      <c r="O261" s="95"/>
      <c r="P261" s="96"/>
      <c r="Q261" s="98"/>
    </row>
    <row r="262" spans="1:17" ht="15.75" x14ac:dyDescent="0.2">
      <c r="A262" s="17"/>
      <c r="B262" s="18"/>
      <c r="C262" s="87" t="str">
        <f>IF(B262="","",
IF(M262=$H$5,IFERROR(VLOOKUP(B262,'Baremos actuales'!A:E,5,FALSE),"No encontrado. Revisar código, fecha ejecución y/o contrato."),
IF(M262=$H$4,IFERROR(VLOOKUP(B262,'Baremos anteriores'!A:E,5,FALSE),"No encontrado. Revisar código, fecha ejecución y/o contrato."),
IF(M262=$H$3,IFERROR(VLOOKUP(B262,#REF!,5,FALSE),"No encontrado. Revisar código, fecha ejecución y/o contrato."),
IF(D262="","Código no encontrado",
IF(D262="ERROR","No encontrado. Revisar Código, fecha de ejecución y/o contrato.",
IF(D262="MATE",
IF(C261="DESCRIPCION","NO SE PUEDE COMENZAR SIN CÓDIGO DE TAREA",
IF(C261="","FALTA CÓDIGO DE TAREA",
CONCATENATE("          ",VLOOKUP(B262,'Maestro Materiales'!A:C,3,FALSE)))),IFERROR(VLOOKUP(B262,#REF!,5,FALSE),"No encontrado. Revisar código, fecha ejecución y/o contrato."))))))))</f>
        <v/>
      </c>
      <c r="D262" s="88" t="str">
        <f>IF(B262="","",
IFERROR(VLOOKUP(B262,'Maestro Materiales'!A:C,2,FALSE),
IFERROR(VLOOKUP(B262,'Baremos actuales'!A:B,2,FALSE),
IFERROR(VLOOKUP(B262,'Baremos anteriores'!A:B,2,FALSE),
""))))</f>
        <v/>
      </c>
      <c r="E262" s="9"/>
      <c r="F262" s="89" t="str">
        <f>IF(D262="MATE",
IF(E262="","¿Unidades?",""),
IF(D262="",IF(E262="","","¿Código?"),
IF(E262="","¿Unidades?",
IF(D262="TARE",
IF(M262=$H$3,IFERROR(VLOOKUP(B262,'Baremos actuales'!A:C,3,FALSE),0),
IF(M262=$H$4,IFERROR(VLOOKUP(B262,'Baremos anteriores'!A:C,3,FALSE),0),0))))))</f>
        <v/>
      </c>
      <c r="G262" s="7"/>
      <c r="H262" s="8"/>
      <c r="I262" s="8"/>
      <c r="J262" s="78" t="str">
        <f>IF($D262="","",
IF($E262="","",
IF($D262="MATE","",
IF(VLOOKUP($B262,'Baremos actuales'!A:D,4,FALSE)=J$9,$E262*$F262,IF(VLOOKUP($B262,'Baremos anteriores'!A:D,4,FALSE)="Sin Definir",$E262*$F262,"")))))</f>
        <v/>
      </c>
      <c r="K262" s="79" t="str">
        <f>IF($D262="","",
IF($E262="","",
IF($D262="MATE","",
IF(VLOOKUP($B262,'Baremos actuales'!$A:$D,4,FALSE)=K$9,$E262*$F262,IF(VLOOKUP($B262,'Baremos anteriores'!$A:$D,4,FALSE)="Desmonte",$E262*$F262,"")))))</f>
        <v/>
      </c>
      <c r="L262" s="80" t="str">
        <f>IF($D262="","",
IF($E262="","",
IF($D262="MATE","",
IF(VLOOKUP($B262,'Baremos actuales'!$A:$D,4,FALSE)=L$9,$E262*$F262,""))))</f>
        <v/>
      </c>
      <c r="M262" s="91" t="str">
        <f t="shared" si="3"/>
        <v/>
      </c>
      <c r="N262" s="96"/>
      <c r="O262" s="95"/>
      <c r="P262" s="96"/>
      <c r="Q262" s="98"/>
    </row>
    <row r="263" spans="1:17" ht="15.75" x14ac:dyDescent="0.2">
      <c r="A263" s="17"/>
      <c r="B263" s="18"/>
      <c r="C263" s="87" t="str">
        <f>IF(B263="","",
IF(M263=$H$5,IFERROR(VLOOKUP(B263,'Baremos actuales'!A:E,5,FALSE),"No encontrado. Revisar código, fecha ejecución y/o contrato."),
IF(M263=$H$4,IFERROR(VLOOKUP(B263,'Baremos anteriores'!A:E,5,FALSE),"No encontrado. Revisar código, fecha ejecución y/o contrato."),
IF(M263=$H$3,IFERROR(VLOOKUP(B263,#REF!,5,FALSE),"No encontrado. Revisar código, fecha ejecución y/o contrato."),
IF(D263="","Código no encontrado",
IF(D263="ERROR","No encontrado. Revisar Código, fecha de ejecución y/o contrato.",
IF(D263="MATE",
IF(C262="DESCRIPCION","NO SE PUEDE COMENZAR SIN CÓDIGO DE TAREA",
IF(C262="","FALTA CÓDIGO DE TAREA",
CONCATENATE("          ",VLOOKUP(B263,'Maestro Materiales'!A:C,3,FALSE)))),IFERROR(VLOOKUP(B263,#REF!,5,FALSE),"No encontrado. Revisar código, fecha ejecución y/o contrato."))))))))</f>
        <v/>
      </c>
      <c r="D263" s="88" t="str">
        <f>IF(B263="","",
IFERROR(VLOOKUP(B263,'Maestro Materiales'!A:C,2,FALSE),
IFERROR(VLOOKUP(B263,'Baremos actuales'!A:B,2,FALSE),
IFERROR(VLOOKUP(B263,'Baremos anteriores'!A:B,2,FALSE),
""))))</f>
        <v/>
      </c>
      <c r="E263" s="9"/>
      <c r="F263" s="89" t="str">
        <f>IF(D263="MATE",
IF(E263="","¿Unidades?",""),
IF(D263="",IF(E263="","","¿Código?"),
IF(E263="","¿Unidades?",
IF(D263="TARE",
IF(M263=$H$3,IFERROR(VLOOKUP(B263,'Baremos actuales'!A:C,3,FALSE),0),
IF(M263=$H$4,IFERROR(VLOOKUP(B263,'Baremos anteriores'!A:C,3,FALSE),0),0))))))</f>
        <v/>
      </c>
      <c r="G263" s="7"/>
      <c r="H263" s="8"/>
      <c r="I263" s="8"/>
      <c r="J263" s="78" t="str">
        <f>IF($D263="","",
IF($E263="","",
IF($D263="MATE","",
IF(VLOOKUP($B263,'Baremos actuales'!A:D,4,FALSE)=J$9,$E263*$F263,IF(VLOOKUP($B263,'Baremos anteriores'!A:D,4,FALSE)="Sin Definir",$E263*$F263,"")))))</f>
        <v/>
      </c>
      <c r="K263" s="79" t="str">
        <f>IF($D263="","",
IF($E263="","",
IF($D263="MATE","",
IF(VLOOKUP($B263,'Baremos actuales'!$A:$D,4,FALSE)=K$9,$E263*$F263,IF(VLOOKUP($B263,'Baremos anteriores'!$A:$D,4,FALSE)="Desmonte",$E263*$F263,"")))))</f>
        <v/>
      </c>
      <c r="L263" s="80" t="str">
        <f>IF($D263="","",
IF($E263="","",
IF($D263="MATE","",
IF(VLOOKUP($B263,'Baremos actuales'!$A:$D,4,FALSE)=L$9,$E263*$F263,""))))</f>
        <v/>
      </c>
      <c r="M263" s="91" t="str">
        <f t="shared" si="3"/>
        <v/>
      </c>
      <c r="N263" s="96"/>
      <c r="O263" s="95"/>
      <c r="P263" s="96"/>
      <c r="Q263" s="98"/>
    </row>
    <row r="264" spans="1:17" ht="15.75" x14ac:dyDescent="0.2">
      <c r="A264" s="17"/>
      <c r="B264" s="18"/>
      <c r="C264" s="87" t="str">
        <f>IF(B264="","",
IF(M264=$H$5,IFERROR(VLOOKUP(B264,'Baremos actuales'!A:E,5,FALSE),"No encontrado. Revisar código, fecha ejecución y/o contrato."),
IF(M264=$H$4,IFERROR(VLOOKUP(B264,'Baremos anteriores'!A:E,5,FALSE),"No encontrado. Revisar código, fecha ejecución y/o contrato."),
IF(M264=$H$3,IFERROR(VLOOKUP(B264,#REF!,5,FALSE),"No encontrado. Revisar código, fecha ejecución y/o contrato."),
IF(D264="","Código no encontrado",
IF(D264="ERROR","No encontrado. Revisar Código, fecha de ejecución y/o contrato.",
IF(D264="MATE",
IF(C263="DESCRIPCION","NO SE PUEDE COMENZAR SIN CÓDIGO DE TAREA",
IF(C263="","FALTA CÓDIGO DE TAREA",
CONCATENATE("          ",VLOOKUP(B264,'Maestro Materiales'!A:C,3,FALSE)))),IFERROR(VLOOKUP(B264,#REF!,5,FALSE),"No encontrado. Revisar código, fecha ejecución y/o contrato."))))))))</f>
        <v/>
      </c>
      <c r="D264" s="88" t="str">
        <f>IF(B264="","",
IFERROR(VLOOKUP(B264,'Maestro Materiales'!A:C,2,FALSE),
IFERROR(VLOOKUP(B264,'Baremos actuales'!A:B,2,FALSE),
IFERROR(VLOOKUP(B264,'Baremos anteriores'!A:B,2,FALSE),
""))))</f>
        <v/>
      </c>
      <c r="E264" s="9"/>
      <c r="F264" s="89" t="str">
        <f>IF(D264="MATE",
IF(E264="","¿Unidades?",""),
IF(D264="",IF(E264="","","¿Código?"),
IF(E264="","¿Unidades?",
IF(D264="TARE",
IF(M264=$H$3,IFERROR(VLOOKUP(B264,'Baremos actuales'!A:C,3,FALSE),0),
IF(M264=$H$4,IFERROR(VLOOKUP(B264,'Baremos anteriores'!A:C,3,FALSE),0),0))))))</f>
        <v/>
      </c>
      <c r="G264" s="7"/>
      <c r="H264" s="8"/>
      <c r="I264" s="8"/>
      <c r="J264" s="78" t="str">
        <f>IF($D264="","",
IF($E264="","",
IF($D264="MATE","",
IF(VLOOKUP($B264,'Baremos actuales'!A:D,4,FALSE)=J$9,$E264*$F264,IF(VLOOKUP($B264,'Baremos anteriores'!A:D,4,FALSE)="Sin Definir",$E264*$F264,"")))))</f>
        <v/>
      </c>
      <c r="K264" s="79" t="str">
        <f>IF($D264="","",
IF($E264="","",
IF($D264="MATE","",
IF(VLOOKUP($B264,'Baremos actuales'!$A:$D,4,FALSE)=K$9,$E264*$F264,IF(VLOOKUP($B264,'Baremos anteriores'!$A:$D,4,FALSE)="Desmonte",$E264*$F264,"")))))</f>
        <v/>
      </c>
      <c r="L264" s="80" t="str">
        <f>IF($D264="","",
IF($E264="","",
IF($D264="MATE","",
IF(VLOOKUP($B264,'Baremos actuales'!$A:$D,4,FALSE)=L$9,$E264*$F264,""))))</f>
        <v/>
      </c>
      <c r="M264" s="91" t="str">
        <f t="shared" si="3"/>
        <v/>
      </c>
      <c r="N264" s="96"/>
      <c r="O264" s="95"/>
      <c r="P264" s="96"/>
      <c r="Q264" s="98"/>
    </row>
    <row r="265" spans="1:17" ht="15.75" x14ac:dyDescent="0.2">
      <c r="A265" s="17"/>
      <c r="B265" s="18"/>
      <c r="C265" s="87" t="str">
        <f>IF(B265="","",
IF(M265=$H$5,IFERROR(VLOOKUP(B265,'Baremos actuales'!A:E,5,FALSE),"No encontrado. Revisar código, fecha ejecución y/o contrato."),
IF(M265=$H$4,IFERROR(VLOOKUP(B265,'Baremos anteriores'!A:E,5,FALSE),"No encontrado. Revisar código, fecha ejecución y/o contrato."),
IF(M265=$H$3,IFERROR(VLOOKUP(B265,#REF!,5,FALSE),"No encontrado. Revisar código, fecha ejecución y/o contrato."),
IF(D265="","Código no encontrado",
IF(D265="ERROR","No encontrado. Revisar Código, fecha de ejecución y/o contrato.",
IF(D265="MATE",
IF(C264="DESCRIPCION","NO SE PUEDE COMENZAR SIN CÓDIGO DE TAREA",
IF(C264="","FALTA CÓDIGO DE TAREA",
CONCATENATE("          ",VLOOKUP(B265,'Maestro Materiales'!A:C,3,FALSE)))),IFERROR(VLOOKUP(B265,#REF!,5,FALSE),"No encontrado. Revisar código, fecha ejecución y/o contrato."))))))))</f>
        <v/>
      </c>
      <c r="D265" s="88" t="str">
        <f>IF(B265="","",
IFERROR(VLOOKUP(B265,'Maestro Materiales'!A:C,2,FALSE),
IFERROR(VLOOKUP(B265,'Baremos actuales'!A:B,2,FALSE),
IFERROR(VLOOKUP(B265,'Baremos anteriores'!A:B,2,FALSE),
""))))</f>
        <v/>
      </c>
      <c r="E265" s="9"/>
      <c r="F265" s="89" t="str">
        <f>IF(D265="MATE",
IF(E265="","¿Unidades?",""),
IF(D265="",IF(E265="","","¿Código?"),
IF(E265="","¿Unidades?",
IF(D265="TARE",
IF(M265=$H$3,IFERROR(VLOOKUP(B265,'Baremos actuales'!A:C,3,FALSE),0),
IF(M265=$H$4,IFERROR(VLOOKUP(B265,'Baremos anteriores'!A:C,3,FALSE),0),0))))))</f>
        <v/>
      </c>
      <c r="G265" s="7"/>
      <c r="H265" s="8"/>
      <c r="I265" s="8"/>
      <c r="J265" s="78" t="str">
        <f>IF($D265="","",
IF($E265="","",
IF($D265="MATE","",
IF(VLOOKUP($B265,'Baremos actuales'!A:D,4,FALSE)=J$9,$E265*$F265,IF(VLOOKUP($B265,'Baremos anteriores'!A:D,4,FALSE)="Sin Definir",$E265*$F265,"")))))</f>
        <v/>
      </c>
      <c r="K265" s="79" t="str">
        <f>IF($D265="","",
IF($E265="","",
IF($D265="MATE","",
IF(VLOOKUP($B265,'Baremos actuales'!$A:$D,4,FALSE)=K$9,$E265*$F265,IF(VLOOKUP($B265,'Baremos anteriores'!$A:$D,4,FALSE)="Desmonte",$E265*$F265,"")))))</f>
        <v/>
      </c>
      <c r="L265" s="80" t="str">
        <f>IF($D265="","",
IF($E265="","",
IF($D265="MATE","",
IF(VLOOKUP($B265,'Baremos actuales'!$A:$D,4,FALSE)=L$9,$E265*$F265,""))))</f>
        <v/>
      </c>
      <c r="M265" s="91" t="str">
        <f t="shared" si="3"/>
        <v/>
      </c>
      <c r="N265" s="96"/>
      <c r="O265" s="95"/>
      <c r="P265" s="96"/>
      <c r="Q265" s="98"/>
    </row>
    <row r="266" spans="1:17" ht="15.75" x14ac:dyDescent="0.2">
      <c r="A266" s="17"/>
      <c r="B266" s="18"/>
      <c r="C266" s="87" t="str">
        <f>IF(B266="","",
IF(M266=$H$5,IFERROR(VLOOKUP(B266,'Baremos actuales'!A:E,5,FALSE),"No encontrado. Revisar código, fecha ejecución y/o contrato."),
IF(M266=$H$4,IFERROR(VLOOKUP(B266,'Baremos anteriores'!A:E,5,FALSE),"No encontrado. Revisar código, fecha ejecución y/o contrato."),
IF(M266=$H$3,IFERROR(VLOOKUP(B266,#REF!,5,FALSE),"No encontrado. Revisar código, fecha ejecución y/o contrato."),
IF(D266="","Código no encontrado",
IF(D266="ERROR","No encontrado. Revisar Código, fecha de ejecución y/o contrato.",
IF(D266="MATE",
IF(C265="DESCRIPCION","NO SE PUEDE COMENZAR SIN CÓDIGO DE TAREA",
IF(C265="","FALTA CÓDIGO DE TAREA",
CONCATENATE("          ",VLOOKUP(B266,'Maestro Materiales'!A:C,3,FALSE)))),IFERROR(VLOOKUP(B266,#REF!,5,FALSE),"No encontrado. Revisar código, fecha ejecución y/o contrato."))))))))</f>
        <v/>
      </c>
      <c r="D266" s="88" t="str">
        <f>IF(B266="","",
IFERROR(VLOOKUP(B266,'Maestro Materiales'!A:C,2,FALSE),
IFERROR(VLOOKUP(B266,'Baremos actuales'!A:B,2,FALSE),
IFERROR(VLOOKUP(B266,'Baremos anteriores'!A:B,2,FALSE),
""))))</f>
        <v/>
      </c>
      <c r="E266" s="9"/>
      <c r="F266" s="89" t="str">
        <f>IF(D266="MATE",
IF(E266="","¿Unidades?",""),
IF(D266="",IF(E266="","","¿Código?"),
IF(E266="","¿Unidades?",
IF(D266="TARE",
IF(M266=$H$3,IFERROR(VLOOKUP(B266,'Baremos actuales'!A:C,3,FALSE),0),
IF(M266=$H$4,IFERROR(VLOOKUP(B266,'Baremos anteriores'!A:C,3,FALSE),0),0))))))</f>
        <v/>
      </c>
      <c r="G266" s="7"/>
      <c r="H266" s="8"/>
      <c r="I266" s="8"/>
      <c r="J266" s="78" t="str">
        <f>IF($D266="","",
IF($E266="","",
IF($D266="MATE","",
IF(VLOOKUP($B266,'Baremos actuales'!A:D,4,FALSE)=J$9,$E266*$F266,IF(VLOOKUP($B266,'Baremos anteriores'!A:D,4,FALSE)="Sin Definir",$E266*$F266,"")))))</f>
        <v/>
      </c>
      <c r="K266" s="79" t="str">
        <f>IF($D266="","",
IF($E266="","",
IF($D266="MATE","",
IF(VLOOKUP($B266,'Baremos actuales'!$A:$D,4,FALSE)=K$9,$E266*$F266,IF(VLOOKUP($B266,'Baremos anteriores'!$A:$D,4,FALSE)="Desmonte",$E266*$F266,"")))))</f>
        <v/>
      </c>
      <c r="L266" s="80" t="str">
        <f>IF($D266="","",
IF($E266="","",
IF($D266="MATE","",
IF(VLOOKUP($B266,'Baremos actuales'!$A:$D,4,FALSE)=L$9,$E266*$F266,""))))</f>
        <v/>
      </c>
      <c r="M266" s="91" t="str">
        <f t="shared" si="3"/>
        <v/>
      </c>
      <c r="N266" s="96"/>
      <c r="O266" s="95"/>
      <c r="P266" s="96"/>
      <c r="Q266" s="98"/>
    </row>
    <row r="267" spans="1:17" ht="15.75" x14ac:dyDescent="0.2">
      <c r="A267" s="17"/>
      <c r="B267" s="18"/>
      <c r="C267" s="87" t="str">
        <f>IF(B267="","",
IF(M267=$H$5,IFERROR(VLOOKUP(B267,'Baremos actuales'!A:E,5,FALSE),"No encontrado. Revisar código, fecha ejecución y/o contrato."),
IF(M267=$H$4,IFERROR(VLOOKUP(B267,'Baremos anteriores'!A:E,5,FALSE),"No encontrado. Revisar código, fecha ejecución y/o contrato."),
IF(M267=$H$3,IFERROR(VLOOKUP(B267,#REF!,5,FALSE),"No encontrado. Revisar código, fecha ejecución y/o contrato."),
IF(D267="","Código no encontrado",
IF(D267="ERROR","No encontrado. Revisar Código, fecha de ejecución y/o contrato.",
IF(D267="MATE",
IF(C266="DESCRIPCION","NO SE PUEDE COMENZAR SIN CÓDIGO DE TAREA",
IF(C266="","FALTA CÓDIGO DE TAREA",
CONCATENATE("          ",VLOOKUP(B267,'Maestro Materiales'!A:C,3,FALSE)))),IFERROR(VLOOKUP(B267,#REF!,5,FALSE),"No encontrado. Revisar código, fecha ejecución y/o contrato."))))))))</f>
        <v/>
      </c>
      <c r="D267" s="88" t="str">
        <f>IF(B267="","",
IFERROR(VLOOKUP(B267,'Maestro Materiales'!A:C,2,FALSE),
IFERROR(VLOOKUP(B267,'Baremos actuales'!A:B,2,FALSE),
IFERROR(VLOOKUP(B267,'Baremos anteriores'!A:B,2,FALSE),
""))))</f>
        <v/>
      </c>
      <c r="E267" s="9"/>
      <c r="F267" s="89" t="str">
        <f>IF(D267="MATE",
IF(E267="","¿Unidades?",""),
IF(D267="",IF(E267="","","¿Código?"),
IF(E267="","¿Unidades?",
IF(D267="TARE",
IF(M267=$H$3,IFERROR(VLOOKUP(B267,'Baremos actuales'!A:C,3,FALSE),0),
IF(M267=$H$4,IFERROR(VLOOKUP(B267,'Baremos anteriores'!A:C,3,FALSE),0),0))))))</f>
        <v/>
      </c>
      <c r="G267" s="7"/>
      <c r="H267" s="8"/>
      <c r="I267" s="8"/>
      <c r="J267" s="78" t="str">
        <f>IF($D267="","",
IF($E267="","",
IF($D267="MATE","",
IF(VLOOKUP($B267,'Baremos actuales'!A:D,4,FALSE)=J$9,$E267*$F267,IF(VLOOKUP($B267,'Baremos anteriores'!A:D,4,FALSE)="Sin Definir",$E267*$F267,"")))))</f>
        <v/>
      </c>
      <c r="K267" s="79" t="str">
        <f>IF($D267="","",
IF($E267="","",
IF($D267="MATE","",
IF(VLOOKUP($B267,'Baremos actuales'!$A:$D,4,FALSE)=K$9,$E267*$F267,IF(VLOOKUP($B267,'Baremos anteriores'!$A:$D,4,FALSE)="Desmonte",$E267*$F267,"")))))</f>
        <v/>
      </c>
      <c r="L267" s="80" t="str">
        <f>IF($D267="","",
IF($E267="","",
IF($D267="MATE","",
IF(VLOOKUP($B267,'Baremos actuales'!$A:$D,4,FALSE)=L$9,$E267*$F267,""))))</f>
        <v/>
      </c>
      <c r="M267" s="91" t="str">
        <f t="shared" ref="M267:M330" si="4">IF(D267="MATE","Materiales",IF(B267="","",
IF($Q$1="O","Obsoleto",$F$2)))</f>
        <v/>
      </c>
      <c r="N267" s="96"/>
      <c r="O267" s="95"/>
      <c r="P267" s="96"/>
      <c r="Q267" s="98"/>
    </row>
    <row r="268" spans="1:17" ht="15.75" x14ac:dyDescent="0.2">
      <c r="A268" s="17"/>
      <c r="B268" s="18"/>
      <c r="C268" s="87" t="str">
        <f>IF(B268="","",
IF(M268=$H$5,IFERROR(VLOOKUP(B268,'Baremos actuales'!A:E,5,FALSE),"No encontrado. Revisar código, fecha ejecución y/o contrato."),
IF(M268=$H$4,IFERROR(VLOOKUP(B268,'Baremos anteriores'!A:E,5,FALSE),"No encontrado. Revisar código, fecha ejecución y/o contrato."),
IF(M268=$H$3,IFERROR(VLOOKUP(B268,#REF!,5,FALSE),"No encontrado. Revisar código, fecha ejecución y/o contrato."),
IF(D268="","Código no encontrado",
IF(D268="ERROR","No encontrado. Revisar Código, fecha de ejecución y/o contrato.",
IF(D268="MATE",
IF(C267="DESCRIPCION","NO SE PUEDE COMENZAR SIN CÓDIGO DE TAREA",
IF(C267="","FALTA CÓDIGO DE TAREA",
CONCATENATE("          ",VLOOKUP(B268,'Maestro Materiales'!A:C,3,FALSE)))),IFERROR(VLOOKUP(B268,#REF!,5,FALSE),"No encontrado. Revisar código, fecha ejecución y/o contrato."))))))))</f>
        <v/>
      </c>
      <c r="D268" s="88" t="str">
        <f>IF(B268="","",
IFERROR(VLOOKUP(B268,'Maestro Materiales'!A:C,2,FALSE),
IFERROR(VLOOKUP(B268,'Baremos actuales'!A:B,2,FALSE),
IFERROR(VLOOKUP(B268,'Baremos anteriores'!A:B,2,FALSE),
""))))</f>
        <v/>
      </c>
      <c r="E268" s="9"/>
      <c r="F268" s="89" t="str">
        <f>IF(D268="MATE",
IF(E268="","¿Unidades?",""),
IF(D268="",IF(E268="","","¿Código?"),
IF(E268="","¿Unidades?",
IF(D268="TARE",
IF(M268=$H$3,IFERROR(VLOOKUP(B268,'Baremos actuales'!A:C,3,FALSE),0),
IF(M268=$H$4,IFERROR(VLOOKUP(B268,'Baremos anteriores'!A:C,3,FALSE),0),0))))))</f>
        <v/>
      </c>
      <c r="G268" s="7"/>
      <c r="H268" s="8"/>
      <c r="I268" s="8"/>
      <c r="J268" s="78" t="str">
        <f>IF($D268="","",
IF($E268="","",
IF($D268="MATE","",
IF(VLOOKUP($B268,'Baremos actuales'!A:D,4,FALSE)=J$9,$E268*$F268,IF(VLOOKUP($B268,'Baremos anteriores'!A:D,4,FALSE)="Sin Definir",$E268*$F268,"")))))</f>
        <v/>
      </c>
      <c r="K268" s="79" t="str">
        <f>IF($D268="","",
IF($E268="","",
IF($D268="MATE","",
IF(VLOOKUP($B268,'Baremos actuales'!$A:$D,4,FALSE)=K$9,$E268*$F268,IF(VLOOKUP($B268,'Baremos anteriores'!$A:$D,4,FALSE)="Desmonte",$E268*$F268,"")))))</f>
        <v/>
      </c>
      <c r="L268" s="80" t="str">
        <f>IF($D268="","",
IF($E268="","",
IF($D268="MATE","",
IF(VLOOKUP($B268,'Baremos actuales'!$A:$D,4,FALSE)=L$9,$E268*$F268,""))))</f>
        <v/>
      </c>
      <c r="M268" s="91" t="str">
        <f t="shared" si="4"/>
        <v/>
      </c>
      <c r="N268" s="96"/>
      <c r="O268" s="95"/>
      <c r="P268" s="96"/>
      <c r="Q268" s="98"/>
    </row>
    <row r="269" spans="1:17" ht="15.75" x14ac:dyDescent="0.2">
      <c r="A269" s="17"/>
      <c r="B269" s="18"/>
      <c r="C269" s="87" t="str">
        <f>IF(B269="","",
IF(M269=$H$5,IFERROR(VLOOKUP(B269,'Baremos actuales'!A:E,5,FALSE),"No encontrado. Revisar código, fecha ejecución y/o contrato."),
IF(M269=$H$4,IFERROR(VLOOKUP(B269,'Baremos anteriores'!A:E,5,FALSE),"No encontrado. Revisar código, fecha ejecución y/o contrato."),
IF(M269=$H$3,IFERROR(VLOOKUP(B269,#REF!,5,FALSE),"No encontrado. Revisar código, fecha ejecución y/o contrato."),
IF(D269="","Código no encontrado",
IF(D269="ERROR","No encontrado. Revisar Código, fecha de ejecución y/o contrato.",
IF(D269="MATE",
IF(C268="DESCRIPCION","NO SE PUEDE COMENZAR SIN CÓDIGO DE TAREA",
IF(C268="","FALTA CÓDIGO DE TAREA",
CONCATENATE("          ",VLOOKUP(B269,'Maestro Materiales'!A:C,3,FALSE)))),IFERROR(VLOOKUP(B269,#REF!,5,FALSE),"No encontrado. Revisar código, fecha ejecución y/o contrato."))))))))</f>
        <v/>
      </c>
      <c r="D269" s="88" t="str">
        <f>IF(B269="","",
IFERROR(VLOOKUP(B269,'Maestro Materiales'!A:C,2,FALSE),
IFERROR(VLOOKUP(B269,'Baremos actuales'!A:B,2,FALSE),
IFERROR(VLOOKUP(B269,'Baremos anteriores'!A:B,2,FALSE),
""))))</f>
        <v/>
      </c>
      <c r="E269" s="9"/>
      <c r="F269" s="89" t="str">
        <f>IF(D269="MATE",
IF(E269="","¿Unidades?",""),
IF(D269="",IF(E269="","","¿Código?"),
IF(E269="","¿Unidades?",
IF(D269="TARE",
IF(M269=$H$3,IFERROR(VLOOKUP(B269,'Baremos actuales'!A:C,3,FALSE),0),
IF(M269=$H$4,IFERROR(VLOOKUP(B269,'Baremos anteriores'!A:C,3,FALSE),0),0))))))</f>
        <v/>
      </c>
      <c r="G269" s="7"/>
      <c r="H269" s="8"/>
      <c r="I269" s="8"/>
      <c r="J269" s="78" t="str">
        <f>IF($D269="","",
IF($E269="","",
IF($D269="MATE","",
IF(VLOOKUP($B269,'Baremos actuales'!A:D,4,FALSE)=J$9,$E269*$F269,IF(VLOOKUP($B269,'Baremos anteriores'!A:D,4,FALSE)="Sin Definir",$E269*$F269,"")))))</f>
        <v/>
      </c>
      <c r="K269" s="79" t="str">
        <f>IF($D269="","",
IF($E269="","",
IF($D269="MATE","",
IF(VLOOKUP($B269,'Baremos actuales'!$A:$D,4,FALSE)=K$9,$E269*$F269,IF(VLOOKUP($B269,'Baremos anteriores'!$A:$D,4,FALSE)="Desmonte",$E269*$F269,"")))))</f>
        <v/>
      </c>
      <c r="L269" s="80" t="str">
        <f>IF($D269="","",
IF($E269="","",
IF($D269="MATE","",
IF(VLOOKUP($B269,'Baremos actuales'!$A:$D,4,FALSE)=L$9,$E269*$F269,""))))</f>
        <v/>
      </c>
      <c r="M269" s="91" t="str">
        <f t="shared" si="4"/>
        <v/>
      </c>
      <c r="N269" s="96"/>
      <c r="O269" s="95"/>
      <c r="P269" s="96"/>
      <c r="Q269" s="98"/>
    </row>
    <row r="270" spans="1:17" ht="15.75" x14ac:dyDescent="0.2">
      <c r="A270" s="17"/>
      <c r="B270" s="18"/>
      <c r="C270" s="87" t="str">
        <f>IF(B270="","",
IF(M270=$H$5,IFERROR(VLOOKUP(B270,'Baremos actuales'!A:E,5,FALSE),"No encontrado. Revisar código, fecha ejecución y/o contrato."),
IF(M270=$H$4,IFERROR(VLOOKUP(B270,'Baremos anteriores'!A:E,5,FALSE),"No encontrado. Revisar código, fecha ejecución y/o contrato."),
IF(M270=$H$3,IFERROR(VLOOKUP(B270,#REF!,5,FALSE),"No encontrado. Revisar código, fecha ejecución y/o contrato."),
IF(D270="","Código no encontrado",
IF(D270="ERROR","No encontrado. Revisar Código, fecha de ejecución y/o contrato.",
IF(D270="MATE",
IF(C269="DESCRIPCION","NO SE PUEDE COMENZAR SIN CÓDIGO DE TAREA",
IF(C269="","FALTA CÓDIGO DE TAREA",
CONCATENATE("          ",VLOOKUP(B270,'Maestro Materiales'!A:C,3,FALSE)))),IFERROR(VLOOKUP(B270,#REF!,5,FALSE),"No encontrado. Revisar código, fecha ejecución y/o contrato."))))))))</f>
        <v/>
      </c>
      <c r="D270" s="88" t="str">
        <f>IF(B270="","",
IFERROR(VLOOKUP(B270,'Maestro Materiales'!A:C,2,FALSE),
IFERROR(VLOOKUP(B270,'Baremos actuales'!A:B,2,FALSE),
IFERROR(VLOOKUP(B270,'Baremos anteriores'!A:B,2,FALSE),
""))))</f>
        <v/>
      </c>
      <c r="E270" s="9"/>
      <c r="F270" s="89" t="str">
        <f>IF(D270="MATE",
IF(E270="","¿Unidades?",""),
IF(D270="",IF(E270="","","¿Código?"),
IF(E270="","¿Unidades?",
IF(D270="TARE",
IF(M270=$H$3,IFERROR(VLOOKUP(B270,'Baremos actuales'!A:C,3,FALSE),0),
IF(M270=$H$4,IFERROR(VLOOKUP(B270,'Baremos anteriores'!A:C,3,FALSE),0),0))))))</f>
        <v/>
      </c>
      <c r="G270" s="7"/>
      <c r="H270" s="8"/>
      <c r="I270" s="8"/>
      <c r="J270" s="78" t="str">
        <f>IF($D270="","",
IF($E270="","",
IF($D270="MATE","",
IF(VLOOKUP($B270,'Baremos actuales'!A:D,4,FALSE)=J$9,$E270*$F270,IF(VLOOKUP($B270,'Baremos anteriores'!A:D,4,FALSE)="Sin Definir",$E270*$F270,"")))))</f>
        <v/>
      </c>
      <c r="K270" s="79" t="str">
        <f>IF($D270="","",
IF($E270="","",
IF($D270="MATE","",
IF(VLOOKUP($B270,'Baremos actuales'!$A:$D,4,FALSE)=K$9,$E270*$F270,IF(VLOOKUP($B270,'Baremos anteriores'!$A:$D,4,FALSE)="Desmonte",$E270*$F270,"")))))</f>
        <v/>
      </c>
      <c r="L270" s="80" t="str">
        <f>IF($D270="","",
IF($E270="","",
IF($D270="MATE","",
IF(VLOOKUP($B270,'Baremos actuales'!$A:$D,4,FALSE)=L$9,$E270*$F270,""))))</f>
        <v/>
      </c>
      <c r="M270" s="91" t="str">
        <f t="shared" si="4"/>
        <v/>
      </c>
      <c r="N270" s="96"/>
      <c r="O270" s="95"/>
      <c r="P270" s="96"/>
      <c r="Q270" s="98"/>
    </row>
    <row r="271" spans="1:17" ht="15.75" x14ac:dyDescent="0.2">
      <c r="A271" s="17"/>
      <c r="B271" s="18"/>
      <c r="C271" s="87" t="str">
        <f>IF(B271="","",
IF(M271=$H$5,IFERROR(VLOOKUP(B271,'Baremos actuales'!A:E,5,FALSE),"No encontrado. Revisar código, fecha ejecución y/o contrato."),
IF(M271=$H$4,IFERROR(VLOOKUP(B271,'Baremos anteriores'!A:E,5,FALSE),"No encontrado. Revisar código, fecha ejecución y/o contrato."),
IF(M271=$H$3,IFERROR(VLOOKUP(B271,#REF!,5,FALSE),"No encontrado. Revisar código, fecha ejecución y/o contrato."),
IF(D271="","Código no encontrado",
IF(D271="ERROR","No encontrado. Revisar Código, fecha de ejecución y/o contrato.",
IF(D271="MATE",
IF(C270="DESCRIPCION","NO SE PUEDE COMENZAR SIN CÓDIGO DE TAREA",
IF(C270="","FALTA CÓDIGO DE TAREA",
CONCATENATE("          ",VLOOKUP(B271,'Maestro Materiales'!A:C,3,FALSE)))),IFERROR(VLOOKUP(B271,#REF!,5,FALSE),"No encontrado. Revisar código, fecha ejecución y/o contrato."))))))))</f>
        <v/>
      </c>
      <c r="D271" s="88" t="str">
        <f>IF(B271="","",
IFERROR(VLOOKUP(B271,'Maestro Materiales'!A:C,2,FALSE),
IFERROR(VLOOKUP(B271,'Baremos actuales'!A:B,2,FALSE),
IFERROR(VLOOKUP(B271,'Baremos anteriores'!A:B,2,FALSE),
""))))</f>
        <v/>
      </c>
      <c r="E271" s="9"/>
      <c r="F271" s="89" t="str">
        <f>IF(D271="MATE",
IF(E271="","¿Unidades?",""),
IF(D271="",IF(E271="","","¿Código?"),
IF(E271="","¿Unidades?",
IF(D271="TARE",
IF(M271=$H$3,IFERROR(VLOOKUP(B271,'Baremos actuales'!A:C,3,FALSE),0),
IF(M271=$H$4,IFERROR(VLOOKUP(B271,'Baremos anteriores'!A:C,3,FALSE),0),0))))))</f>
        <v/>
      </c>
      <c r="G271" s="7"/>
      <c r="H271" s="8"/>
      <c r="I271" s="8"/>
      <c r="J271" s="78" t="str">
        <f>IF($D271="","",
IF($E271="","",
IF($D271="MATE","",
IF(VLOOKUP($B271,'Baremos actuales'!A:D,4,FALSE)=J$9,$E271*$F271,IF(VLOOKUP($B271,'Baremos anteriores'!A:D,4,FALSE)="Sin Definir",$E271*$F271,"")))))</f>
        <v/>
      </c>
      <c r="K271" s="79" t="str">
        <f>IF($D271="","",
IF($E271="","",
IF($D271="MATE","",
IF(VLOOKUP($B271,'Baremos actuales'!$A:$D,4,FALSE)=K$9,$E271*$F271,IF(VLOOKUP($B271,'Baremos anteriores'!$A:$D,4,FALSE)="Desmonte",$E271*$F271,"")))))</f>
        <v/>
      </c>
      <c r="L271" s="80" t="str">
        <f>IF($D271="","",
IF($E271="","",
IF($D271="MATE","",
IF(VLOOKUP($B271,'Baremos actuales'!$A:$D,4,FALSE)=L$9,$E271*$F271,""))))</f>
        <v/>
      </c>
      <c r="M271" s="91" t="str">
        <f t="shared" si="4"/>
        <v/>
      </c>
      <c r="N271" s="96"/>
      <c r="O271" s="95"/>
      <c r="P271" s="96"/>
      <c r="Q271" s="98"/>
    </row>
    <row r="272" spans="1:17" ht="15.75" x14ac:dyDescent="0.2">
      <c r="A272" s="17"/>
      <c r="B272" s="18"/>
      <c r="C272" s="87" t="str">
        <f>IF(B272="","",
IF(M272=$H$5,IFERROR(VLOOKUP(B272,'Baremos actuales'!A:E,5,FALSE),"No encontrado. Revisar código, fecha ejecución y/o contrato."),
IF(M272=$H$4,IFERROR(VLOOKUP(B272,'Baremos anteriores'!A:E,5,FALSE),"No encontrado. Revisar código, fecha ejecución y/o contrato."),
IF(M272=$H$3,IFERROR(VLOOKUP(B272,#REF!,5,FALSE),"No encontrado. Revisar código, fecha ejecución y/o contrato."),
IF(D272="","Código no encontrado",
IF(D272="ERROR","No encontrado. Revisar Código, fecha de ejecución y/o contrato.",
IF(D272="MATE",
IF(C271="DESCRIPCION","NO SE PUEDE COMENZAR SIN CÓDIGO DE TAREA",
IF(C271="","FALTA CÓDIGO DE TAREA",
CONCATENATE("          ",VLOOKUP(B272,'Maestro Materiales'!A:C,3,FALSE)))),IFERROR(VLOOKUP(B272,#REF!,5,FALSE),"No encontrado. Revisar código, fecha ejecución y/o contrato."))))))))</f>
        <v/>
      </c>
      <c r="D272" s="88" t="str">
        <f>IF(B272="","",
IFERROR(VLOOKUP(B272,'Maestro Materiales'!A:C,2,FALSE),
IFERROR(VLOOKUP(B272,'Baremos actuales'!A:B,2,FALSE),
IFERROR(VLOOKUP(B272,'Baremos anteriores'!A:B,2,FALSE),
""))))</f>
        <v/>
      </c>
      <c r="E272" s="9"/>
      <c r="F272" s="89" t="str">
        <f>IF(D272="MATE",
IF(E272="","¿Unidades?",""),
IF(D272="",IF(E272="","","¿Código?"),
IF(E272="","¿Unidades?",
IF(D272="TARE",
IF(M272=$H$3,IFERROR(VLOOKUP(B272,'Baremos actuales'!A:C,3,FALSE),0),
IF(M272=$H$4,IFERROR(VLOOKUP(B272,'Baremos anteriores'!A:C,3,FALSE),0),0))))))</f>
        <v/>
      </c>
      <c r="G272" s="7"/>
      <c r="H272" s="8"/>
      <c r="I272" s="8"/>
      <c r="J272" s="78" t="str">
        <f>IF($D272="","",
IF($E272="","",
IF($D272="MATE","",
IF(VLOOKUP($B272,'Baremos actuales'!A:D,4,FALSE)=J$9,$E272*$F272,IF(VLOOKUP($B272,'Baremos anteriores'!A:D,4,FALSE)="Sin Definir",$E272*$F272,"")))))</f>
        <v/>
      </c>
      <c r="K272" s="79" t="str">
        <f>IF($D272="","",
IF($E272="","",
IF($D272="MATE","",
IF(VLOOKUP($B272,'Baremos actuales'!$A:$D,4,FALSE)=K$9,$E272*$F272,IF(VLOOKUP($B272,'Baremos anteriores'!$A:$D,4,FALSE)="Desmonte",$E272*$F272,"")))))</f>
        <v/>
      </c>
      <c r="L272" s="80" t="str">
        <f>IF($D272="","",
IF($E272="","",
IF($D272="MATE","",
IF(VLOOKUP($B272,'Baremos actuales'!$A:$D,4,FALSE)=L$9,$E272*$F272,""))))</f>
        <v/>
      </c>
      <c r="M272" s="91" t="str">
        <f t="shared" si="4"/>
        <v/>
      </c>
      <c r="N272" s="96"/>
      <c r="O272" s="95"/>
      <c r="P272" s="96"/>
      <c r="Q272" s="98"/>
    </row>
    <row r="273" spans="1:17" ht="15.75" x14ac:dyDescent="0.2">
      <c r="A273" s="17"/>
      <c r="B273" s="18"/>
      <c r="C273" s="87" t="str">
        <f>IF(B273="","",
IF(M273=$H$5,IFERROR(VLOOKUP(B273,'Baremos actuales'!A:E,5,FALSE),"No encontrado. Revisar código, fecha ejecución y/o contrato."),
IF(M273=$H$4,IFERROR(VLOOKUP(B273,'Baremos anteriores'!A:E,5,FALSE),"No encontrado. Revisar código, fecha ejecución y/o contrato."),
IF(M273=$H$3,IFERROR(VLOOKUP(B273,#REF!,5,FALSE),"No encontrado. Revisar código, fecha ejecución y/o contrato."),
IF(D273="","Código no encontrado",
IF(D273="ERROR","No encontrado. Revisar Código, fecha de ejecución y/o contrato.",
IF(D273="MATE",
IF(C272="DESCRIPCION","NO SE PUEDE COMENZAR SIN CÓDIGO DE TAREA",
IF(C272="","FALTA CÓDIGO DE TAREA",
CONCATENATE("          ",VLOOKUP(B273,'Maestro Materiales'!A:C,3,FALSE)))),IFERROR(VLOOKUP(B273,#REF!,5,FALSE),"No encontrado. Revisar código, fecha ejecución y/o contrato."))))))))</f>
        <v/>
      </c>
      <c r="D273" s="88" t="str">
        <f>IF(B273="","",
IFERROR(VLOOKUP(B273,'Maestro Materiales'!A:C,2,FALSE),
IFERROR(VLOOKUP(B273,'Baremos actuales'!A:B,2,FALSE),
IFERROR(VLOOKUP(B273,'Baremos anteriores'!A:B,2,FALSE),
""))))</f>
        <v/>
      </c>
      <c r="E273" s="9"/>
      <c r="F273" s="89" t="str">
        <f>IF(D273="MATE",
IF(E273="","¿Unidades?",""),
IF(D273="",IF(E273="","","¿Código?"),
IF(E273="","¿Unidades?",
IF(D273="TARE",
IF(M273=$H$3,IFERROR(VLOOKUP(B273,'Baremos actuales'!A:C,3,FALSE),0),
IF(M273=$H$4,IFERROR(VLOOKUP(B273,'Baremos anteriores'!A:C,3,FALSE),0),0))))))</f>
        <v/>
      </c>
      <c r="G273" s="7"/>
      <c r="H273" s="8"/>
      <c r="I273" s="8"/>
      <c r="J273" s="78" t="str">
        <f>IF($D273="","",
IF($E273="","",
IF($D273="MATE","",
IF(VLOOKUP($B273,'Baremos actuales'!A:D,4,FALSE)=J$9,$E273*$F273,IF(VLOOKUP($B273,'Baremos anteriores'!A:D,4,FALSE)="Sin Definir",$E273*$F273,"")))))</f>
        <v/>
      </c>
      <c r="K273" s="79" t="str">
        <f>IF($D273="","",
IF($E273="","",
IF($D273="MATE","",
IF(VLOOKUP($B273,'Baremos actuales'!$A:$D,4,FALSE)=K$9,$E273*$F273,IF(VLOOKUP($B273,'Baremos anteriores'!$A:$D,4,FALSE)="Desmonte",$E273*$F273,"")))))</f>
        <v/>
      </c>
      <c r="L273" s="80" t="str">
        <f>IF($D273="","",
IF($E273="","",
IF($D273="MATE","",
IF(VLOOKUP($B273,'Baremos actuales'!$A:$D,4,FALSE)=L$9,$E273*$F273,""))))</f>
        <v/>
      </c>
      <c r="M273" s="91" t="str">
        <f t="shared" si="4"/>
        <v/>
      </c>
      <c r="N273" s="96"/>
      <c r="O273" s="95"/>
      <c r="P273" s="96"/>
      <c r="Q273" s="98"/>
    </row>
    <row r="274" spans="1:17" ht="15.75" x14ac:dyDescent="0.2">
      <c r="A274" s="17"/>
      <c r="B274" s="18"/>
      <c r="C274" s="87" t="str">
        <f>IF(B274="","",
IF(M274=$H$5,IFERROR(VLOOKUP(B274,'Baremos actuales'!A:E,5,FALSE),"No encontrado. Revisar código, fecha ejecución y/o contrato."),
IF(M274=$H$4,IFERROR(VLOOKUP(B274,'Baremos anteriores'!A:E,5,FALSE),"No encontrado. Revisar código, fecha ejecución y/o contrato."),
IF(M274=$H$3,IFERROR(VLOOKUP(B274,#REF!,5,FALSE),"No encontrado. Revisar código, fecha ejecución y/o contrato."),
IF(D274="","Código no encontrado",
IF(D274="ERROR","No encontrado. Revisar Código, fecha de ejecución y/o contrato.",
IF(D274="MATE",
IF(C273="DESCRIPCION","NO SE PUEDE COMENZAR SIN CÓDIGO DE TAREA",
IF(C273="","FALTA CÓDIGO DE TAREA",
CONCATENATE("          ",VLOOKUP(B274,'Maestro Materiales'!A:C,3,FALSE)))),IFERROR(VLOOKUP(B274,#REF!,5,FALSE),"No encontrado. Revisar código, fecha ejecución y/o contrato."))))))))</f>
        <v/>
      </c>
      <c r="D274" s="88" t="str">
        <f>IF(B274="","",
IFERROR(VLOOKUP(B274,'Maestro Materiales'!A:C,2,FALSE),
IFERROR(VLOOKUP(B274,'Baremos actuales'!A:B,2,FALSE),
IFERROR(VLOOKUP(B274,'Baremos anteriores'!A:B,2,FALSE),
""))))</f>
        <v/>
      </c>
      <c r="E274" s="9"/>
      <c r="F274" s="89" t="str">
        <f>IF(D274="MATE",
IF(E274="","¿Unidades?",""),
IF(D274="",IF(E274="","","¿Código?"),
IF(E274="","¿Unidades?",
IF(D274="TARE",
IF(M274=$H$3,IFERROR(VLOOKUP(B274,'Baremos actuales'!A:C,3,FALSE),0),
IF(M274=$H$4,IFERROR(VLOOKUP(B274,'Baremos anteriores'!A:C,3,FALSE),0),0))))))</f>
        <v/>
      </c>
      <c r="G274" s="7"/>
      <c r="H274" s="8"/>
      <c r="I274" s="8"/>
      <c r="J274" s="78" t="str">
        <f>IF($D274="","",
IF($E274="","",
IF($D274="MATE","",
IF(VLOOKUP($B274,'Baremos actuales'!A:D,4,FALSE)=J$9,$E274*$F274,IF(VLOOKUP($B274,'Baremos anteriores'!A:D,4,FALSE)="Sin Definir",$E274*$F274,"")))))</f>
        <v/>
      </c>
      <c r="K274" s="79" t="str">
        <f>IF($D274="","",
IF($E274="","",
IF($D274="MATE","",
IF(VLOOKUP($B274,'Baremos actuales'!$A:$D,4,FALSE)=K$9,$E274*$F274,IF(VLOOKUP($B274,'Baremos anteriores'!$A:$D,4,FALSE)="Desmonte",$E274*$F274,"")))))</f>
        <v/>
      </c>
      <c r="L274" s="80" t="str">
        <f>IF($D274="","",
IF($E274="","",
IF($D274="MATE","",
IF(VLOOKUP($B274,'Baremos actuales'!$A:$D,4,FALSE)=L$9,$E274*$F274,""))))</f>
        <v/>
      </c>
      <c r="M274" s="91" t="str">
        <f t="shared" si="4"/>
        <v/>
      </c>
      <c r="N274" s="96"/>
      <c r="O274" s="95"/>
      <c r="P274" s="96"/>
      <c r="Q274" s="98"/>
    </row>
    <row r="275" spans="1:17" ht="15.75" x14ac:dyDescent="0.2">
      <c r="A275" s="17"/>
      <c r="B275" s="18"/>
      <c r="C275" s="87" t="str">
        <f>IF(B275="","",
IF(M275=$H$5,IFERROR(VLOOKUP(B275,'Baremos actuales'!A:E,5,FALSE),"No encontrado. Revisar código, fecha ejecución y/o contrato."),
IF(M275=$H$4,IFERROR(VLOOKUP(B275,'Baremos anteriores'!A:E,5,FALSE),"No encontrado. Revisar código, fecha ejecución y/o contrato."),
IF(M275=$H$3,IFERROR(VLOOKUP(B275,#REF!,5,FALSE),"No encontrado. Revisar código, fecha ejecución y/o contrato."),
IF(D275="","Código no encontrado",
IF(D275="ERROR","No encontrado. Revisar Código, fecha de ejecución y/o contrato.",
IF(D275="MATE",
IF(C274="DESCRIPCION","NO SE PUEDE COMENZAR SIN CÓDIGO DE TAREA",
IF(C274="","FALTA CÓDIGO DE TAREA",
CONCATENATE("          ",VLOOKUP(B275,'Maestro Materiales'!A:C,3,FALSE)))),IFERROR(VLOOKUP(B275,#REF!,5,FALSE),"No encontrado. Revisar código, fecha ejecución y/o contrato."))))))))</f>
        <v/>
      </c>
      <c r="D275" s="88" t="str">
        <f>IF(B275="","",
IFERROR(VLOOKUP(B275,'Maestro Materiales'!A:C,2,FALSE),
IFERROR(VLOOKUP(B275,'Baremos actuales'!A:B,2,FALSE),
IFERROR(VLOOKUP(B275,'Baremos anteriores'!A:B,2,FALSE),
""))))</f>
        <v/>
      </c>
      <c r="E275" s="9"/>
      <c r="F275" s="89" t="str">
        <f>IF(D275="MATE",
IF(E275="","¿Unidades?",""),
IF(D275="",IF(E275="","","¿Código?"),
IF(E275="","¿Unidades?",
IF(D275="TARE",
IF(M275=$H$3,IFERROR(VLOOKUP(B275,'Baremos actuales'!A:C,3,FALSE),0),
IF(M275=$H$4,IFERROR(VLOOKUP(B275,'Baremos anteriores'!A:C,3,FALSE),0),0))))))</f>
        <v/>
      </c>
      <c r="G275" s="7"/>
      <c r="H275" s="8"/>
      <c r="I275" s="8"/>
      <c r="J275" s="78" t="str">
        <f>IF($D275="","",
IF($E275="","",
IF($D275="MATE","",
IF(VLOOKUP($B275,'Baremos actuales'!A:D,4,FALSE)=J$9,$E275*$F275,IF(VLOOKUP($B275,'Baremos anteriores'!A:D,4,FALSE)="Sin Definir",$E275*$F275,"")))))</f>
        <v/>
      </c>
      <c r="K275" s="79" t="str">
        <f>IF($D275="","",
IF($E275="","",
IF($D275="MATE","",
IF(VLOOKUP($B275,'Baremos actuales'!$A:$D,4,FALSE)=K$9,$E275*$F275,IF(VLOOKUP($B275,'Baremos anteriores'!$A:$D,4,FALSE)="Desmonte",$E275*$F275,"")))))</f>
        <v/>
      </c>
      <c r="L275" s="80" t="str">
        <f>IF($D275="","",
IF($E275="","",
IF($D275="MATE","",
IF(VLOOKUP($B275,'Baremos actuales'!$A:$D,4,FALSE)=L$9,$E275*$F275,""))))</f>
        <v/>
      </c>
      <c r="M275" s="91" t="str">
        <f t="shared" si="4"/>
        <v/>
      </c>
      <c r="N275" s="96"/>
      <c r="O275" s="95"/>
      <c r="P275" s="96"/>
      <c r="Q275" s="98"/>
    </row>
    <row r="276" spans="1:17" ht="15.75" x14ac:dyDescent="0.2">
      <c r="A276" s="17"/>
      <c r="B276" s="18"/>
      <c r="C276" s="87" t="str">
        <f>IF(B276="","",
IF(M276=$H$5,IFERROR(VLOOKUP(B276,'Baremos actuales'!A:E,5,FALSE),"No encontrado. Revisar código, fecha ejecución y/o contrato."),
IF(M276=$H$4,IFERROR(VLOOKUP(B276,'Baremos anteriores'!A:E,5,FALSE),"No encontrado. Revisar código, fecha ejecución y/o contrato."),
IF(M276=$H$3,IFERROR(VLOOKUP(B276,#REF!,5,FALSE),"No encontrado. Revisar código, fecha ejecución y/o contrato."),
IF(D276="","Código no encontrado",
IF(D276="ERROR","No encontrado. Revisar Código, fecha de ejecución y/o contrato.",
IF(D276="MATE",
IF(C275="DESCRIPCION","NO SE PUEDE COMENZAR SIN CÓDIGO DE TAREA",
IF(C275="","FALTA CÓDIGO DE TAREA",
CONCATENATE("          ",VLOOKUP(B276,'Maestro Materiales'!A:C,3,FALSE)))),IFERROR(VLOOKUP(B276,#REF!,5,FALSE),"No encontrado. Revisar código, fecha ejecución y/o contrato."))))))))</f>
        <v/>
      </c>
      <c r="D276" s="88" t="str">
        <f>IF(B276="","",
IFERROR(VLOOKUP(B276,'Maestro Materiales'!A:C,2,FALSE),
IFERROR(VLOOKUP(B276,'Baremos actuales'!A:B,2,FALSE),
IFERROR(VLOOKUP(B276,'Baremos anteriores'!A:B,2,FALSE),
""))))</f>
        <v/>
      </c>
      <c r="E276" s="9"/>
      <c r="F276" s="89" t="str">
        <f>IF(D276="MATE",
IF(E276="","¿Unidades?",""),
IF(D276="",IF(E276="","","¿Código?"),
IF(E276="","¿Unidades?",
IF(D276="TARE",
IF(M276=$H$3,IFERROR(VLOOKUP(B276,'Baremos actuales'!A:C,3,FALSE),0),
IF(M276=$H$4,IFERROR(VLOOKUP(B276,'Baremos anteriores'!A:C,3,FALSE),0),0))))))</f>
        <v/>
      </c>
      <c r="G276" s="7"/>
      <c r="H276" s="8"/>
      <c r="I276" s="8"/>
      <c r="J276" s="78" t="str">
        <f>IF($D276="","",
IF($E276="","",
IF($D276="MATE","",
IF(VLOOKUP($B276,'Baremos actuales'!A:D,4,FALSE)=J$9,$E276*$F276,IF(VLOOKUP($B276,'Baremos anteriores'!A:D,4,FALSE)="Sin Definir",$E276*$F276,"")))))</f>
        <v/>
      </c>
      <c r="K276" s="79" t="str">
        <f>IF($D276="","",
IF($E276="","",
IF($D276="MATE","",
IF(VLOOKUP($B276,'Baremos actuales'!$A:$D,4,FALSE)=K$9,$E276*$F276,IF(VLOOKUP($B276,'Baremos anteriores'!$A:$D,4,FALSE)="Desmonte",$E276*$F276,"")))))</f>
        <v/>
      </c>
      <c r="L276" s="80" t="str">
        <f>IF($D276="","",
IF($E276="","",
IF($D276="MATE","",
IF(VLOOKUP($B276,'Baremos actuales'!$A:$D,4,FALSE)=L$9,$E276*$F276,""))))</f>
        <v/>
      </c>
      <c r="M276" s="91" t="str">
        <f t="shared" si="4"/>
        <v/>
      </c>
      <c r="N276" s="96"/>
      <c r="O276" s="95"/>
      <c r="P276" s="96"/>
      <c r="Q276" s="98"/>
    </row>
    <row r="277" spans="1:17" ht="15.75" x14ac:dyDescent="0.2">
      <c r="A277" s="17"/>
      <c r="B277" s="18"/>
      <c r="C277" s="87" t="str">
        <f>IF(B277="","",
IF(M277=$H$5,IFERROR(VLOOKUP(B277,'Baremos actuales'!A:E,5,FALSE),"No encontrado. Revisar código, fecha ejecución y/o contrato."),
IF(M277=$H$4,IFERROR(VLOOKUP(B277,'Baremos anteriores'!A:E,5,FALSE),"No encontrado. Revisar código, fecha ejecución y/o contrato."),
IF(M277=$H$3,IFERROR(VLOOKUP(B277,#REF!,5,FALSE),"No encontrado. Revisar código, fecha ejecución y/o contrato."),
IF(D277="","Código no encontrado",
IF(D277="ERROR","No encontrado. Revisar Código, fecha de ejecución y/o contrato.",
IF(D277="MATE",
IF(C276="DESCRIPCION","NO SE PUEDE COMENZAR SIN CÓDIGO DE TAREA",
IF(C276="","FALTA CÓDIGO DE TAREA",
CONCATENATE("          ",VLOOKUP(B277,'Maestro Materiales'!A:C,3,FALSE)))),IFERROR(VLOOKUP(B277,#REF!,5,FALSE),"No encontrado. Revisar código, fecha ejecución y/o contrato."))))))))</f>
        <v/>
      </c>
      <c r="D277" s="88" t="str">
        <f>IF(B277="","",
IFERROR(VLOOKUP(B277,'Maestro Materiales'!A:C,2,FALSE),
IFERROR(VLOOKUP(B277,'Baremos actuales'!A:B,2,FALSE),
IFERROR(VLOOKUP(B277,'Baremos anteriores'!A:B,2,FALSE),
""))))</f>
        <v/>
      </c>
      <c r="E277" s="9"/>
      <c r="F277" s="89" t="str">
        <f>IF(D277="MATE",
IF(E277="","¿Unidades?",""),
IF(D277="",IF(E277="","","¿Código?"),
IF(E277="","¿Unidades?",
IF(D277="TARE",
IF(M277=$H$3,IFERROR(VLOOKUP(B277,'Baremos actuales'!A:C,3,FALSE),0),
IF(M277=$H$4,IFERROR(VLOOKUP(B277,'Baremos anteriores'!A:C,3,FALSE),0),0))))))</f>
        <v/>
      </c>
      <c r="G277" s="7"/>
      <c r="H277" s="8"/>
      <c r="I277" s="8"/>
      <c r="J277" s="78" t="str">
        <f>IF($D277="","",
IF($E277="","",
IF($D277="MATE","",
IF(VLOOKUP($B277,'Baremos actuales'!A:D,4,FALSE)=J$9,$E277*$F277,IF(VLOOKUP($B277,'Baremos anteriores'!A:D,4,FALSE)="Sin Definir",$E277*$F277,"")))))</f>
        <v/>
      </c>
      <c r="K277" s="79" t="str">
        <f>IF($D277="","",
IF($E277="","",
IF($D277="MATE","",
IF(VLOOKUP($B277,'Baremos actuales'!$A:$D,4,FALSE)=K$9,$E277*$F277,IF(VLOOKUP($B277,'Baremos anteriores'!$A:$D,4,FALSE)="Desmonte",$E277*$F277,"")))))</f>
        <v/>
      </c>
      <c r="L277" s="80" t="str">
        <f>IF($D277="","",
IF($E277="","",
IF($D277="MATE","",
IF(VLOOKUP($B277,'Baremos actuales'!$A:$D,4,FALSE)=L$9,$E277*$F277,""))))</f>
        <v/>
      </c>
      <c r="M277" s="91" t="str">
        <f t="shared" si="4"/>
        <v/>
      </c>
      <c r="N277" s="96"/>
      <c r="O277" s="95"/>
      <c r="P277" s="96"/>
      <c r="Q277" s="98"/>
    </row>
    <row r="278" spans="1:17" ht="15.75" x14ac:dyDescent="0.2">
      <c r="A278" s="17"/>
      <c r="B278" s="18"/>
      <c r="C278" s="87" t="str">
        <f>IF(B278="","",
IF(M278=$H$5,IFERROR(VLOOKUP(B278,'Baremos actuales'!A:E,5,FALSE),"No encontrado. Revisar código, fecha ejecución y/o contrato."),
IF(M278=$H$4,IFERROR(VLOOKUP(B278,'Baremos anteriores'!A:E,5,FALSE),"No encontrado. Revisar código, fecha ejecución y/o contrato."),
IF(M278=$H$3,IFERROR(VLOOKUP(B278,#REF!,5,FALSE),"No encontrado. Revisar código, fecha ejecución y/o contrato."),
IF(D278="","Código no encontrado",
IF(D278="ERROR","No encontrado. Revisar Código, fecha de ejecución y/o contrato.",
IF(D278="MATE",
IF(C277="DESCRIPCION","NO SE PUEDE COMENZAR SIN CÓDIGO DE TAREA",
IF(C277="","FALTA CÓDIGO DE TAREA",
CONCATENATE("          ",VLOOKUP(B278,'Maestro Materiales'!A:C,3,FALSE)))),IFERROR(VLOOKUP(B278,#REF!,5,FALSE),"No encontrado. Revisar código, fecha ejecución y/o contrato."))))))))</f>
        <v/>
      </c>
      <c r="D278" s="88" t="str">
        <f>IF(B278="","",
IFERROR(VLOOKUP(B278,'Maestro Materiales'!A:C,2,FALSE),
IFERROR(VLOOKUP(B278,'Baremos actuales'!A:B,2,FALSE),
IFERROR(VLOOKUP(B278,'Baremos anteriores'!A:B,2,FALSE),
""))))</f>
        <v/>
      </c>
      <c r="E278" s="9"/>
      <c r="F278" s="89" t="str">
        <f>IF(D278="MATE",
IF(E278="","¿Unidades?",""),
IF(D278="",IF(E278="","","¿Código?"),
IF(E278="","¿Unidades?",
IF(D278="TARE",
IF(M278=$H$3,IFERROR(VLOOKUP(B278,'Baremos actuales'!A:C,3,FALSE),0),
IF(M278=$H$4,IFERROR(VLOOKUP(B278,'Baremos anteriores'!A:C,3,FALSE),0),0))))))</f>
        <v/>
      </c>
      <c r="G278" s="7"/>
      <c r="H278" s="8"/>
      <c r="I278" s="8"/>
      <c r="J278" s="78" t="str">
        <f>IF($D278="","",
IF($E278="","",
IF($D278="MATE","",
IF(VLOOKUP($B278,'Baremos actuales'!A:D,4,FALSE)=J$9,$E278*$F278,IF(VLOOKUP($B278,'Baremos anteriores'!A:D,4,FALSE)="Sin Definir",$E278*$F278,"")))))</f>
        <v/>
      </c>
      <c r="K278" s="79" t="str">
        <f>IF($D278="","",
IF($E278="","",
IF($D278="MATE","",
IF(VLOOKUP($B278,'Baremos actuales'!$A:$D,4,FALSE)=K$9,$E278*$F278,IF(VLOOKUP($B278,'Baremos anteriores'!$A:$D,4,FALSE)="Desmonte",$E278*$F278,"")))))</f>
        <v/>
      </c>
      <c r="L278" s="80" t="str">
        <f>IF($D278="","",
IF($E278="","",
IF($D278="MATE","",
IF(VLOOKUP($B278,'Baremos actuales'!$A:$D,4,FALSE)=L$9,$E278*$F278,""))))</f>
        <v/>
      </c>
      <c r="M278" s="91" t="str">
        <f t="shared" si="4"/>
        <v/>
      </c>
      <c r="N278" s="96"/>
      <c r="O278" s="95"/>
      <c r="P278" s="96"/>
      <c r="Q278" s="98"/>
    </row>
    <row r="279" spans="1:17" ht="15.75" x14ac:dyDescent="0.2">
      <c r="A279" s="17"/>
      <c r="B279" s="18"/>
      <c r="C279" s="87" t="str">
        <f>IF(B279="","",
IF(M279=$H$5,IFERROR(VLOOKUP(B279,'Baremos actuales'!A:E,5,FALSE),"No encontrado. Revisar código, fecha ejecución y/o contrato."),
IF(M279=$H$4,IFERROR(VLOOKUP(B279,'Baremos anteriores'!A:E,5,FALSE),"No encontrado. Revisar código, fecha ejecución y/o contrato."),
IF(M279=$H$3,IFERROR(VLOOKUP(B279,#REF!,5,FALSE),"No encontrado. Revisar código, fecha ejecución y/o contrato."),
IF(D279="","Código no encontrado",
IF(D279="ERROR","No encontrado. Revisar Código, fecha de ejecución y/o contrato.",
IF(D279="MATE",
IF(C278="DESCRIPCION","NO SE PUEDE COMENZAR SIN CÓDIGO DE TAREA",
IF(C278="","FALTA CÓDIGO DE TAREA",
CONCATENATE("          ",VLOOKUP(B279,'Maestro Materiales'!A:C,3,FALSE)))),IFERROR(VLOOKUP(B279,#REF!,5,FALSE),"No encontrado. Revisar código, fecha ejecución y/o contrato."))))))))</f>
        <v/>
      </c>
      <c r="D279" s="88" t="str">
        <f>IF(B279="","",
IFERROR(VLOOKUP(B279,'Maestro Materiales'!A:C,2,FALSE),
IFERROR(VLOOKUP(B279,'Baremos actuales'!A:B,2,FALSE),
IFERROR(VLOOKUP(B279,'Baremos anteriores'!A:B,2,FALSE),
""))))</f>
        <v/>
      </c>
      <c r="E279" s="9"/>
      <c r="F279" s="89" t="str">
        <f>IF(D279="MATE",
IF(E279="","¿Unidades?",""),
IF(D279="",IF(E279="","","¿Código?"),
IF(E279="","¿Unidades?",
IF(D279="TARE",
IF(M279=$H$3,IFERROR(VLOOKUP(B279,'Baremos actuales'!A:C,3,FALSE),0),
IF(M279=$H$4,IFERROR(VLOOKUP(B279,'Baremos anteriores'!A:C,3,FALSE),0),0))))))</f>
        <v/>
      </c>
      <c r="G279" s="7"/>
      <c r="H279" s="8"/>
      <c r="I279" s="8"/>
      <c r="J279" s="78" t="str">
        <f>IF($D279="","",
IF($E279="","",
IF($D279="MATE","",
IF(VLOOKUP($B279,'Baremos actuales'!A:D,4,FALSE)=J$9,$E279*$F279,IF(VLOOKUP($B279,'Baremos anteriores'!A:D,4,FALSE)="Sin Definir",$E279*$F279,"")))))</f>
        <v/>
      </c>
      <c r="K279" s="79" t="str">
        <f>IF($D279="","",
IF($E279="","",
IF($D279="MATE","",
IF(VLOOKUP($B279,'Baremos actuales'!$A:$D,4,FALSE)=K$9,$E279*$F279,IF(VLOOKUP($B279,'Baremos anteriores'!$A:$D,4,FALSE)="Desmonte",$E279*$F279,"")))))</f>
        <v/>
      </c>
      <c r="L279" s="80" t="str">
        <f>IF($D279="","",
IF($E279="","",
IF($D279="MATE","",
IF(VLOOKUP($B279,'Baremos actuales'!$A:$D,4,FALSE)=L$9,$E279*$F279,""))))</f>
        <v/>
      </c>
      <c r="M279" s="91" t="str">
        <f t="shared" si="4"/>
        <v/>
      </c>
      <c r="N279" s="96"/>
      <c r="O279" s="95"/>
      <c r="P279" s="96"/>
      <c r="Q279" s="98"/>
    </row>
    <row r="280" spans="1:17" ht="15.75" x14ac:dyDescent="0.2">
      <c r="A280" s="17"/>
      <c r="B280" s="18"/>
      <c r="C280" s="87" t="str">
        <f>IF(B280="","",
IF(M280=$H$5,IFERROR(VLOOKUP(B280,'Baremos actuales'!A:E,5,FALSE),"No encontrado. Revisar código, fecha ejecución y/o contrato."),
IF(M280=$H$4,IFERROR(VLOOKUP(B280,'Baremos anteriores'!A:E,5,FALSE),"No encontrado. Revisar código, fecha ejecución y/o contrato."),
IF(M280=$H$3,IFERROR(VLOOKUP(B280,#REF!,5,FALSE),"No encontrado. Revisar código, fecha ejecución y/o contrato."),
IF(D280="","Código no encontrado",
IF(D280="ERROR","No encontrado. Revisar Código, fecha de ejecución y/o contrato.",
IF(D280="MATE",
IF(C279="DESCRIPCION","NO SE PUEDE COMENZAR SIN CÓDIGO DE TAREA",
IF(C279="","FALTA CÓDIGO DE TAREA",
CONCATENATE("          ",VLOOKUP(B280,'Maestro Materiales'!A:C,3,FALSE)))),IFERROR(VLOOKUP(B280,#REF!,5,FALSE),"No encontrado. Revisar código, fecha ejecución y/o contrato."))))))))</f>
        <v/>
      </c>
      <c r="D280" s="88" t="str">
        <f>IF(B280="","",
IFERROR(VLOOKUP(B280,'Maestro Materiales'!A:C,2,FALSE),
IFERROR(VLOOKUP(B280,'Baremos actuales'!A:B,2,FALSE),
IFERROR(VLOOKUP(B280,'Baremos anteriores'!A:B,2,FALSE),
""))))</f>
        <v/>
      </c>
      <c r="E280" s="9"/>
      <c r="F280" s="89" t="str">
        <f>IF(D280="MATE",
IF(E280="","¿Unidades?",""),
IF(D280="",IF(E280="","","¿Código?"),
IF(E280="","¿Unidades?",
IF(D280="TARE",
IF(M280=$H$3,IFERROR(VLOOKUP(B280,'Baremos actuales'!A:C,3,FALSE),0),
IF(M280=$H$4,IFERROR(VLOOKUP(B280,'Baremos anteriores'!A:C,3,FALSE),0),0))))))</f>
        <v/>
      </c>
      <c r="G280" s="7"/>
      <c r="H280" s="8"/>
      <c r="I280" s="8"/>
      <c r="J280" s="78" t="str">
        <f>IF($D280="","",
IF($E280="","",
IF($D280="MATE","",
IF(VLOOKUP($B280,'Baremos actuales'!A:D,4,FALSE)=J$9,$E280*$F280,IF(VLOOKUP($B280,'Baremos anteriores'!A:D,4,FALSE)="Sin Definir",$E280*$F280,"")))))</f>
        <v/>
      </c>
      <c r="K280" s="79" t="str">
        <f>IF($D280="","",
IF($E280="","",
IF($D280="MATE","",
IF(VLOOKUP($B280,'Baremos actuales'!$A:$D,4,FALSE)=K$9,$E280*$F280,IF(VLOOKUP($B280,'Baremos anteriores'!$A:$D,4,FALSE)="Desmonte",$E280*$F280,"")))))</f>
        <v/>
      </c>
      <c r="L280" s="80" t="str">
        <f>IF($D280="","",
IF($E280="","",
IF($D280="MATE","",
IF(VLOOKUP($B280,'Baremos actuales'!$A:$D,4,FALSE)=L$9,$E280*$F280,""))))</f>
        <v/>
      </c>
      <c r="M280" s="91" t="str">
        <f t="shared" si="4"/>
        <v/>
      </c>
      <c r="N280" s="96"/>
      <c r="O280" s="95"/>
      <c r="P280" s="96"/>
      <c r="Q280" s="98"/>
    </row>
    <row r="281" spans="1:17" ht="15.75" x14ac:dyDescent="0.2">
      <c r="A281" s="17"/>
      <c r="B281" s="18"/>
      <c r="C281" s="87" t="str">
        <f>IF(B281="","",
IF(M281=$H$5,IFERROR(VLOOKUP(B281,'Baremos actuales'!A:E,5,FALSE),"No encontrado. Revisar código, fecha ejecución y/o contrato."),
IF(M281=$H$4,IFERROR(VLOOKUP(B281,'Baremos anteriores'!A:E,5,FALSE),"No encontrado. Revisar código, fecha ejecución y/o contrato."),
IF(M281=$H$3,IFERROR(VLOOKUP(B281,#REF!,5,FALSE),"No encontrado. Revisar código, fecha ejecución y/o contrato."),
IF(D281="","Código no encontrado",
IF(D281="ERROR","No encontrado. Revisar Código, fecha de ejecución y/o contrato.",
IF(D281="MATE",
IF(C280="DESCRIPCION","NO SE PUEDE COMENZAR SIN CÓDIGO DE TAREA",
IF(C280="","FALTA CÓDIGO DE TAREA",
CONCATENATE("          ",VLOOKUP(B281,'Maestro Materiales'!A:C,3,FALSE)))),IFERROR(VLOOKUP(B281,#REF!,5,FALSE),"No encontrado. Revisar código, fecha ejecución y/o contrato."))))))))</f>
        <v/>
      </c>
      <c r="D281" s="88" t="str">
        <f>IF(B281="","",
IFERROR(VLOOKUP(B281,'Maestro Materiales'!A:C,2,FALSE),
IFERROR(VLOOKUP(B281,'Baremos actuales'!A:B,2,FALSE),
IFERROR(VLOOKUP(B281,'Baremos anteriores'!A:B,2,FALSE),
""))))</f>
        <v/>
      </c>
      <c r="E281" s="9"/>
      <c r="F281" s="89" t="str">
        <f>IF(D281="MATE",
IF(E281="","¿Unidades?",""),
IF(D281="",IF(E281="","","¿Código?"),
IF(E281="","¿Unidades?",
IF(D281="TARE",
IF(M281=$H$3,IFERROR(VLOOKUP(B281,'Baremos actuales'!A:C,3,FALSE),0),
IF(M281=$H$4,IFERROR(VLOOKUP(B281,'Baremos anteriores'!A:C,3,FALSE),0),0))))))</f>
        <v/>
      </c>
      <c r="G281" s="7"/>
      <c r="H281" s="8"/>
      <c r="I281" s="8"/>
      <c r="J281" s="78" t="str">
        <f>IF($D281="","",
IF($E281="","",
IF($D281="MATE","",
IF(VLOOKUP($B281,'Baremos actuales'!A:D,4,FALSE)=J$9,$E281*$F281,IF(VLOOKUP($B281,'Baremos anteriores'!A:D,4,FALSE)="Sin Definir",$E281*$F281,"")))))</f>
        <v/>
      </c>
      <c r="K281" s="79" t="str">
        <f>IF($D281="","",
IF($E281="","",
IF($D281="MATE","",
IF(VLOOKUP($B281,'Baremos actuales'!$A:$D,4,FALSE)=K$9,$E281*$F281,IF(VLOOKUP($B281,'Baremos anteriores'!$A:$D,4,FALSE)="Desmonte",$E281*$F281,"")))))</f>
        <v/>
      </c>
      <c r="L281" s="80" t="str">
        <f>IF($D281="","",
IF($E281="","",
IF($D281="MATE","",
IF(VLOOKUP($B281,'Baremos actuales'!$A:$D,4,FALSE)=L$9,$E281*$F281,""))))</f>
        <v/>
      </c>
      <c r="M281" s="91" t="str">
        <f t="shared" si="4"/>
        <v/>
      </c>
      <c r="N281" s="96"/>
      <c r="O281" s="95"/>
      <c r="P281" s="96"/>
      <c r="Q281" s="98"/>
    </row>
    <row r="282" spans="1:17" ht="15.75" x14ac:dyDescent="0.2">
      <c r="A282" s="17"/>
      <c r="B282" s="18"/>
      <c r="C282" s="87" t="str">
        <f>IF(B282="","",
IF(M282=$H$5,IFERROR(VLOOKUP(B282,'Baremos actuales'!A:E,5,FALSE),"No encontrado. Revisar código, fecha ejecución y/o contrato."),
IF(M282=$H$4,IFERROR(VLOOKUP(B282,'Baremos anteriores'!A:E,5,FALSE),"No encontrado. Revisar código, fecha ejecución y/o contrato."),
IF(M282=$H$3,IFERROR(VLOOKUP(B282,#REF!,5,FALSE),"No encontrado. Revisar código, fecha ejecución y/o contrato."),
IF(D282="","Código no encontrado",
IF(D282="ERROR","No encontrado. Revisar Código, fecha de ejecución y/o contrato.",
IF(D282="MATE",
IF(C281="DESCRIPCION","NO SE PUEDE COMENZAR SIN CÓDIGO DE TAREA",
IF(C281="","FALTA CÓDIGO DE TAREA",
CONCATENATE("          ",VLOOKUP(B282,'Maestro Materiales'!A:C,3,FALSE)))),IFERROR(VLOOKUP(B282,#REF!,5,FALSE),"No encontrado. Revisar código, fecha ejecución y/o contrato."))))))))</f>
        <v/>
      </c>
      <c r="D282" s="88" t="str">
        <f>IF(B282="","",
IFERROR(VLOOKUP(B282,'Maestro Materiales'!A:C,2,FALSE),
IFERROR(VLOOKUP(B282,'Baremos actuales'!A:B,2,FALSE),
IFERROR(VLOOKUP(B282,'Baremos anteriores'!A:B,2,FALSE),
""))))</f>
        <v/>
      </c>
      <c r="E282" s="9"/>
      <c r="F282" s="89" t="str">
        <f>IF(D282="MATE",
IF(E282="","¿Unidades?",""),
IF(D282="",IF(E282="","","¿Código?"),
IF(E282="","¿Unidades?",
IF(D282="TARE",
IF(M282=$H$3,IFERROR(VLOOKUP(B282,'Baremos actuales'!A:C,3,FALSE),0),
IF(M282=$H$4,IFERROR(VLOOKUP(B282,'Baremos anteriores'!A:C,3,FALSE),0),0))))))</f>
        <v/>
      </c>
      <c r="G282" s="7"/>
      <c r="H282" s="8"/>
      <c r="I282" s="8"/>
      <c r="J282" s="78" t="str">
        <f>IF($D282="","",
IF($E282="","",
IF($D282="MATE","",
IF(VLOOKUP($B282,'Baremos actuales'!A:D,4,FALSE)=J$9,$E282*$F282,IF(VLOOKUP($B282,'Baremos anteriores'!A:D,4,FALSE)="Sin Definir",$E282*$F282,"")))))</f>
        <v/>
      </c>
      <c r="K282" s="79" t="str">
        <f>IF($D282="","",
IF($E282="","",
IF($D282="MATE","",
IF(VLOOKUP($B282,'Baremos actuales'!$A:$D,4,FALSE)=K$9,$E282*$F282,IF(VLOOKUP($B282,'Baremos anteriores'!$A:$D,4,FALSE)="Desmonte",$E282*$F282,"")))))</f>
        <v/>
      </c>
      <c r="L282" s="80" t="str">
        <f>IF($D282="","",
IF($E282="","",
IF($D282="MATE","",
IF(VLOOKUP($B282,'Baremos actuales'!$A:$D,4,FALSE)=L$9,$E282*$F282,""))))</f>
        <v/>
      </c>
      <c r="M282" s="91" t="str">
        <f t="shared" si="4"/>
        <v/>
      </c>
      <c r="N282" s="96"/>
      <c r="O282" s="95"/>
      <c r="P282" s="96"/>
      <c r="Q282" s="98"/>
    </row>
    <row r="283" spans="1:17" ht="15.75" x14ac:dyDescent="0.2">
      <c r="A283" s="17"/>
      <c r="B283" s="18"/>
      <c r="C283" s="87" t="str">
        <f>IF(B283="","",
IF(M283=$H$5,IFERROR(VLOOKUP(B283,'Baremos actuales'!A:E,5,FALSE),"No encontrado. Revisar código, fecha ejecución y/o contrato."),
IF(M283=$H$4,IFERROR(VLOOKUP(B283,'Baremos anteriores'!A:E,5,FALSE),"No encontrado. Revisar código, fecha ejecución y/o contrato."),
IF(M283=$H$3,IFERROR(VLOOKUP(B283,#REF!,5,FALSE),"No encontrado. Revisar código, fecha ejecución y/o contrato."),
IF(D283="","Código no encontrado",
IF(D283="ERROR","No encontrado. Revisar Código, fecha de ejecución y/o contrato.",
IF(D283="MATE",
IF(C282="DESCRIPCION","NO SE PUEDE COMENZAR SIN CÓDIGO DE TAREA",
IF(C282="","FALTA CÓDIGO DE TAREA",
CONCATENATE("          ",VLOOKUP(B283,'Maestro Materiales'!A:C,3,FALSE)))),IFERROR(VLOOKUP(B283,#REF!,5,FALSE),"No encontrado. Revisar código, fecha ejecución y/o contrato."))))))))</f>
        <v/>
      </c>
      <c r="D283" s="88" t="str">
        <f>IF(B283="","",
IFERROR(VLOOKUP(B283,'Maestro Materiales'!A:C,2,FALSE),
IFERROR(VLOOKUP(B283,'Baremos actuales'!A:B,2,FALSE),
IFERROR(VLOOKUP(B283,'Baremos anteriores'!A:B,2,FALSE),
""))))</f>
        <v/>
      </c>
      <c r="E283" s="9"/>
      <c r="F283" s="89" t="str">
        <f>IF(D283="MATE",
IF(E283="","¿Unidades?",""),
IF(D283="",IF(E283="","","¿Código?"),
IF(E283="","¿Unidades?",
IF(D283="TARE",
IF(M283=$H$3,IFERROR(VLOOKUP(B283,'Baremos actuales'!A:C,3,FALSE),0),
IF(M283=$H$4,IFERROR(VLOOKUP(B283,'Baremos anteriores'!A:C,3,FALSE),0),0))))))</f>
        <v/>
      </c>
      <c r="G283" s="7"/>
      <c r="H283" s="8"/>
      <c r="I283" s="8"/>
      <c r="J283" s="78" t="str">
        <f>IF($D283="","",
IF($E283="","",
IF($D283="MATE","",
IF(VLOOKUP($B283,'Baremos actuales'!A:D,4,FALSE)=J$9,$E283*$F283,IF(VLOOKUP($B283,'Baremos anteriores'!A:D,4,FALSE)="Sin Definir",$E283*$F283,"")))))</f>
        <v/>
      </c>
      <c r="K283" s="79" t="str">
        <f>IF($D283="","",
IF($E283="","",
IF($D283="MATE","",
IF(VLOOKUP($B283,'Baremos actuales'!$A:$D,4,FALSE)=K$9,$E283*$F283,IF(VLOOKUP($B283,'Baremos anteriores'!$A:$D,4,FALSE)="Desmonte",$E283*$F283,"")))))</f>
        <v/>
      </c>
      <c r="L283" s="80" t="str">
        <f>IF($D283="","",
IF($E283="","",
IF($D283="MATE","",
IF(VLOOKUP($B283,'Baremos actuales'!$A:$D,4,FALSE)=L$9,$E283*$F283,""))))</f>
        <v/>
      </c>
      <c r="M283" s="91" t="str">
        <f t="shared" si="4"/>
        <v/>
      </c>
      <c r="N283" s="96"/>
      <c r="O283" s="95"/>
      <c r="P283" s="96"/>
      <c r="Q283" s="98"/>
    </row>
    <row r="284" spans="1:17" ht="15.75" x14ac:dyDescent="0.2">
      <c r="A284" s="17"/>
      <c r="B284" s="18"/>
      <c r="C284" s="87" t="str">
        <f>IF(B284="","",
IF(M284=$H$5,IFERROR(VLOOKUP(B284,'Baremos actuales'!A:E,5,FALSE),"No encontrado. Revisar código, fecha ejecución y/o contrato."),
IF(M284=$H$4,IFERROR(VLOOKUP(B284,'Baremos anteriores'!A:E,5,FALSE),"No encontrado. Revisar código, fecha ejecución y/o contrato."),
IF(M284=$H$3,IFERROR(VLOOKUP(B284,#REF!,5,FALSE),"No encontrado. Revisar código, fecha ejecución y/o contrato."),
IF(D284="","Código no encontrado",
IF(D284="ERROR","No encontrado. Revisar Código, fecha de ejecución y/o contrato.",
IF(D284="MATE",
IF(C283="DESCRIPCION","NO SE PUEDE COMENZAR SIN CÓDIGO DE TAREA",
IF(C283="","FALTA CÓDIGO DE TAREA",
CONCATENATE("          ",VLOOKUP(B284,'Maestro Materiales'!A:C,3,FALSE)))),IFERROR(VLOOKUP(B284,#REF!,5,FALSE),"No encontrado. Revisar código, fecha ejecución y/o contrato."))))))))</f>
        <v/>
      </c>
      <c r="D284" s="88" t="str">
        <f>IF(B284="","",
IFERROR(VLOOKUP(B284,'Maestro Materiales'!A:C,2,FALSE),
IFERROR(VLOOKUP(B284,'Baremos actuales'!A:B,2,FALSE),
IFERROR(VLOOKUP(B284,'Baremos anteriores'!A:B,2,FALSE),
""))))</f>
        <v/>
      </c>
      <c r="E284" s="9"/>
      <c r="F284" s="89" t="str">
        <f>IF(D284="MATE",
IF(E284="","¿Unidades?",""),
IF(D284="",IF(E284="","","¿Código?"),
IF(E284="","¿Unidades?",
IF(D284="TARE",
IF(M284=$H$3,IFERROR(VLOOKUP(B284,'Baremos actuales'!A:C,3,FALSE),0),
IF(M284=$H$4,IFERROR(VLOOKUP(B284,'Baremos anteriores'!A:C,3,FALSE),0),0))))))</f>
        <v/>
      </c>
      <c r="G284" s="7"/>
      <c r="H284" s="8"/>
      <c r="I284" s="8"/>
      <c r="J284" s="78" t="str">
        <f>IF($D284="","",
IF($E284="","",
IF($D284="MATE","",
IF(VLOOKUP($B284,'Baremos actuales'!A:D,4,FALSE)=J$9,$E284*$F284,IF(VLOOKUP($B284,'Baremos anteriores'!A:D,4,FALSE)="Sin Definir",$E284*$F284,"")))))</f>
        <v/>
      </c>
      <c r="K284" s="79" t="str">
        <f>IF($D284="","",
IF($E284="","",
IF($D284="MATE","",
IF(VLOOKUP($B284,'Baremos actuales'!$A:$D,4,FALSE)=K$9,$E284*$F284,IF(VLOOKUP($B284,'Baremos anteriores'!$A:$D,4,FALSE)="Desmonte",$E284*$F284,"")))))</f>
        <v/>
      </c>
      <c r="L284" s="80" t="str">
        <f>IF($D284="","",
IF($E284="","",
IF($D284="MATE","",
IF(VLOOKUP($B284,'Baremos actuales'!$A:$D,4,FALSE)=L$9,$E284*$F284,""))))</f>
        <v/>
      </c>
      <c r="M284" s="91" t="str">
        <f t="shared" si="4"/>
        <v/>
      </c>
      <c r="N284" s="96"/>
      <c r="O284" s="95"/>
      <c r="P284" s="96"/>
      <c r="Q284" s="98"/>
    </row>
    <row r="285" spans="1:17" ht="15.75" x14ac:dyDescent="0.2">
      <c r="A285" s="17"/>
      <c r="B285" s="18"/>
      <c r="C285" s="87" t="str">
        <f>IF(B285="","",
IF(M285=$H$5,IFERROR(VLOOKUP(B285,'Baremos actuales'!A:E,5,FALSE),"No encontrado. Revisar código, fecha ejecución y/o contrato."),
IF(M285=$H$4,IFERROR(VLOOKUP(B285,'Baremos anteriores'!A:E,5,FALSE),"No encontrado. Revisar código, fecha ejecución y/o contrato."),
IF(M285=$H$3,IFERROR(VLOOKUP(B285,#REF!,5,FALSE),"No encontrado. Revisar código, fecha ejecución y/o contrato."),
IF(D285="","Código no encontrado",
IF(D285="ERROR","No encontrado. Revisar Código, fecha de ejecución y/o contrato.",
IF(D285="MATE",
IF(C284="DESCRIPCION","NO SE PUEDE COMENZAR SIN CÓDIGO DE TAREA",
IF(C284="","FALTA CÓDIGO DE TAREA",
CONCATENATE("          ",VLOOKUP(B285,'Maestro Materiales'!A:C,3,FALSE)))),IFERROR(VLOOKUP(B285,#REF!,5,FALSE),"No encontrado. Revisar código, fecha ejecución y/o contrato."))))))))</f>
        <v/>
      </c>
      <c r="D285" s="88" t="str">
        <f>IF(B285="","",
IFERROR(VLOOKUP(B285,'Maestro Materiales'!A:C,2,FALSE),
IFERROR(VLOOKUP(B285,'Baremos actuales'!A:B,2,FALSE),
IFERROR(VLOOKUP(B285,'Baremos anteriores'!A:B,2,FALSE),
""))))</f>
        <v/>
      </c>
      <c r="E285" s="9"/>
      <c r="F285" s="89" t="str">
        <f>IF(D285="MATE",
IF(E285="","¿Unidades?",""),
IF(D285="",IF(E285="","","¿Código?"),
IF(E285="","¿Unidades?",
IF(D285="TARE",
IF(M285=$H$3,IFERROR(VLOOKUP(B285,'Baremos actuales'!A:C,3,FALSE),0),
IF(M285=$H$4,IFERROR(VLOOKUP(B285,'Baremos anteriores'!A:C,3,FALSE),0),0))))))</f>
        <v/>
      </c>
      <c r="G285" s="7"/>
      <c r="H285" s="8"/>
      <c r="I285" s="8"/>
      <c r="J285" s="78" t="str">
        <f>IF($D285="","",
IF($E285="","",
IF($D285="MATE","",
IF(VLOOKUP($B285,'Baremos actuales'!A:D,4,FALSE)=J$9,$E285*$F285,IF(VLOOKUP($B285,'Baremos anteriores'!A:D,4,FALSE)="Sin Definir",$E285*$F285,"")))))</f>
        <v/>
      </c>
      <c r="K285" s="79" t="str">
        <f>IF($D285="","",
IF($E285="","",
IF($D285="MATE","",
IF(VLOOKUP($B285,'Baremos actuales'!$A:$D,4,FALSE)=K$9,$E285*$F285,IF(VLOOKUP($B285,'Baremos anteriores'!$A:$D,4,FALSE)="Desmonte",$E285*$F285,"")))))</f>
        <v/>
      </c>
      <c r="L285" s="80" t="str">
        <f>IF($D285="","",
IF($E285="","",
IF($D285="MATE","",
IF(VLOOKUP($B285,'Baremos actuales'!$A:$D,4,FALSE)=L$9,$E285*$F285,""))))</f>
        <v/>
      </c>
      <c r="M285" s="91" t="str">
        <f t="shared" si="4"/>
        <v/>
      </c>
      <c r="N285" s="96"/>
      <c r="O285" s="95"/>
      <c r="P285" s="96"/>
      <c r="Q285" s="98"/>
    </row>
    <row r="286" spans="1:17" ht="15.75" x14ac:dyDescent="0.2">
      <c r="A286" s="17"/>
      <c r="B286" s="18"/>
      <c r="C286" s="87" t="str">
        <f>IF(B286="","",
IF(M286=$H$5,IFERROR(VLOOKUP(B286,'Baremos actuales'!A:E,5,FALSE),"No encontrado. Revisar código, fecha ejecución y/o contrato."),
IF(M286=$H$4,IFERROR(VLOOKUP(B286,'Baremos anteriores'!A:E,5,FALSE),"No encontrado. Revisar código, fecha ejecución y/o contrato."),
IF(M286=$H$3,IFERROR(VLOOKUP(B286,#REF!,5,FALSE),"No encontrado. Revisar código, fecha ejecución y/o contrato."),
IF(D286="","Código no encontrado",
IF(D286="ERROR","No encontrado. Revisar Código, fecha de ejecución y/o contrato.",
IF(D286="MATE",
IF(C285="DESCRIPCION","NO SE PUEDE COMENZAR SIN CÓDIGO DE TAREA",
IF(C285="","FALTA CÓDIGO DE TAREA",
CONCATENATE("          ",VLOOKUP(B286,'Maestro Materiales'!A:C,3,FALSE)))),IFERROR(VLOOKUP(B286,#REF!,5,FALSE),"No encontrado. Revisar código, fecha ejecución y/o contrato."))))))))</f>
        <v/>
      </c>
      <c r="D286" s="88" t="str">
        <f>IF(B286="","",
IFERROR(VLOOKUP(B286,'Maestro Materiales'!A:C,2,FALSE),
IFERROR(VLOOKUP(B286,'Baremos actuales'!A:B,2,FALSE),
IFERROR(VLOOKUP(B286,'Baremos anteriores'!A:B,2,FALSE),
""))))</f>
        <v/>
      </c>
      <c r="E286" s="9"/>
      <c r="F286" s="89" t="str">
        <f>IF(D286="MATE",
IF(E286="","¿Unidades?",""),
IF(D286="",IF(E286="","","¿Código?"),
IF(E286="","¿Unidades?",
IF(D286="TARE",
IF(M286=$H$3,IFERROR(VLOOKUP(B286,'Baremos actuales'!A:C,3,FALSE),0),
IF(M286=$H$4,IFERROR(VLOOKUP(B286,'Baremos anteriores'!A:C,3,FALSE),0),0))))))</f>
        <v/>
      </c>
      <c r="G286" s="7"/>
      <c r="H286" s="8"/>
      <c r="I286" s="8"/>
      <c r="J286" s="78" t="str">
        <f>IF($D286="","",
IF($E286="","",
IF($D286="MATE","",
IF(VLOOKUP($B286,'Baremos actuales'!A:D,4,FALSE)=J$9,$E286*$F286,IF(VLOOKUP($B286,'Baremos anteriores'!A:D,4,FALSE)="Sin Definir",$E286*$F286,"")))))</f>
        <v/>
      </c>
      <c r="K286" s="79" t="str">
        <f>IF($D286="","",
IF($E286="","",
IF($D286="MATE","",
IF(VLOOKUP($B286,'Baremos actuales'!$A:$D,4,FALSE)=K$9,$E286*$F286,IF(VLOOKUP($B286,'Baremos anteriores'!$A:$D,4,FALSE)="Desmonte",$E286*$F286,"")))))</f>
        <v/>
      </c>
      <c r="L286" s="80" t="str">
        <f>IF($D286="","",
IF($E286="","",
IF($D286="MATE","",
IF(VLOOKUP($B286,'Baremos actuales'!$A:$D,4,FALSE)=L$9,$E286*$F286,""))))</f>
        <v/>
      </c>
      <c r="M286" s="91" t="str">
        <f t="shared" si="4"/>
        <v/>
      </c>
      <c r="N286" s="96"/>
      <c r="O286" s="95"/>
      <c r="P286" s="96"/>
      <c r="Q286" s="98"/>
    </row>
    <row r="287" spans="1:17" ht="15.75" x14ac:dyDescent="0.2">
      <c r="A287" s="17"/>
      <c r="B287" s="18"/>
      <c r="C287" s="87" t="str">
        <f>IF(B287="","",
IF(M287=$H$5,IFERROR(VLOOKUP(B287,'Baremos actuales'!A:E,5,FALSE),"No encontrado. Revisar código, fecha ejecución y/o contrato."),
IF(M287=$H$4,IFERROR(VLOOKUP(B287,'Baremos anteriores'!A:E,5,FALSE),"No encontrado. Revisar código, fecha ejecución y/o contrato."),
IF(M287=$H$3,IFERROR(VLOOKUP(B287,#REF!,5,FALSE),"No encontrado. Revisar código, fecha ejecución y/o contrato."),
IF(D287="","Código no encontrado",
IF(D287="ERROR","No encontrado. Revisar Código, fecha de ejecución y/o contrato.",
IF(D287="MATE",
IF(C286="DESCRIPCION","NO SE PUEDE COMENZAR SIN CÓDIGO DE TAREA",
IF(C286="","FALTA CÓDIGO DE TAREA",
CONCATENATE("          ",VLOOKUP(B287,'Maestro Materiales'!A:C,3,FALSE)))),IFERROR(VLOOKUP(B287,#REF!,5,FALSE),"No encontrado. Revisar código, fecha ejecución y/o contrato."))))))))</f>
        <v/>
      </c>
      <c r="D287" s="88" t="str">
        <f>IF(B287="","",
IFERROR(VLOOKUP(B287,'Maestro Materiales'!A:C,2,FALSE),
IFERROR(VLOOKUP(B287,'Baremos actuales'!A:B,2,FALSE),
IFERROR(VLOOKUP(B287,'Baremos anteriores'!A:B,2,FALSE),
""))))</f>
        <v/>
      </c>
      <c r="E287" s="9"/>
      <c r="F287" s="89" t="str">
        <f>IF(D287="MATE",
IF(E287="","¿Unidades?",""),
IF(D287="",IF(E287="","","¿Código?"),
IF(E287="","¿Unidades?",
IF(D287="TARE",
IF(M287=$H$3,IFERROR(VLOOKUP(B287,'Baremos actuales'!A:C,3,FALSE),0),
IF(M287=$H$4,IFERROR(VLOOKUP(B287,'Baremos anteriores'!A:C,3,FALSE),0),0))))))</f>
        <v/>
      </c>
      <c r="G287" s="7"/>
      <c r="H287" s="8"/>
      <c r="I287" s="8"/>
      <c r="J287" s="78" t="str">
        <f>IF($D287="","",
IF($E287="","",
IF($D287="MATE","",
IF(VLOOKUP($B287,'Baremos actuales'!A:D,4,FALSE)=J$9,$E287*$F287,IF(VLOOKUP($B287,'Baremos anteriores'!A:D,4,FALSE)="Sin Definir",$E287*$F287,"")))))</f>
        <v/>
      </c>
      <c r="K287" s="79" t="str">
        <f>IF($D287="","",
IF($E287="","",
IF($D287="MATE","",
IF(VLOOKUP($B287,'Baremos actuales'!$A:$D,4,FALSE)=K$9,$E287*$F287,IF(VLOOKUP($B287,'Baremos anteriores'!$A:$D,4,FALSE)="Desmonte",$E287*$F287,"")))))</f>
        <v/>
      </c>
      <c r="L287" s="80" t="str">
        <f>IF($D287="","",
IF($E287="","",
IF($D287="MATE","",
IF(VLOOKUP($B287,'Baremos actuales'!$A:$D,4,FALSE)=L$9,$E287*$F287,""))))</f>
        <v/>
      </c>
      <c r="M287" s="91" t="str">
        <f t="shared" si="4"/>
        <v/>
      </c>
      <c r="N287" s="96"/>
      <c r="O287" s="95"/>
      <c r="P287" s="96"/>
      <c r="Q287" s="98"/>
    </row>
    <row r="288" spans="1:17" ht="15.75" x14ac:dyDescent="0.2">
      <c r="A288" s="17"/>
      <c r="B288" s="18"/>
      <c r="C288" s="87" t="str">
        <f>IF(B288="","",
IF(M288=$H$5,IFERROR(VLOOKUP(B288,'Baremos actuales'!A:E,5,FALSE),"No encontrado. Revisar código, fecha ejecución y/o contrato."),
IF(M288=$H$4,IFERROR(VLOOKUP(B288,'Baremos anteriores'!A:E,5,FALSE),"No encontrado. Revisar código, fecha ejecución y/o contrato."),
IF(M288=$H$3,IFERROR(VLOOKUP(B288,#REF!,5,FALSE),"No encontrado. Revisar código, fecha ejecución y/o contrato."),
IF(D288="","Código no encontrado",
IF(D288="ERROR","No encontrado. Revisar Código, fecha de ejecución y/o contrato.",
IF(D288="MATE",
IF(C287="DESCRIPCION","NO SE PUEDE COMENZAR SIN CÓDIGO DE TAREA",
IF(C287="","FALTA CÓDIGO DE TAREA",
CONCATENATE("          ",VLOOKUP(B288,'Maestro Materiales'!A:C,3,FALSE)))),IFERROR(VLOOKUP(B288,#REF!,5,FALSE),"No encontrado. Revisar código, fecha ejecución y/o contrato."))))))))</f>
        <v/>
      </c>
      <c r="D288" s="88" t="str">
        <f>IF(B288="","",
IFERROR(VLOOKUP(B288,'Maestro Materiales'!A:C,2,FALSE),
IFERROR(VLOOKUP(B288,'Baremos actuales'!A:B,2,FALSE),
IFERROR(VLOOKUP(B288,'Baremos anteriores'!A:B,2,FALSE),
""))))</f>
        <v/>
      </c>
      <c r="E288" s="9"/>
      <c r="F288" s="89" t="str">
        <f>IF(D288="MATE",
IF(E288="","¿Unidades?",""),
IF(D288="",IF(E288="","","¿Código?"),
IF(E288="","¿Unidades?",
IF(D288="TARE",
IF(M288=$H$3,IFERROR(VLOOKUP(B288,'Baremos actuales'!A:C,3,FALSE),0),
IF(M288=$H$4,IFERROR(VLOOKUP(B288,'Baremos anteriores'!A:C,3,FALSE),0),0))))))</f>
        <v/>
      </c>
      <c r="G288" s="7"/>
      <c r="H288" s="8"/>
      <c r="I288" s="8"/>
      <c r="J288" s="78" t="str">
        <f>IF($D288="","",
IF($E288="","",
IF($D288="MATE","",
IF(VLOOKUP($B288,'Baremos actuales'!A:D,4,FALSE)=J$9,$E288*$F288,IF(VLOOKUP($B288,'Baremos anteriores'!A:D,4,FALSE)="Sin Definir",$E288*$F288,"")))))</f>
        <v/>
      </c>
      <c r="K288" s="79" t="str">
        <f>IF($D288="","",
IF($E288="","",
IF($D288="MATE","",
IF(VLOOKUP($B288,'Baremos actuales'!$A:$D,4,FALSE)=K$9,$E288*$F288,IF(VLOOKUP($B288,'Baremos anteriores'!$A:$D,4,FALSE)="Desmonte",$E288*$F288,"")))))</f>
        <v/>
      </c>
      <c r="L288" s="80" t="str">
        <f>IF($D288="","",
IF($E288="","",
IF($D288="MATE","",
IF(VLOOKUP($B288,'Baremos actuales'!$A:$D,4,FALSE)=L$9,$E288*$F288,""))))</f>
        <v/>
      </c>
      <c r="M288" s="91" t="str">
        <f t="shared" si="4"/>
        <v/>
      </c>
      <c r="N288" s="96"/>
      <c r="O288" s="95"/>
      <c r="P288" s="96"/>
      <c r="Q288" s="98"/>
    </row>
    <row r="289" spans="1:17" ht="15.75" x14ac:dyDescent="0.2">
      <c r="A289" s="17"/>
      <c r="B289" s="18"/>
      <c r="C289" s="87" t="str">
        <f>IF(B289="","",
IF(M289=$H$5,IFERROR(VLOOKUP(B289,'Baremos actuales'!A:E,5,FALSE),"No encontrado. Revisar código, fecha ejecución y/o contrato."),
IF(M289=$H$4,IFERROR(VLOOKUP(B289,'Baremos anteriores'!A:E,5,FALSE),"No encontrado. Revisar código, fecha ejecución y/o contrato."),
IF(M289=$H$3,IFERROR(VLOOKUP(B289,#REF!,5,FALSE),"No encontrado. Revisar código, fecha ejecución y/o contrato."),
IF(D289="","Código no encontrado",
IF(D289="ERROR","No encontrado. Revisar Código, fecha de ejecución y/o contrato.",
IF(D289="MATE",
IF(C288="DESCRIPCION","NO SE PUEDE COMENZAR SIN CÓDIGO DE TAREA",
IF(C288="","FALTA CÓDIGO DE TAREA",
CONCATENATE("          ",VLOOKUP(B289,'Maestro Materiales'!A:C,3,FALSE)))),IFERROR(VLOOKUP(B289,#REF!,5,FALSE),"No encontrado. Revisar código, fecha ejecución y/o contrato."))))))))</f>
        <v/>
      </c>
      <c r="D289" s="88" t="str">
        <f>IF(B289="","",
IFERROR(VLOOKUP(B289,'Maestro Materiales'!A:C,2,FALSE),
IFERROR(VLOOKUP(B289,'Baremos actuales'!A:B,2,FALSE),
IFERROR(VLOOKUP(B289,'Baremos anteriores'!A:B,2,FALSE),
""))))</f>
        <v/>
      </c>
      <c r="E289" s="9"/>
      <c r="F289" s="89" t="str">
        <f>IF(D289="MATE",
IF(E289="","¿Unidades?",""),
IF(D289="",IF(E289="","","¿Código?"),
IF(E289="","¿Unidades?",
IF(D289="TARE",
IF(M289=$H$3,IFERROR(VLOOKUP(B289,'Baremos actuales'!A:C,3,FALSE),0),
IF(M289=$H$4,IFERROR(VLOOKUP(B289,'Baremos anteriores'!A:C,3,FALSE),0),0))))))</f>
        <v/>
      </c>
      <c r="G289" s="7"/>
      <c r="H289" s="8"/>
      <c r="I289" s="8"/>
      <c r="J289" s="78" t="str">
        <f>IF($D289="","",
IF($E289="","",
IF($D289="MATE","",
IF(VLOOKUP($B289,'Baremos actuales'!A:D,4,FALSE)=J$9,$E289*$F289,IF(VLOOKUP($B289,'Baremos anteriores'!A:D,4,FALSE)="Sin Definir",$E289*$F289,"")))))</f>
        <v/>
      </c>
      <c r="K289" s="79" t="str">
        <f>IF($D289="","",
IF($E289="","",
IF($D289="MATE","",
IF(VLOOKUP($B289,'Baremos actuales'!$A:$D,4,FALSE)=K$9,$E289*$F289,IF(VLOOKUP($B289,'Baremos anteriores'!$A:$D,4,FALSE)="Desmonte",$E289*$F289,"")))))</f>
        <v/>
      </c>
      <c r="L289" s="80" t="str">
        <f>IF($D289="","",
IF($E289="","",
IF($D289="MATE","",
IF(VLOOKUP($B289,'Baremos actuales'!$A:$D,4,FALSE)=L$9,$E289*$F289,""))))</f>
        <v/>
      </c>
      <c r="M289" s="91" t="str">
        <f t="shared" si="4"/>
        <v/>
      </c>
      <c r="N289" s="96"/>
      <c r="O289" s="95"/>
      <c r="P289" s="96"/>
      <c r="Q289" s="98"/>
    </row>
    <row r="290" spans="1:17" ht="15.75" x14ac:dyDescent="0.2">
      <c r="A290" s="17"/>
      <c r="B290" s="18"/>
      <c r="C290" s="87" t="str">
        <f>IF(B290="","",
IF(M290=$H$5,IFERROR(VLOOKUP(B290,'Baremos actuales'!A:E,5,FALSE),"No encontrado. Revisar código, fecha ejecución y/o contrato."),
IF(M290=$H$4,IFERROR(VLOOKUP(B290,'Baremos anteriores'!A:E,5,FALSE),"No encontrado. Revisar código, fecha ejecución y/o contrato."),
IF(M290=$H$3,IFERROR(VLOOKUP(B290,#REF!,5,FALSE),"No encontrado. Revisar código, fecha ejecución y/o contrato."),
IF(D290="","Código no encontrado",
IF(D290="ERROR","No encontrado. Revisar Código, fecha de ejecución y/o contrato.",
IF(D290="MATE",
IF(C289="DESCRIPCION","NO SE PUEDE COMENZAR SIN CÓDIGO DE TAREA",
IF(C289="","FALTA CÓDIGO DE TAREA",
CONCATENATE("          ",VLOOKUP(B290,'Maestro Materiales'!A:C,3,FALSE)))),IFERROR(VLOOKUP(B290,#REF!,5,FALSE),"No encontrado. Revisar código, fecha ejecución y/o contrato."))))))))</f>
        <v/>
      </c>
      <c r="D290" s="88" t="str">
        <f>IF(B290="","",
IFERROR(VLOOKUP(B290,'Maestro Materiales'!A:C,2,FALSE),
IFERROR(VLOOKUP(B290,'Baremos actuales'!A:B,2,FALSE),
IFERROR(VLOOKUP(B290,'Baremos anteriores'!A:B,2,FALSE),
""))))</f>
        <v/>
      </c>
      <c r="E290" s="9"/>
      <c r="F290" s="89" t="str">
        <f>IF(D290="MATE",
IF(E290="","¿Unidades?",""),
IF(D290="",IF(E290="","","¿Código?"),
IF(E290="","¿Unidades?",
IF(D290="TARE",
IF(M290=$H$3,IFERROR(VLOOKUP(B290,'Baremos actuales'!A:C,3,FALSE),0),
IF(M290=$H$4,IFERROR(VLOOKUP(B290,'Baremos anteriores'!A:C,3,FALSE),0),0))))))</f>
        <v/>
      </c>
      <c r="G290" s="7"/>
      <c r="H290" s="8"/>
      <c r="I290" s="8"/>
      <c r="J290" s="78" t="str">
        <f>IF($D290="","",
IF($E290="","",
IF($D290="MATE","",
IF(VLOOKUP($B290,'Baremos actuales'!A:D,4,FALSE)=J$9,$E290*$F290,IF(VLOOKUP($B290,'Baremos anteriores'!A:D,4,FALSE)="Sin Definir",$E290*$F290,"")))))</f>
        <v/>
      </c>
      <c r="K290" s="79" t="str">
        <f>IF($D290="","",
IF($E290="","",
IF($D290="MATE","",
IF(VLOOKUP($B290,'Baremos actuales'!$A:$D,4,FALSE)=K$9,$E290*$F290,IF(VLOOKUP($B290,'Baremos anteriores'!$A:$D,4,FALSE)="Desmonte",$E290*$F290,"")))))</f>
        <v/>
      </c>
      <c r="L290" s="80" t="str">
        <f>IF($D290="","",
IF($E290="","",
IF($D290="MATE","",
IF(VLOOKUP($B290,'Baremos actuales'!$A:$D,4,FALSE)=L$9,$E290*$F290,""))))</f>
        <v/>
      </c>
      <c r="M290" s="91" t="str">
        <f t="shared" si="4"/>
        <v/>
      </c>
      <c r="N290" s="96"/>
      <c r="O290" s="95"/>
      <c r="P290" s="96"/>
      <c r="Q290" s="98"/>
    </row>
    <row r="291" spans="1:17" ht="15.75" x14ac:dyDescent="0.2">
      <c r="A291" s="17"/>
      <c r="B291" s="18"/>
      <c r="C291" s="87" t="str">
        <f>IF(B291="","",
IF(M291=$H$5,IFERROR(VLOOKUP(B291,'Baremos actuales'!A:E,5,FALSE),"No encontrado. Revisar código, fecha ejecución y/o contrato."),
IF(M291=$H$4,IFERROR(VLOOKUP(B291,'Baremos anteriores'!A:E,5,FALSE),"No encontrado. Revisar código, fecha ejecución y/o contrato."),
IF(M291=$H$3,IFERROR(VLOOKUP(B291,#REF!,5,FALSE),"No encontrado. Revisar código, fecha ejecución y/o contrato."),
IF(D291="","Código no encontrado",
IF(D291="ERROR","No encontrado. Revisar Código, fecha de ejecución y/o contrato.",
IF(D291="MATE",
IF(C290="DESCRIPCION","NO SE PUEDE COMENZAR SIN CÓDIGO DE TAREA",
IF(C290="","FALTA CÓDIGO DE TAREA",
CONCATENATE("          ",VLOOKUP(B291,'Maestro Materiales'!A:C,3,FALSE)))),IFERROR(VLOOKUP(B291,#REF!,5,FALSE),"No encontrado. Revisar código, fecha ejecución y/o contrato."))))))))</f>
        <v/>
      </c>
      <c r="D291" s="88" t="str">
        <f>IF(B291="","",
IFERROR(VLOOKUP(B291,'Maestro Materiales'!A:C,2,FALSE),
IFERROR(VLOOKUP(B291,'Baremos actuales'!A:B,2,FALSE),
IFERROR(VLOOKUP(B291,'Baremos anteriores'!A:B,2,FALSE),
""))))</f>
        <v/>
      </c>
      <c r="E291" s="9"/>
      <c r="F291" s="89" t="str">
        <f>IF(D291="MATE",
IF(E291="","¿Unidades?",""),
IF(D291="",IF(E291="","","¿Código?"),
IF(E291="","¿Unidades?",
IF(D291="TARE",
IF(M291=$H$3,IFERROR(VLOOKUP(B291,'Baremos actuales'!A:C,3,FALSE),0),
IF(M291=$H$4,IFERROR(VLOOKUP(B291,'Baremos anteriores'!A:C,3,FALSE),0),0))))))</f>
        <v/>
      </c>
      <c r="G291" s="7"/>
      <c r="H291" s="8"/>
      <c r="I291" s="8"/>
      <c r="J291" s="78" t="str">
        <f>IF($D291="","",
IF($E291="","",
IF($D291="MATE","",
IF(VLOOKUP($B291,'Baremos actuales'!A:D,4,FALSE)=J$9,$E291*$F291,IF(VLOOKUP($B291,'Baremos anteriores'!A:D,4,FALSE)="Sin Definir",$E291*$F291,"")))))</f>
        <v/>
      </c>
      <c r="K291" s="79" t="str">
        <f>IF($D291="","",
IF($E291="","",
IF($D291="MATE","",
IF(VLOOKUP($B291,'Baremos actuales'!$A:$D,4,FALSE)=K$9,$E291*$F291,IF(VLOOKUP($B291,'Baremos anteriores'!$A:$D,4,FALSE)="Desmonte",$E291*$F291,"")))))</f>
        <v/>
      </c>
      <c r="L291" s="80" t="str">
        <f>IF($D291="","",
IF($E291="","",
IF($D291="MATE","",
IF(VLOOKUP($B291,'Baremos actuales'!$A:$D,4,FALSE)=L$9,$E291*$F291,""))))</f>
        <v/>
      </c>
      <c r="M291" s="91" t="str">
        <f t="shared" si="4"/>
        <v/>
      </c>
      <c r="N291" s="96"/>
      <c r="O291" s="95"/>
      <c r="P291" s="96"/>
      <c r="Q291" s="98"/>
    </row>
    <row r="292" spans="1:17" ht="15.75" x14ac:dyDescent="0.2">
      <c r="A292" s="17"/>
      <c r="B292" s="18"/>
      <c r="C292" s="87" t="str">
        <f>IF(B292="","",
IF(M292=$H$5,IFERROR(VLOOKUP(B292,'Baremos actuales'!A:E,5,FALSE),"No encontrado. Revisar código, fecha ejecución y/o contrato."),
IF(M292=$H$4,IFERROR(VLOOKUP(B292,'Baremos anteriores'!A:E,5,FALSE),"No encontrado. Revisar código, fecha ejecución y/o contrato."),
IF(M292=$H$3,IFERROR(VLOOKUP(B292,#REF!,5,FALSE),"No encontrado. Revisar código, fecha ejecución y/o contrato."),
IF(D292="","Código no encontrado",
IF(D292="ERROR","No encontrado. Revisar Código, fecha de ejecución y/o contrato.",
IF(D292="MATE",
IF(C291="DESCRIPCION","NO SE PUEDE COMENZAR SIN CÓDIGO DE TAREA",
IF(C291="","FALTA CÓDIGO DE TAREA",
CONCATENATE("          ",VLOOKUP(B292,'Maestro Materiales'!A:C,3,FALSE)))),IFERROR(VLOOKUP(B292,#REF!,5,FALSE),"No encontrado. Revisar código, fecha ejecución y/o contrato."))))))))</f>
        <v/>
      </c>
      <c r="D292" s="88" t="str">
        <f>IF(B292="","",
IFERROR(VLOOKUP(B292,'Maestro Materiales'!A:C,2,FALSE),
IFERROR(VLOOKUP(B292,'Baremos actuales'!A:B,2,FALSE),
IFERROR(VLOOKUP(B292,'Baremos anteriores'!A:B,2,FALSE),
""))))</f>
        <v/>
      </c>
      <c r="E292" s="9"/>
      <c r="F292" s="89" t="str">
        <f>IF(D292="MATE",
IF(E292="","¿Unidades?",""),
IF(D292="",IF(E292="","","¿Código?"),
IF(E292="","¿Unidades?",
IF(D292="TARE",
IF(M292=$H$3,IFERROR(VLOOKUP(B292,'Baremos actuales'!A:C,3,FALSE),0),
IF(M292=$H$4,IFERROR(VLOOKUP(B292,'Baremos anteriores'!A:C,3,FALSE),0),0))))))</f>
        <v/>
      </c>
      <c r="G292" s="7"/>
      <c r="H292" s="8"/>
      <c r="I292" s="8"/>
      <c r="J292" s="78" t="str">
        <f>IF($D292="","",
IF($E292="","",
IF($D292="MATE","",
IF(VLOOKUP($B292,'Baremos actuales'!A:D,4,FALSE)=J$9,$E292*$F292,IF(VLOOKUP($B292,'Baremos anteriores'!A:D,4,FALSE)="Sin Definir",$E292*$F292,"")))))</f>
        <v/>
      </c>
      <c r="K292" s="79" t="str">
        <f>IF($D292="","",
IF($E292="","",
IF($D292="MATE","",
IF(VLOOKUP($B292,'Baremos actuales'!$A:$D,4,FALSE)=K$9,$E292*$F292,IF(VLOOKUP($B292,'Baremos anteriores'!$A:$D,4,FALSE)="Desmonte",$E292*$F292,"")))))</f>
        <v/>
      </c>
      <c r="L292" s="80" t="str">
        <f>IF($D292="","",
IF($E292="","",
IF($D292="MATE","",
IF(VLOOKUP($B292,'Baremos actuales'!$A:$D,4,FALSE)=L$9,$E292*$F292,""))))</f>
        <v/>
      </c>
      <c r="M292" s="91" t="str">
        <f t="shared" si="4"/>
        <v/>
      </c>
      <c r="N292" s="96"/>
      <c r="O292" s="95"/>
      <c r="P292" s="96"/>
      <c r="Q292" s="98"/>
    </row>
    <row r="293" spans="1:17" ht="15.75" x14ac:dyDescent="0.2">
      <c r="A293" s="17"/>
      <c r="B293" s="18"/>
      <c r="C293" s="87" t="str">
        <f>IF(B293="","",
IF(M293=$H$5,IFERROR(VLOOKUP(B293,'Baremos actuales'!A:E,5,FALSE),"No encontrado. Revisar código, fecha ejecución y/o contrato."),
IF(M293=$H$4,IFERROR(VLOOKUP(B293,'Baremos anteriores'!A:E,5,FALSE),"No encontrado. Revisar código, fecha ejecución y/o contrato."),
IF(M293=$H$3,IFERROR(VLOOKUP(B293,#REF!,5,FALSE),"No encontrado. Revisar código, fecha ejecución y/o contrato."),
IF(D293="","Código no encontrado",
IF(D293="ERROR","No encontrado. Revisar Código, fecha de ejecución y/o contrato.",
IF(D293="MATE",
IF(C292="DESCRIPCION","NO SE PUEDE COMENZAR SIN CÓDIGO DE TAREA",
IF(C292="","FALTA CÓDIGO DE TAREA",
CONCATENATE("          ",VLOOKUP(B293,'Maestro Materiales'!A:C,3,FALSE)))),IFERROR(VLOOKUP(B293,#REF!,5,FALSE),"No encontrado. Revisar código, fecha ejecución y/o contrato."))))))))</f>
        <v/>
      </c>
      <c r="D293" s="88" t="str">
        <f>IF(B293="","",
IFERROR(VLOOKUP(B293,'Maestro Materiales'!A:C,2,FALSE),
IFERROR(VLOOKUP(B293,'Baremos actuales'!A:B,2,FALSE),
IFERROR(VLOOKUP(B293,'Baremos anteriores'!A:B,2,FALSE),
""))))</f>
        <v/>
      </c>
      <c r="E293" s="9"/>
      <c r="F293" s="89" t="str">
        <f>IF(D293="MATE",
IF(E293="","¿Unidades?",""),
IF(D293="",IF(E293="","","¿Código?"),
IF(E293="","¿Unidades?",
IF(D293="TARE",
IF(M293=$H$3,IFERROR(VLOOKUP(B293,'Baremos actuales'!A:C,3,FALSE),0),
IF(M293=$H$4,IFERROR(VLOOKUP(B293,'Baremos anteriores'!A:C,3,FALSE),0),0))))))</f>
        <v/>
      </c>
      <c r="G293" s="7"/>
      <c r="H293" s="8"/>
      <c r="I293" s="8"/>
      <c r="J293" s="78" t="str">
        <f>IF($D293="","",
IF($E293="","",
IF($D293="MATE","",
IF(VLOOKUP($B293,'Baremos actuales'!A:D,4,FALSE)=J$9,$E293*$F293,IF(VLOOKUP($B293,'Baremos anteriores'!A:D,4,FALSE)="Sin Definir",$E293*$F293,"")))))</f>
        <v/>
      </c>
      <c r="K293" s="79" t="str">
        <f>IF($D293="","",
IF($E293="","",
IF($D293="MATE","",
IF(VLOOKUP($B293,'Baremos actuales'!$A:$D,4,FALSE)=K$9,$E293*$F293,IF(VLOOKUP($B293,'Baremos anteriores'!$A:$D,4,FALSE)="Desmonte",$E293*$F293,"")))))</f>
        <v/>
      </c>
      <c r="L293" s="80" t="str">
        <f>IF($D293="","",
IF($E293="","",
IF($D293="MATE","",
IF(VLOOKUP($B293,'Baremos actuales'!$A:$D,4,FALSE)=L$9,$E293*$F293,""))))</f>
        <v/>
      </c>
      <c r="M293" s="91" t="str">
        <f t="shared" si="4"/>
        <v/>
      </c>
      <c r="N293" s="96"/>
      <c r="O293" s="95"/>
      <c r="P293" s="96"/>
      <c r="Q293" s="98"/>
    </row>
    <row r="294" spans="1:17" ht="15.75" x14ac:dyDescent="0.2">
      <c r="A294" s="17"/>
      <c r="B294" s="18"/>
      <c r="C294" s="87" t="str">
        <f>IF(B294="","",
IF(M294=$H$5,IFERROR(VLOOKUP(B294,'Baremos actuales'!A:E,5,FALSE),"No encontrado. Revisar código, fecha ejecución y/o contrato."),
IF(M294=$H$4,IFERROR(VLOOKUP(B294,'Baremos anteriores'!A:E,5,FALSE),"No encontrado. Revisar código, fecha ejecución y/o contrato."),
IF(M294=$H$3,IFERROR(VLOOKUP(B294,#REF!,5,FALSE),"No encontrado. Revisar código, fecha ejecución y/o contrato."),
IF(D294="","Código no encontrado",
IF(D294="ERROR","No encontrado. Revisar Código, fecha de ejecución y/o contrato.",
IF(D294="MATE",
IF(C293="DESCRIPCION","NO SE PUEDE COMENZAR SIN CÓDIGO DE TAREA",
IF(C293="","FALTA CÓDIGO DE TAREA",
CONCATENATE("          ",VLOOKUP(B294,'Maestro Materiales'!A:C,3,FALSE)))),IFERROR(VLOOKUP(B294,#REF!,5,FALSE),"No encontrado. Revisar código, fecha ejecución y/o contrato."))))))))</f>
        <v/>
      </c>
      <c r="D294" s="88" t="str">
        <f>IF(B294="","",
IFERROR(VLOOKUP(B294,'Maestro Materiales'!A:C,2,FALSE),
IFERROR(VLOOKUP(B294,'Baremos actuales'!A:B,2,FALSE),
IFERROR(VLOOKUP(B294,'Baremos anteriores'!A:B,2,FALSE),
""))))</f>
        <v/>
      </c>
      <c r="E294" s="9"/>
      <c r="F294" s="89" t="str">
        <f>IF(D294="MATE",
IF(E294="","¿Unidades?",""),
IF(D294="",IF(E294="","","¿Código?"),
IF(E294="","¿Unidades?",
IF(D294="TARE",
IF(M294=$H$3,IFERROR(VLOOKUP(B294,'Baremos actuales'!A:C,3,FALSE),0),
IF(M294=$H$4,IFERROR(VLOOKUP(B294,'Baremos anteriores'!A:C,3,FALSE),0),0))))))</f>
        <v/>
      </c>
      <c r="G294" s="7"/>
      <c r="H294" s="8"/>
      <c r="I294" s="8"/>
      <c r="J294" s="78" t="str">
        <f>IF($D294="","",
IF($E294="","",
IF($D294="MATE","",
IF(VLOOKUP($B294,'Baremos actuales'!A:D,4,FALSE)=J$9,$E294*$F294,IF(VLOOKUP($B294,'Baremos anteriores'!A:D,4,FALSE)="Sin Definir",$E294*$F294,"")))))</f>
        <v/>
      </c>
      <c r="K294" s="79" t="str">
        <f>IF($D294="","",
IF($E294="","",
IF($D294="MATE","",
IF(VLOOKUP($B294,'Baremos actuales'!$A:$D,4,FALSE)=K$9,$E294*$F294,IF(VLOOKUP($B294,'Baremos anteriores'!$A:$D,4,FALSE)="Desmonte",$E294*$F294,"")))))</f>
        <v/>
      </c>
      <c r="L294" s="80" t="str">
        <f>IF($D294="","",
IF($E294="","",
IF($D294="MATE","",
IF(VLOOKUP($B294,'Baremos actuales'!$A:$D,4,FALSE)=L$9,$E294*$F294,""))))</f>
        <v/>
      </c>
      <c r="M294" s="91" t="str">
        <f t="shared" si="4"/>
        <v/>
      </c>
      <c r="N294" s="96"/>
      <c r="O294" s="95"/>
      <c r="P294" s="96"/>
      <c r="Q294" s="98"/>
    </row>
    <row r="295" spans="1:17" ht="15.75" x14ac:dyDescent="0.2">
      <c r="A295" s="17"/>
      <c r="B295" s="18"/>
      <c r="C295" s="87" t="str">
        <f>IF(B295="","",
IF(M295=$H$5,IFERROR(VLOOKUP(B295,'Baremos actuales'!A:E,5,FALSE),"No encontrado. Revisar código, fecha ejecución y/o contrato."),
IF(M295=$H$4,IFERROR(VLOOKUP(B295,'Baremos anteriores'!A:E,5,FALSE),"No encontrado. Revisar código, fecha ejecución y/o contrato."),
IF(M295=$H$3,IFERROR(VLOOKUP(B295,#REF!,5,FALSE),"No encontrado. Revisar código, fecha ejecución y/o contrato."),
IF(D295="","Código no encontrado",
IF(D295="ERROR","No encontrado. Revisar Código, fecha de ejecución y/o contrato.",
IF(D295="MATE",
IF(C294="DESCRIPCION","NO SE PUEDE COMENZAR SIN CÓDIGO DE TAREA",
IF(C294="","FALTA CÓDIGO DE TAREA",
CONCATENATE("          ",VLOOKUP(B295,'Maestro Materiales'!A:C,3,FALSE)))),IFERROR(VLOOKUP(B295,#REF!,5,FALSE),"No encontrado. Revisar código, fecha ejecución y/o contrato."))))))))</f>
        <v/>
      </c>
      <c r="D295" s="88" t="str">
        <f>IF(B295="","",
IFERROR(VLOOKUP(B295,'Maestro Materiales'!A:C,2,FALSE),
IFERROR(VLOOKUP(B295,'Baremos actuales'!A:B,2,FALSE),
IFERROR(VLOOKUP(B295,'Baremos anteriores'!A:B,2,FALSE),
""))))</f>
        <v/>
      </c>
      <c r="E295" s="9"/>
      <c r="F295" s="89" t="str">
        <f>IF(D295="MATE",
IF(E295="","¿Unidades?",""),
IF(D295="",IF(E295="","","¿Código?"),
IF(E295="","¿Unidades?",
IF(D295="TARE",
IF(M295=$H$3,IFERROR(VLOOKUP(B295,'Baremos actuales'!A:C,3,FALSE),0),
IF(M295=$H$4,IFERROR(VLOOKUP(B295,'Baremos anteriores'!A:C,3,FALSE),0),0))))))</f>
        <v/>
      </c>
      <c r="G295" s="7"/>
      <c r="H295" s="8"/>
      <c r="I295" s="8"/>
      <c r="J295" s="78" t="str">
        <f>IF($D295="","",
IF($E295="","",
IF($D295="MATE","",
IF(VLOOKUP($B295,'Baremos actuales'!A:D,4,FALSE)=J$9,$E295*$F295,IF(VLOOKUP($B295,'Baremos anteriores'!A:D,4,FALSE)="Sin Definir",$E295*$F295,"")))))</f>
        <v/>
      </c>
      <c r="K295" s="79" t="str">
        <f>IF($D295="","",
IF($E295="","",
IF($D295="MATE","",
IF(VLOOKUP($B295,'Baremos actuales'!$A:$D,4,FALSE)=K$9,$E295*$F295,IF(VLOOKUP($B295,'Baremos anteriores'!$A:$D,4,FALSE)="Desmonte",$E295*$F295,"")))))</f>
        <v/>
      </c>
      <c r="L295" s="80" t="str">
        <f>IF($D295="","",
IF($E295="","",
IF($D295="MATE","",
IF(VLOOKUP($B295,'Baremos actuales'!$A:$D,4,FALSE)=L$9,$E295*$F295,""))))</f>
        <v/>
      </c>
      <c r="M295" s="91" t="str">
        <f t="shared" si="4"/>
        <v/>
      </c>
      <c r="N295" s="96"/>
      <c r="O295" s="95"/>
      <c r="P295" s="96"/>
      <c r="Q295" s="98"/>
    </row>
    <row r="296" spans="1:17" ht="15.75" x14ac:dyDescent="0.2">
      <c r="A296" s="17"/>
      <c r="B296" s="18"/>
      <c r="C296" s="87" t="str">
        <f>IF(B296="","",
IF(M296=$H$5,IFERROR(VLOOKUP(B296,'Baremos actuales'!A:E,5,FALSE),"No encontrado. Revisar código, fecha ejecución y/o contrato."),
IF(M296=$H$4,IFERROR(VLOOKUP(B296,'Baremos anteriores'!A:E,5,FALSE),"No encontrado. Revisar código, fecha ejecución y/o contrato."),
IF(M296=$H$3,IFERROR(VLOOKUP(B296,#REF!,5,FALSE),"No encontrado. Revisar código, fecha ejecución y/o contrato."),
IF(D296="","Código no encontrado",
IF(D296="ERROR","No encontrado. Revisar Código, fecha de ejecución y/o contrato.",
IF(D296="MATE",
IF(C295="DESCRIPCION","NO SE PUEDE COMENZAR SIN CÓDIGO DE TAREA",
IF(C295="","FALTA CÓDIGO DE TAREA",
CONCATENATE("          ",VLOOKUP(B296,'Maestro Materiales'!A:C,3,FALSE)))),IFERROR(VLOOKUP(B296,#REF!,5,FALSE),"No encontrado. Revisar código, fecha ejecución y/o contrato."))))))))</f>
        <v/>
      </c>
      <c r="D296" s="88" t="str">
        <f>IF(B296="","",
IFERROR(VLOOKUP(B296,'Maestro Materiales'!A:C,2,FALSE),
IFERROR(VLOOKUP(B296,'Baremos actuales'!A:B,2,FALSE),
IFERROR(VLOOKUP(B296,'Baremos anteriores'!A:B,2,FALSE),
""))))</f>
        <v/>
      </c>
      <c r="E296" s="9"/>
      <c r="F296" s="89" t="str">
        <f>IF(D296="MATE",
IF(E296="","¿Unidades?",""),
IF(D296="",IF(E296="","","¿Código?"),
IF(E296="","¿Unidades?",
IF(D296="TARE",
IF(M296=$H$3,IFERROR(VLOOKUP(B296,'Baremos actuales'!A:C,3,FALSE),0),
IF(M296=$H$4,IFERROR(VLOOKUP(B296,'Baremos anteriores'!A:C,3,FALSE),0),0))))))</f>
        <v/>
      </c>
      <c r="G296" s="7"/>
      <c r="H296" s="8"/>
      <c r="I296" s="8"/>
      <c r="J296" s="78" t="str">
        <f>IF($D296="","",
IF($E296="","",
IF($D296="MATE","",
IF(VLOOKUP($B296,'Baremos actuales'!A:D,4,FALSE)=J$9,$E296*$F296,IF(VLOOKUP($B296,'Baremos anteriores'!A:D,4,FALSE)="Sin Definir",$E296*$F296,"")))))</f>
        <v/>
      </c>
      <c r="K296" s="79" t="str">
        <f>IF($D296="","",
IF($E296="","",
IF($D296="MATE","",
IF(VLOOKUP($B296,'Baremos actuales'!$A:$D,4,FALSE)=K$9,$E296*$F296,IF(VLOOKUP($B296,'Baremos anteriores'!$A:$D,4,FALSE)="Desmonte",$E296*$F296,"")))))</f>
        <v/>
      </c>
      <c r="L296" s="80" t="str">
        <f>IF($D296="","",
IF($E296="","",
IF($D296="MATE","",
IF(VLOOKUP($B296,'Baremos actuales'!$A:$D,4,FALSE)=L$9,$E296*$F296,""))))</f>
        <v/>
      </c>
      <c r="M296" s="91" t="str">
        <f t="shared" si="4"/>
        <v/>
      </c>
      <c r="N296" s="96"/>
      <c r="O296" s="95"/>
      <c r="P296" s="96"/>
      <c r="Q296" s="98"/>
    </row>
    <row r="297" spans="1:17" ht="15.75" x14ac:dyDescent="0.2">
      <c r="A297" s="17"/>
      <c r="B297" s="18"/>
      <c r="C297" s="87" t="str">
        <f>IF(B297="","",
IF(M297=$H$5,IFERROR(VLOOKUP(B297,'Baremos actuales'!A:E,5,FALSE),"No encontrado. Revisar código, fecha ejecución y/o contrato."),
IF(M297=$H$4,IFERROR(VLOOKUP(B297,'Baremos anteriores'!A:E,5,FALSE),"No encontrado. Revisar código, fecha ejecución y/o contrato."),
IF(M297=$H$3,IFERROR(VLOOKUP(B297,#REF!,5,FALSE),"No encontrado. Revisar código, fecha ejecución y/o contrato."),
IF(D297="","Código no encontrado",
IF(D297="ERROR","No encontrado. Revisar Código, fecha de ejecución y/o contrato.",
IF(D297="MATE",
IF(C296="DESCRIPCION","NO SE PUEDE COMENZAR SIN CÓDIGO DE TAREA",
IF(C296="","FALTA CÓDIGO DE TAREA",
CONCATENATE("          ",VLOOKUP(B297,'Maestro Materiales'!A:C,3,FALSE)))),IFERROR(VLOOKUP(B297,#REF!,5,FALSE),"No encontrado. Revisar código, fecha ejecución y/o contrato."))))))))</f>
        <v/>
      </c>
      <c r="D297" s="88" t="str">
        <f>IF(B297="","",
IFERROR(VLOOKUP(B297,'Maestro Materiales'!A:C,2,FALSE),
IFERROR(VLOOKUP(B297,'Baremos actuales'!A:B,2,FALSE),
IFERROR(VLOOKUP(B297,'Baremos anteriores'!A:B,2,FALSE),
""))))</f>
        <v/>
      </c>
      <c r="E297" s="9"/>
      <c r="F297" s="89" t="str">
        <f>IF(D297="MATE",
IF(E297="","¿Unidades?",""),
IF(D297="",IF(E297="","","¿Código?"),
IF(E297="","¿Unidades?",
IF(D297="TARE",
IF(M297=$H$3,IFERROR(VLOOKUP(B297,'Baremos actuales'!A:C,3,FALSE),0),
IF(M297=$H$4,IFERROR(VLOOKUP(B297,'Baremos anteriores'!A:C,3,FALSE),0),0))))))</f>
        <v/>
      </c>
      <c r="G297" s="7"/>
      <c r="H297" s="8"/>
      <c r="I297" s="8"/>
      <c r="J297" s="78" t="str">
        <f>IF($D297="","",
IF($E297="","",
IF($D297="MATE","",
IF(VLOOKUP($B297,'Baremos actuales'!A:D,4,FALSE)=J$9,$E297*$F297,IF(VLOOKUP($B297,'Baremos anteriores'!A:D,4,FALSE)="Sin Definir",$E297*$F297,"")))))</f>
        <v/>
      </c>
      <c r="K297" s="79" t="str">
        <f>IF($D297="","",
IF($E297="","",
IF($D297="MATE","",
IF(VLOOKUP($B297,'Baremos actuales'!$A:$D,4,FALSE)=K$9,$E297*$F297,IF(VLOOKUP($B297,'Baremos anteriores'!$A:$D,4,FALSE)="Desmonte",$E297*$F297,"")))))</f>
        <v/>
      </c>
      <c r="L297" s="80" t="str">
        <f>IF($D297="","",
IF($E297="","",
IF($D297="MATE","",
IF(VLOOKUP($B297,'Baremos actuales'!$A:$D,4,FALSE)=L$9,$E297*$F297,""))))</f>
        <v/>
      </c>
      <c r="M297" s="91" t="str">
        <f t="shared" si="4"/>
        <v/>
      </c>
      <c r="N297" s="96"/>
      <c r="O297" s="95"/>
      <c r="P297" s="96"/>
      <c r="Q297" s="98"/>
    </row>
    <row r="298" spans="1:17" ht="15.75" x14ac:dyDescent="0.2">
      <c r="A298" s="17"/>
      <c r="B298" s="18"/>
      <c r="C298" s="87" t="str">
        <f>IF(B298="","",
IF(M298=$H$5,IFERROR(VLOOKUP(B298,'Baremos actuales'!A:E,5,FALSE),"No encontrado. Revisar código, fecha ejecución y/o contrato."),
IF(M298=$H$4,IFERROR(VLOOKUP(B298,'Baremos anteriores'!A:E,5,FALSE),"No encontrado. Revisar código, fecha ejecución y/o contrato."),
IF(M298=$H$3,IFERROR(VLOOKUP(B298,#REF!,5,FALSE),"No encontrado. Revisar código, fecha ejecución y/o contrato."),
IF(D298="","Código no encontrado",
IF(D298="ERROR","No encontrado. Revisar Código, fecha de ejecución y/o contrato.",
IF(D298="MATE",
IF(C297="DESCRIPCION","NO SE PUEDE COMENZAR SIN CÓDIGO DE TAREA",
IF(C297="","FALTA CÓDIGO DE TAREA",
CONCATENATE("          ",VLOOKUP(B298,'Maestro Materiales'!A:C,3,FALSE)))),IFERROR(VLOOKUP(B298,#REF!,5,FALSE),"No encontrado. Revisar código, fecha ejecución y/o contrato."))))))))</f>
        <v/>
      </c>
      <c r="D298" s="88" t="str">
        <f>IF(B298="","",
IFERROR(VLOOKUP(B298,'Maestro Materiales'!A:C,2,FALSE),
IFERROR(VLOOKUP(B298,'Baremos actuales'!A:B,2,FALSE),
IFERROR(VLOOKUP(B298,'Baremos anteriores'!A:B,2,FALSE),
""))))</f>
        <v/>
      </c>
      <c r="E298" s="9"/>
      <c r="F298" s="89" t="str">
        <f>IF(D298="MATE",
IF(E298="","¿Unidades?",""),
IF(D298="",IF(E298="","","¿Código?"),
IF(E298="","¿Unidades?",
IF(D298="TARE",
IF(M298=$H$3,IFERROR(VLOOKUP(B298,'Baremos actuales'!A:C,3,FALSE),0),
IF(M298=$H$4,IFERROR(VLOOKUP(B298,'Baremos anteriores'!A:C,3,FALSE),0),0))))))</f>
        <v/>
      </c>
      <c r="G298" s="7"/>
      <c r="H298" s="8"/>
      <c r="I298" s="8"/>
      <c r="J298" s="78" t="str">
        <f>IF($D298="","",
IF($E298="","",
IF($D298="MATE","",
IF(VLOOKUP($B298,'Baremos actuales'!A:D,4,FALSE)=J$9,$E298*$F298,IF(VLOOKUP($B298,'Baremos anteriores'!A:D,4,FALSE)="Sin Definir",$E298*$F298,"")))))</f>
        <v/>
      </c>
      <c r="K298" s="79" t="str">
        <f>IF($D298="","",
IF($E298="","",
IF($D298="MATE","",
IF(VLOOKUP($B298,'Baremos actuales'!$A:$D,4,FALSE)=K$9,$E298*$F298,IF(VLOOKUP($B298,'Baremos anteriores'!$A:$D,4,FALSE)="Desmonte",$E298*$F298,"")))))</f>
        <v/>
      </c>
      <c r="L298" s="80" t="str">
        <f>IF($D298="","",
IF($E298="","",
IF($D298="MATE","",
IF(VLOOKUP($B298,'Baremos actuales'!$A:$D,4,FALSE)=L$9,$E298*$F298,""))))</f>
        <v/>
      </c>
      <c r="M298" s="91" t="str">
        <f t="shared" si="4"/>
        <v/>
      </c>
      <c r="N298" s="96"/>
      <c r="O298" s="95"/>
      <c r="P298" s="96"/>
      <c r="Q298" s="98"/>
    </row>
    <row r="299" spans="1:17" ht="15.75" x14ac:dyDescent="0.2">
      <c r="A299" s="17"/>
      <c r="B299" s="18"/>
      <c r="C299" s="87" t="str">
        <f>IF(B299="","",
IF(M299=$H$5,IFERROR(VLOOKUP(B299,'Baremos actuales'!A:E,5,FALSE),"No encontrado. Revisar código, fecha ejecución y/o contrato."),
IF(M299=$H$4,IFERROR(VLOOKUP(B299,'Baremos anteriores'!A:E,5,FALSE),"No encontrado. Revisar código, fecha ejecución y/o contrato."),
IF(M299=$H$3,IFERROR(VLOOKUP(B299,#REF!,5,FALSE),"No encontrado. Revisar código, fecha ejecución y/o contrato."),
IF(D299="","Código no encontrado",
IF(D299="ERROR","No encontrado. Revisar Código, fecha de ejecución y/o contrato.",
IF(D299="MATE",
IF(C298="DESCRIPCION","NO SE PUEDE COMENZAR SIN CÓDIGO DE TAREA",
IF(C298="","FALTA CÓDIGO DE TAREA",
CONCATENATE("          ",VLOOKUP(B299,'Maestro Materiales'!A:C,3,FALSE)))),IFERROR(VLOOKUP(B299,#REF!,5,FALSE),"No encontrado. Revisar código, fecha ejecución y/o contrato."))))))))</f>
        <v/>
      </c>
      <c r="D299" s="88" t="str">
        <f>IF(B299="","",
IFERROR(VLOOKUP(B299,'Maestro Materiales'!A:C,2,FALSE),
IFERROR(VLOOKUP(B299,'Baremos actuales'!A:B,2,FALSE),
IFERROR(VLOOKUP(B299,'Baremos anteriores'!A:B,2,FALSE),
""))))</f>
        <v/>
      </c>
      <c r="E299" s="9"/>
      <c r="F299" s="89" t="str">
        <f>IF(D299="MATE",
IF(E299="","¿Unidades?",""),
IF(D299="",IF(E299="","","¿Código?"),
IF(E299="","¿Unidades?",
IF(D299="TARE",
IF(M299=$H$3,IFERROR(VLOOKUP(B299,'Baremos actuales'!A:C,3,FALSE),0),
IF(M299=$H$4,IFERROR(VLOOKUP(B299,'Baremos anteriores'!A:C,3,FALSE),0),0))))))</f>
        <v/>
      </c>
      <c r="G299" s="7"/>
      <c r="H299" s="8"/>
      <c r="I299" s="8"/>
      <c r="J299" s="78" t="str">
        <f>IF($D299="","",
IF($E299="","",
IF($D299="MATE","",
IF(VLOOKUP($B299,'Baremos actuales'!A:D,4,FALSE)=J$9,$E299*$F299,IF(VLOOKUP($B299,'Baremos anteriores'!A:D,4,FALSE)="Sin Definir",$E299*$F299,"")))))</f>
        <v/>
      </c>
      <c r="K299" s="79" t="str">
        <f>IF($D299="","",
IF($E299="","",
IF($D299="MATE","",
IF(VLOOKUP($B299,'Baremos actuales'!$A:$D,4,FALSE)=K$9,$E299*$F299,IF(VLOOKUP($B299,'Baremos anteriores'!$A:$D,4,FALSE)="Desmonte",$E299*$F299,"")))))</f>
        <v/>
      </c>
      <c r="L299" s="80" t="str">
        <f>IF($D299="","",
IF($E299="","",
IF($D299="MATE","",
IF(VLOOKUP($B299,'Baremos actuales'!$A:$D,4,FALSE)=L$9,$E299*$F299,""))))</f>
        <v/>
      </c>
      <c r="M299" s="91" t="str">
        <f t="shared" si="4"/>
        <v/>
      </c>
      <c r="N299" s="96"/>
      <c r="O299" s="95"/>
      <c r="P299" s="96"/>
      <c r="Q299" s="98"/>
    </row>
    <row r="300" spans="1:17" ht="15.75" x14ac:dyDescent="0.2">
      <c r="A300" s="17"/>
      <c r="B300" s="18"/>
      <c r="C300" s="87" t="str">
        <f>IF(B300="","",
IF(M300=$H$5,IFERROR(VLOOKUP(B300,'Baremos actuales'!A:E,5,FALSE),"No encontrado. Revisar código, fecha ejecución y/o contrato."),
IF(M300=$H$4,IFERROR(VLOOKUP(B300,'Baremos anteriores'!A:E,5,FALSE),"No encontrado. Revisar código, fecha ejecución y/o contrato."),
IF(M300=$H$3,IFERROR(VLOOKUP(B300,#REF!,5,FALSE),"No encontrado. Revisar código, fecha ejecución y/o contrato."),
IF(D300="","Código no encontrado",
IF(D300="ERROR","No encontrado. Revisar Código, fecha de ejecución y/o contrato.",
IF(D300="MATE",
IF(C299="DESCRIPCION","NO SE PUEDE COMENZAR SIN CÓDIGO DE TAREA",
IF(C299="","FALTA CÓDIGO DE TAREA",
CONCATENATE("          ",VLOOKUP(B300,'Maestro Materiales'!A:C,3,FALSE)))),IFERROR(VLOOKUP(B300,#REF!,5,FALSE),"No encontrado. Revisar código, fecha ejecución y/o contrato."))))))))</f>
        <v/>
      </c>
      <c r="D300" s="88" t="str">
        <f>IF(B300="","",
IFERROR(VLOOKUP(B300,'Maestro Materiales'!A:C,2,FALSE),
IFERROR(VLOOKUP(B300,'Baremos actuales'!A:B,2,FALSE),
IFERROR(VLOOKUP(B300,'Baremos anteriores'!A:B,2,FALSE),
""))))</f>
        <v/>
      </c>
      <c r="E300" s="9"/>
      <c r="F300" s="89" t="str">
        <f>IF(D300="MATE",
IF(E300="","¿Unidades?",""),
IF(D300="",IF(E300="","","¿Código?"),
IF(E300="","¿Unidades?",
IF(D300="TARE",
IF(M300=$H$3,IFERROR(VLOOKUP(B300,'Baremos actuales'!A:C,3,FALSE),0),
IF(M300=$H$4,IFERROR(VLOOKUP(B300,'Baremos anteriores'!A:C,3,FALSE),0),0))))))</f>
        <v/>
      </c>
      <c r="G300" s="7"/>
      <c r="H300" s="8"/>
      <c r="I300" s="8"/>
      <c r="J300" s="78" t="str">
        <f>IF($D300="","",
IF($E300="","",
IF($D300="MATE","",
IF(VLOOKUP($B300,'Baremos actuales'!A:D,4,FALSE)=J$9,$E300*$F300,IF(VLOOKUP($B300,'Baremos anteriores'!A:D,4,FALSE)="Sin Definir",$E300*$F300,"")))))</f>
        <v/>
      </c>
      <c r="K300" s="79" t="str">
        <f>IF($D300="","",
IF($E300="","",
IF($D300="MATE","",
IF(VLOOKUP($B300,'Baremos actuales'!$A:$D,4,FALSE)=K$9,$E300*$F300,IF(VLOOKUP($B300,'Baremos anteriores'!$A:$D,4,FALSE)="Desmonte",$E300*$F300,"")))))</f>
        <v/>
      </c>
      <c r="L300" s="80" t="str">
        <f>IF($D300="","",
IF($E300="","",
IF($D300="MATE","",
IF(VLOOKUP($B300,'Baremos actuales'!$A:$D,4,FALSE)=L$9,$E300*$F300,""))))</f>
        <v/>
      </c>
      <c r="M300" s="91" t="str">
        <f t="shared" si="4"/>
        <v/>
      </c>
      <c r="N300" s="96"/>
      <c r="O300" s="95"/>
      <c r="P300" s="96"/>
      <c r="Q300" s="98"/>
    </row>
    <row r="301" spans="1:17" ht="15.75" x14ac:dyDescent="0.2">
      <c r="A301" s="17"/>
      <c r="B301" s="18"/>
      <c r="C301" s="87" t="str">
        <f>IF(B301="","",
IF(M301=$H$5,IFERROR(VLOOKUP(B301,'Baremos actuales'!A:E,5,FALSE),"No encontrado. Revisar código, fecha ejecución y/o contrato."),
IF(M301=$H$4,IFERROR(VLOOKUP(B301,'Baremos anteriores'!A:E,5,FALSE),"No encontrado. Revisar código, fecha ejecución y/o contrato."),
IF(M301=$H$3,IFERROR(VLOOKUP(B301,#REF!,5,FALSE),"No encontrado. Revisar código, fecha ejecución y/o contrato."),
IF(D301="","Código no encontrado",
IF(D301="ERROR","No encontrado. Revisar Código, fecha de ejecución y/o contrato.",
IF(D301="MATE",
IF(C300="DESCRIPCION","NO SE PUEDE COMENZAR SIN CÓDIGO DE TAREA",
IF(C300="","FALTA CÓDIGO DE TAREA",
CONCATENATE("          ",VLOOKUP(B301,'Maestro Materiales'!A:C,3,FALSE)))),IFERROR(VLOOKUP(B301,#REF!,5,FALSE),"No encontrado. Revisar código, fecha ejecución y/o contrato."))))))))</f>
        <v/>
      </c>
      <c r="D301" s="88" t="str">
        <f>IF(B301="","",
IFERROR(VLOOKUP(B301,'Maestro Materiales'!A:C,2,FALSE),
IFERROR(VLOOKUP(B301,'Baremos actuales'!A:B,2,FALSE),
IFERROR(VLOOKUP(B301,'Baremos anteriores'!A:B,2,FALSE),
""))))</f>
        <v/>
      </c>
      <c r="E301" s="9"/>
      <c r="F301" s="89" t="str">
        <f>IF(D301="MATE",
IF(E301="","¿Unidades?",""),
IF(D301="",IF(E301="","","¿Código?"),
IF(E301="","¿Unidades?",
IF(D301="TARE",
IF(M301=$H$3,IFERROR(VLOOKUP(B301,'Baremos actuales'!A:C,3,FALSE),0),
IF(M301=$H$4,IFERROR(VLOOKUP(B301,'Baremos anteriores'!A:C,3,FALSE),0),0))))))</f>
        <v/>
      </c>
      <c r="G301" s="7"/>
      <c r="H301" s="8"/>
      <c r="I301" s="8"/>
      <c r="J301" s="78" t="str">
        <f>IF($D301="","",
IF($E301="","",
IF($D301="MATE","",
IF(VLOOKUP($B301,'Baremos actuales'!A:D,4,FALSE)=J$9,$E301*$F301,IF(VLOOKUP($B301,'Baremos anteriores'!A:D,4,FALSE)="Sin Definir",$E301*$F301,"")))))</f>
        <v/>
      </c>
      <c r="K301" s="79" t="str">
        <f>IF($D301="","",
IF($E301="","",
IF($D301="MATE","",
IF(VLOOKUP($B301,'Baremos actuales'!$A:$D,4,FALSE)=K$9,$E301*$F301,IF(VLOOKUP($B301,'Baremos anteriores'!$A:$D,4,FALSE)="Desmonte",$E301*$F301,"")))))</f>
        <v/>
      </c>
      <c r="L301" s="80" t="str">
        <f>IF($D301="","",
IF($E301="","",
IF($D301="MATE","",
IF(VLOOKUP($B301,'Baremos actuales'!$A:$D,4,FALSE)=L$9,$E301*$F301,""))))</f>
        <v/>
      </c>
      <c r="M301" s="91" t="str">
        <f t="shared" si="4"/>
        <v/>
      </c>
      <c r="N301" s="96"/>
      <c r="O301" s="95"/>
      <c r="P301" s="96"/>
      <c r="Q301" s="98"/>
    </row>
    <row r="302" spans="1:17" ht="15.75" x14ac:dyDescent="0.2">
      <c r="A302" s="17"/>
      <c r="B302" s="18"/>
      <c r="C302" s="87" t="str">
        <f>IF(B302="","",
IF(M302=$H$5,IFERROR(VLOOKUP(B302,'Baremos actuales'!A:E,5,FALSE),"No encontrado. Revisar código, fecha ejecución y/o contrato."),
IF(M302=$H$4,IFERROR(VLOOKUP(B302,'Baremos anteriores'!A:E,5,FALSE),"No encontrado. Revisar código, fecha ejecución y/o contrato."),
IF(M302=$H$3,IFERROR(VLOOKUP(B302,#REF!,5,FALSE),"No encontrado. Revisar código, fecha ejecución y/o contrato."),
IF(D302="","Código no encontrado",
IF(D302="ERROR","No encontrado. Revisar Código, fecha de ejecución y/o contrato.",
IF(D302="MATE",
IF(C301="DESCRIPCION","NO SE PUEDE COMENZAR SIN CÓDIGO DE TAREA",
IF(C301="","FALTA CÓDIGO DE TAREA",
CONCATENATE("          ",VLOOKUP(B302,'Maestro Materiales'!A:C,3,FALSE)))),IFERROR(VLOOKUP(B302,#REF!,5,FALSE),"No encontrado. Revisar código, fecha ejecución y/o contrato."))))))))</f>
        <v/>
      </c>
      <c r="D302" s="88" t="str">
        <f>IF(B302="","",
IFERROR(VLOOKUP(B302,'Maestro Materiales'!A:C,2,FALSE),
IFERROR(VLOOKUP(B302,'Baremos actuales'!A:B,2,FALSE),
IFERROR(VLOOKUP(B302,'Baremos anteriores'!A:B,2,FALSE),
""))))</f>
        <v/>
      </c>
      <c r="E302" s="9"/>
      <c r="F302" s="89" t="str">
        <f>IF(D302="MATE",
IF(E302="","¿Unidades?",""),
IF(D302="",IF(E302="","","¿Código?"),
IF(E302="","¿Unidades?",
IF(D302="TARE",
IF(M302=$H$3,IFERROR(VLOOKUP(B302,'Baremos actuales'!A:C,3,FALSE),0),
IF(M302=$H$4,IFERROR(VLOOKUP(B302,'Baremos anteriores'!A:C,3,FALSE),0),0))))))</f>
        <v/>
      </c>
      <c r="G302" s="7"/>
      <c r="H302" s="8"/>
      <c r="I302" s="8"/>
      <c r="J302" s="78" t="str">
        <f>IF($D302="","",
IF($E302="","",
IF($D302="MATE","",
IF(VLOOKUP($B302,'Baremos actuales'!A:D,4,FALSE)=J$9,$E302*$F302,IF(VLOOKUP($B302,'Baremos anteriores'!A:D,4,FALSE)="Sin Definir",$E302*$F302,"")))))</f>
        <v/>
      </c>
      <c r="K302" s="79" t="str">
        <f>IF($D302="","",
IF($E302="","",
IF($D302="MATE","",
IF(VLOOKUP($B302,'Baremos actuales'!$A:$D,4,FALSE)=K$9,$E302*$F302,IF(VLOOKUP($B302,'Baremos anteriores'!$A:$D,4,FALSE)="Desmonte",$E302*$F302,"")))))</f>
        <v/>
      </c>
      <c r="L302" s="80" t="str">
        <f>IF($D302="","",
IF($E302="","",
IF($D302="MATE","",
IF(VLOOKUP($B302,'Baremos actuales'!$A:$D,4,FALSE)=L$9,$E302*$F302,""))))</f>
        <v/>
      </c>
      <c r="M302" s="91" t="str">
        <f t="shared" si="4"/>
        <v/>
      </c>
      <c r="N302" s="96"/>
      <c r="O302" s="95"/>
      <c r="P302" s="96"/>
      <c r="Q302" s="98"/>
    </row>
    <row r="303" spans="1:17" ht="15.75" x14ac:dyDescent="0.2">
      <c r="A303" s="17"/>
      <c r="B303" s="18"/>
      <c r="C303" s="87" t="str">
        <f>IF(B303="","",
IF(M303=$H$5,IFERROR(VLOOKUP(B303,'Baremos actuales'!A:E,5,FALSE),"No encontrado. Revisar código, fecha ejecución y/o contrato."),
IF(M303=$H$4,IFERROR(VLOOKUP(B303,'Baremos anteriores'!A:E,5,FALSE),"No encontrado. Revisar código, fecha ejecución y/o contrato."),
IF(M303=$H$3,IFERROR(VLOOKUP(B303,#REF!,5,FALSE),"No encontrado. Revisar código, fecha ejecución y/o contrato."),
IF(D303="","Código no encontrado",
IF(D303="ERROR","No encontrado. Revisar Código, fecha de ejecución y/o contrato.",
IF(D303="MATE",
IF(C302="DESCRIPCION","NO SE PUEDE COMENZAR SIN CÓDIGO DE TAREA",
IF(C302="","FALTA CÓDIGO DE TAREA",
CONCATENATE("          ",VLOOKUP(B303,'Maestro Materiales'!A:C,3,FALSE)))),IFERROR(VLOOKUP(B303,#REF!,5,FALSE),"No encontrado. Revisar código, fecha ejecución y/o contrato."))))))))</f>
        <v/>
      </c>
      <c r="D303" s="88" t="str">
        <f>IF(B303="","",
IFERROR(VLOOKUP(B303,'Maestro Materiales'!A:C,2,FALSE),
IFERROR(VLOOKUP(B303,'Baremos actuales'!A:B,2,FALSE),
IFERROR(VLOOKUP(B303,'Baremos anteriores'!A:B,2,FALSE),
""))))</f>
        <v/>
      </c>
      <c r="E303" s="9"/>
      <c r="F303" s="89" t="str">
        <f>IF(D303="MATE",
IF(E303="","¿Unidades?",""),
IF(D303="",IF(E303="","","¿Código?"),
IF(E303="","¿Unidades?",
IF(D303="TARE",
IF(M303=$H$3,IFERROR(VLOOKUP(B303,'Baremos actuales'!A:C,3,FALSE),0),
IF(M303=$H$4,IFERROR(VLOOKUP(B303,'Baremos anteriores'!A:C,3,FALSE),0),0))))))</f>
        <v/>
      </c>
      <c r="G303" s="7"/>
      <c r="H303" s="8"/>
      <c r="I303" s="8"/>
      <c r="J303" s="78" t="str">
        <f>IF($D303="","",
IF($E303="","",
IF($D303="MATE","",
IF(VLOOKUP($B303,'Baremos actuales'!A:D,4,FALSE)=J$9,$E303*$F303,IF(VLOOKUP($B303,'Baremos anteriores'!A:D,4,FALSE)="Sin Definir",$E303*$F303,"")))))</f>
        <v/>
      </c>
      <c r="K303" s="79" t="str">
        <f>IF($D303="","",
IF($E303="","",
IF($D303="MATE","",
IF(VLOOKUP($B303,'Baremos actuales'!$A:$D,4,FALSE)=K$9,$E303*$F303,IF(VLOOKUP($B303,'Baremos anteriores'!$A:$D,4,FALSE)="Desmonte",$E303*$F303,"")))))</f>
        <v/>
      </c>
      <c r="L303" s="80" t="str">
        <f>IF($D303="","",
IF($E303="","",
IF($D303="MATE","",
IF(VLOOKUP($B303,'Baremos actuales'!$A:$D,4,FALSE)=L$9,$E303*$F303,""))))</f>
        <v/>
      </c>
      <c r="M303" s="91" t="str">
        <f t="shared" si="4"/>
        <v/>
      </c>
      <c r="N303" s="96"/>
      <c r="O303" s="95"/>
      <c r="P303" s="96"/>
      <c r="Q303" s="98"/>
    </row>
    <row r="304" spans="1:17" ht="15.75" x14ac:dyDescent="0.2">
      <c r="A304" s="17"/>
      <c r="B304" s="18"/>
      <c r="C304" s="87" t="str">
        <f>IF(B304="","",
IF(M304=$H$5,IFERROR(VLOOKUP(B304,'Baremos actuales'!A:E,5,FALSE),"No encontrado. Revisar código, fecha ejecución y/o contrato."),
IF(M304=$H$4,IFERROR(VLOOKUP(B304,'Baremos anteriores'!A:E,5,FALSE),"No encontrado. Revisar código, fecha ejecución y/o contrato."),
IF(M304=$H$3,IFERROR(VLOOKUP(B304,#REF!,5,FALSE),"No encontrado. Revisar código, fecha ejecución y/o contrato."),
IF(D304="","Código no encontrado",
IF(D304="ERROR","No encontrado. Revisar Código, fecha de ejecución y/o contrato.",
IF(D304="MATE",
IF(C303="DESCRIPCION","NO SE PUEDE COMENZAR SIN CÓDIGO DE TAREA",
IF(C303="","FALTA CÓDIGO DE TAREA",
CONCATENATE("          ",VLOOKUP(B304,'Maestro Materiales'!A:C,3,FALSE)))),IFERROR(VLOOKUP(B304,#REF!,5,FALSE),"No encontrado. Revisar código, fecha ejecución y/o contrato."))))))))</f>
        <v/>
      </c>
      <c r="D304" s="88" t="str">
        <f>IF(B304="","",
IFERROR(VLOOKUP(B304,'Maestro Materiales'!A:C,2,FALSE),
IFERROR(VLOOKUP(B304,'Baremos actuales'!A:B,2,FALSE),
IFERROR(VLOOKUP(B304,'Baremos anteriores'!A:B,2,FALSE),
""))))</f>
        <v/>
      </c>
      <c r="E304" s="9"/>
      <c r="F304" s="89" t="str">
        <f>IF(D304="MATE",
IF(E304="","¿Unidades?",""),
IF(D304="",IF(E304="","","¿Código?"),
IF(E304="","¿Unidades?",
IF(D304="TARE",
IF(M304=$H$3,IFERROR(VLOOKUP(B304,'Baremos actuales'!A:C,3,FALSE),0),
IF(M304=$H$4,IFERROR(VLOOKUP(B304,'Baremos anteriores'!A:C,3,FALSE),0),0))))))</f>
        <v/>
      </c>
      <c r="G304" s="7"/>
      <c r="H304" s="8"/>
      <c r="I304" s="8"/>
      <c r="J304" s="78" t="str">
        <f>IF($D304="","",
IF($E304="","",
IF($D304="MATE","",
IF(VLOOKUP($B304,'Baremos actuales'!A:D,4,FALSE)=J$9,$E304*$F304,IF(VLOOKUP($B304,'Baremos anteriores'!A:D,4,FALSE)="Sin Definir",$E304*$F304,"")))))</f>
        <v/>
      </c>
      <c r="K304" s="79" t="str">
        <f>IF($D304="","",
IF($E304="","",
IF($D304="MATE","",
IF(VLOOKUP($B304,'Baremos actuales'!$A:$D,4,FALSE)=K$9,$E304*$F304,IF(VLOOKUP($B304,'Baremos anteriores'!$A:$D,4,FALSE)="Desmonte",$E304*$F304,"")))))</f>
        <v/>
      </c>
      <c r="L304" s="80" t="str">
        <f>IF($D304="","",
IF($E304="","",
IF($D304="MATE","",
IF(VLOOKUP($B304,'Baremos actuales'!$A:$D,4,FALSE)=L$9,$E304*$F304,""))))</f>
        <v/>
      </c>
      <c r="M304" s="91" t="str">
        <f t="shared" si="4"/>
        <v/>
      </c>
      <c r="N304" s="96"/>
      <c r="O304" s="95"/>
      <c r="P304" s="96"/>
      <c r="Q304" s="98"/>
    </row>
    <row r="305" spans="1:17" ht="15.75" x14ac:dyDescent="0.2">
      <c r="A305" s="17"/>
      <c r="B305" s="18"/>
      <c r="C305" s="87" t="str">
        <f>IF(B305="","",
IF(M305=$H$5,IFERROR(VLOOKUP(B305,'Baremos actuales'!A:E,5,FALSE),"No encontrado. Revisar código, fecha ejecución y/o contrato."),
IF(M305=$H$4,IFERROR(VLOOKUP(B305,'Baremos anteriores'!A:E,5,FALSE),"No encontrado. Revisar código, fecha ejecución y/o contrato."),
IF(M305=$H$3,IFERROR(VLOOKUP(B305,#REF!,5,FALSE),"No encontrado. Revisar código, fecha ejecución y/o contrato."),
IF(D305="","Código no encontrado",
IF(D305="ERROR","No encontrado. Revisar Código, fecha de ejecución y/o contrato.",
IF(D305="MATE",
IF(C304="DESCRIPCION","NO SE PUEDE COMENZAR SIN CÓDIGO DE TAREA",
IF(C304="","FALTA CÓDIGO DE TAREA",
CONCATENATE("          ",VLOOKUP(B305,'Maestro Materiales'!A:C,3,FALSE)))),IFERROR(VLOOKUP(B305,#REF!,5,FALSE),"No encontrado. Revisar código, fecha ejecución y/o contrato."))))))))</f>
        <v/>
      </c>
      <c r="D305" s="88" t="str">
        <f>IF(B305="","",
IFERROR(VLOOKUP(B305,'Maestro Materiales'!A:C,2,FALSE),
IFERROR(VLOOKUP(B305,'Baremos actuales'!A:B,2,FALSE),
IFERROR(VLOOKUP(B305,'Baremos anteriores'!A:B,2,FALSE),
""))))</f>
        <v/>
      </c>
      <c r="E305" s="9"/>
      <c r="F305" s="89" t="str">
        <f>IF(D305="MATE",
IF(E305="","¿Unidades?",""),
IF(D305="",IF(E305="","","¿Código?"),
IF(E305="","¿Unidades?",
IF(D305="TARE",
IF(M305=$H$3,IFERROR(VLOOKUP(B305,'Baremos actuales'!A:C,3,FALSE),0),
IF(M305=$H$4,IFERROR(VLOOKUP(B305,'Baremos anteriores'!A:C,3,FALSE),0),0))))))</f>
        <v/>
      </c>
      <c r="G305" s="7"/>
      <c r="H305" s="8"/>
      <c r="I305" s="8"/>
      <c r="J305" s="78" t="str">
        <f>IF($D305="","",
IF($E305="","",
IF($D305="MATE","",
IF(VLOOKUP($B305,'Baremos actuales'!A:D,4,FALSE)=J$9,$E305*$F305,IF(VLOOKUP($B305,'Baremos anteriores'!A:D,4,FALSE)="Sin Definir",$E305*$F305,"")))))</f>
        <v/>
      </c>
      <c r="K305" s="79" t="str">
        <f>IF($D305="","",
IF($E305="","",
IF($D305="MATE","",
IF(VLOOKUP($B305,'Baremos actuales'!$A:$D,4,FALSE)=K$9,$E305*$F305,IF(VLOOKUP($B305,'Baremos anteriores'!$A:$D,4,FALSE)="Desmonte",$E305*$F305,"")))))</f>
        <v/>
      </c>
      <c r="L305" s="80" t="str">
        <f>IF($D305="","",
IF($E305="","",
IF($D305="MATE","",
IF(VLOOKUP($B305,'Baremos actuales'!$A:$D,4,FALSE)=L$9,$E305*$F305,""))))</f>
        <v/>
      </c>
      <c r="M305" s="91" t="str">
        <f t="shared" si="4"/>
        <v/>
      </c>
      <c r="N305" s="96"/>
      <c r="O305" s="95"/>
      <c r="P305" s="96"/>
      <c r="Q305" s="98"/>
    </row>
    <row r="306" spans="1:17" ht="15.75" x14ac:dyDescent="0.2">
      <c r="A306" s="17"/>
      <c r="B306" s="18"/>
      <c r="C306" s="87" t="str">
        <f>IF(B306="","",
IF(M306=$H$5,IFERROR(VLOOKUP(B306,'Baremos actuales'!A:E,5,FALSE),"No encontrado. Revisar código, fecha ejecución y/o contrato."),
IF(M306=$H$4,IFERROR(VLOOKUP(B306,'Baremos anteriores'!A:E,5,FALSE),"No encontrado. Revisar código, fecha ejecución y/o contrato."),
IF(M306=$H$3,IFERROR(VLOOKUP(B306,#REF!,5,FALSE),"No encontrado. Revisar código, fecha ejecución y/o contrato."),
IF(D306="","Código no encontrado",
IF(D306="ERROR","No encontrado. Revisar Código, fecha de ejecución y/o contrato.",
IF(D306="MATE",
IF(C305="DESCRIPCION","NO SE PUEDE COMENZAR SIN CÓDIGO DE TAREA",
IF(C305="","FALTA CÓDIGO DE TAREA",
CONCATENATE("          ",VLOOKUP(B306,'Maestro Materiales'!A:C,3,FALSE)))),IFERROR(VLOOKUP(B306,#REF!,5,FALSE),"No encontrado. Revisar código, fecha ejecución y/o contrato."))))))))</f>
        <v/>
      </c>
      <c r="D306" s="88" t="str">
        <f>IF(B306="","",
IFERROR(VLOOKUP(B306,'Maestro Materiales'!A:C,2,FALSE),
IFERROR(VLOOKUP(B306,'Baremos actuales'!A:B,2,FALSE),
IFERROR(VLOOKUP(B306,'Baremos anteriores'!A:B,2,FALSE),
""))))</f>
        <v/>
      </c>
      <c r="E306" s="9"/>
      <c r="F306" s="89" t="str">
        <f>IF(D306="MATE",
IF(E306="","¿Unidades?",""),
IF(D306="",IF(E306="","","¿Código?"),
IF(E306="","¿Unidades?",
IF(D306="TARE",
IF(M306=$H$3,IFERROR(VLOOKUP(B306,'Baremos actuales'!A:C,3,FALSE),0),
IF(M306=$H$4,IFERROR(VLOOKUP(B306,'Baremos anteriores'!A:C,3,FALSE),0),0))))))</f>
        <v/>
      </c>
      <c r="G306" s="7"/>
      <c r="H306" s="8"/>
      <c r="I306" s="8"/>
      <c r="J306" s="78" t="str">
        <f>IF($D306="","",
IF($E306="","",
IF($D306="MATE","",
IF(VLOOKUP($B306,'Baremos actuales'!A:D,4,FALSE)=J$9,$E306*$F306,IF(VLOOKUP($B306,'Baremos anteriores'!A:D,4,FALSE)="Sin Definir",$E306*$F306,"")))))</f>
        <v/>
      </c>
      <c r="K306" s="79" t="str">
        <f>IF($D306="","",
IF($E306="","",
IF($D306="MATE","",
IF(VLOOKUP($B306,'Baremos actuales'!$A:$D,4,FALSE)=K$9,$E306*$F306,IF(VLOOKUP($B306,'Baremos anteriores'!$A:$D,4,FALSE)="Desmonte",$E306*$F306,"")))))</f>
        <v/>
      </c>
      <c r="L306" s="80" t="str">
        <f>IF($D306="","",
IF($E306="","",
IF($D306="MATE","",
IF(VLOOKUP($B306,'Baremos actuales'!$A:$D,4,FALSE)=L$9,$E306*$F306,""))))</f>
        <v/>
      </c>
      <c r="M306" s="91" t="str">
        <f t="shared" si="4"/>
        <v/>
      </c>
      <c r="N306" s="96"/>
      <c r="O306" s="95"/>
      <c r="P306" s="96"/>
      <c r="Q306" s="98"/>
    </row>
    <row r="307" spans="1:17" ht="15.75" x14ac:dyDescent="0.2">
      <c r="A307" s="17"/>
      <c r="B307" s="18"/>
      <c r="C307" s="87" t="str">
        <f>IF(B307="","",
IF(M307=$H$5,IFERROR(VLOOKUP(B307,'Baremos actuales'!A:E,5,FALSE),"No encontrado. Revisar código, fecha ejecución y/o contrato."),
IF(M307=$H$4,IFERROR(VLOOKUP(B307,'Baremos anteriores'!A:E,5,FALSE),"No encontrado. Revisar código, fecha ejecución y/o contrato."),
IF(M307=$H$3,IFERROR(VLOOKUP(B307,#REF!,5,FALSE),"No encontrado. Revisar código, fecha ejecución y/o contrato."),
IF(D307="","Código no encontrado",
IF(D307="ERROR","No encontrado. Revisar Código, fecha de ejecución y/o contrato.",
IF(D307="MATE",
IF(C306="DESCRIPCION","NO SE PUEDE COMENZAR SIN CÓDIGO DE TAREA",
IF(C306="","FALTA CÓDIGO DE TAREA",
CONCATENATE("          ",VLOOKUP(B307,'Maestro Materiales'!A:C,3,FALSE)))),IFERROR(VLOOKUP(B307,#REF!,5,FALSE),"No encontrado. Revisar código, fecha ejecución y/o contrato."))))))))</f>
        <v/>
      </c>
      <c r="D307" s="88" t="str">
        <f>IF(B307="","",
IFERROR(VLOOKUP(B307,'Maestro Materiales'!A:C,2,FALSE),
IFERROR(VLOOKUP(B307,'Baremos actuales'!A:B,2,FALSE),
IFERROR(VLOOKUP(B307,'Baremos anteriores'!A:B,2,FALSE),
""))))</f>
        <v/>
      </c>
      <c r="E307" s="9"/>
      <c r="F307" s="89" t="str">
        <f>IF(D307="MATE",
IF(E307="","¿Unidades?",""),
IF(D307="",IF(E307="","","¿Código?"),
IF(E307="","¿Unidades?",
IF(D307="TARE",
IF(M307=$H$3,IFERROR(VLOOKUP(B307,'Baremos actuales'!A:C,3,FALSE),0),
IF(M307=$H$4,IFERROR(VLOOKUP(B307,'Baremos anteriores'!A:C,3,FALSE),0),0))))))</f>
        <v/>
      </c>
      <c r="G307" s="7"/>
      <c r="H307" s="8"/>
      <c r="I307" s="8"/>
      <c r="J307" s="78" t="str">
        <f>IF($D307="","",
IF($E307="","",
IF($D307="MATE","",
IF(VLOOKUP($B307,'Baremos actuales'!A:D,4,FALSE)=J$9,$E307*$F307,IF(VLOOKUP($B307,'Baremos anteriores'!A:D,4,FALSE)="Sin Definir",$E307*$F307,"")))))</f>
        <v/>
      </c>
      <c r="K307" s="79" t="str">
        <f>IF($D307="","",
IF($E307="","",
IF($D307="MATE","",
IF(VLOOKUP($B307,'Baremos actuales'!$A:$D,4,FALSE)=K$9,$E307*$F307,IF(VLOOKUP($B307,'Baremos anteriores'!$A:$D,4,FALSE)="Desmonte",$E307*$F307,"")))))</f>
        <v/>
      </c>
      <c r="L307" s="80" t="str">
        <f>IF($D307="","",
IF($E307="","",
IF($D307="MATE","",
IF(VLOOKUP($B307,'Baremos actuales'!$A:$D,4,FALSE)=L$9,$E307*$F307,""))))</f>
        <v/>
      </c>
      <c r="M307" s="91" t="str">
        <f t="shared" si="4"/>
        <v/>
      </c>
      <c r="N307" s="96"/>
      <c r="O307" s="95"/>
      <c r="P307" s="96"/>
      <c r="Q307" s="98"/>
    </row>
    <row r="308" spans="1:17" ht="15.75" x14ac:dyDescent="0.2">
      <c r="A308" s="17"/>
      <c r="B308" s="18"/>
      <c r="C308" s="87" t="str">
        <f>IF(B308="","",
IF(M308=$H$5,IFERROR(VLOOKUP(B308,'Baremos actuales'!A:E,5,FALSE),"No encontrado. Revisar código, fecha ejecución y/o contrato."),
IF(M308=$H$4,IFERROR(VLOOKUP(B308,'Baremos anteriores'!A:E,5,FALSE),"No encontrado. Revisar código, fecha ejecución y/o contrato."),
IF(M308=$H$3,IFERROR(VLOOKUP(B308,#REF!,5,FALSE),"No encontrado. Revisar código, fecha ejecución y/o contrato."),
IF(D308="","Código no encontrado",
IF(D308="ERROR","No encontrado. Revisar Código, fecha de ejecución y/o contrato.",
IF(D308="MATE",
IF(C307="DESCRIPCION","NO SE PUEDE COMENZAR SIN CÓDIGO DE TAREA",
IF(C307="","FALTA CÓDIGO DE TAREA",
CONCATENATE("          ",VLOOKUP(B308,'Maestro Materiales'!A:C,3,FALSE)))),IFERROR(VLOOKUP(B308,#REF!,5,FALSE),"No encontrado. Revisar código, fecha ejecución y/o contrato."))))))))</f>
        <v/>
      </c>
      <c r="D308" s="88" t="str">
        <f>IF(B308="","",
IFERROR(VLOOKUP(B308,'Maestro Materiales'!A:C,2,FALSE),
IFERROR(VLOOKUP(B308,'Baremos actuales'!A:B,2,FALSE),
IFERROR(VLOOKUP(B308,'Baremos anteriores'!A:B,2,FALSE),
""))))</f>
        <v/>
      </c>
      <c r="E308" s="9"/>
      <c r="F308" s="89" t="str">
        <f>IF(D308="MATE",
IF(E308="","¿Unidades?",""),
IF(D308="",IF(E308="","","¿Código?"),
IF(E308="","¿Unidades?",
IF(D308="TARE",
IF(M308=$H$3,IFERROR(VLOOKUP(B308,'Baremos actuales'!A:C,3,FALSE),0),
IF(M308=$H$4,IFERROR(VLOOKUP(B308,'Baremos anteriores'!A:C,3,FALSE),0),0))))))</f>
        <v/>
      </c>
      <c r="G308" s="7"/>
      <c r="H308" s="8"/>
      <c r="I308" s="8"/>
      <c r="J308" s="78" t="str">
        <f>IF($D308="","",
IF($E308="","",
IF($D308="MATE","",
IF(VLOOKUP($B308,'Baremos actuales'!A:D,4,FALSE)=J$9,$E308*$F308,IF(VLOOKUP($B308,'Baremos anteriores'!A:D,4,FALSE)="Sin Definir",$E308*$F308,"")))))</f>
        <v/>
      </c>
      <c r="K308" s="79" t="str">
        <f>IF($D308="","",
IF($E308="","",
IF($D308="MATE","",
IF(VLOOKUP($B308,'Baremos actuales'!$A:$D,4,FALSE)=K$9,$E308*$F308,IF(VLOOKUP($B308,'Baremos anteriores'!$A:$D,4,FALSE)="Desmonte",$E308*$F308,"")))))</f>
        <v/>
      </c>
      <c r="L308" s="80" t="str">
        <f>IF($D308="","",
IF($E308="","",
IF($D308="MATE","",
IF(VLOOKUP($B308,'Baremos actuales'!$A:$D,4,FALSE)=L$9,$E308*$F308,""))))</f>
        <v/>
      </c>
      <c r="M308" s="91" t="str">
        <f t="shared" si="4"/>
        <v/>
      </c>
      <c r="N308" s="96"/>
      <c r="O308" s="95"/>
      <c r="P308" s="96"/>
      <c r="Q308" s="98"/>
    </row>
    <row r="309" spans="1:17" ht="15.75" x14ac:dyDescent="0.2">
      <c r="A309" s="17"/>
      <c r="B309" s="18"/>
      <c r="C309" s="87" t="str">
        <f>IF(B309="","",
IF(M309=$H$5,IFERROR(VLOOKUP(B309,'Baremos actuales'!A:E,5,FALSE),"No encontrado. Revisar código, fecha ejecución y/o contrato."),
IF(M309=$H$4,IFERROR(VLOOKUP(B309,'Baremos anteriores'!A:E,5,FALSE),"No encontrado. Revisar código, fecha ejecución y/o contrato."),
IF(M309=$H$3,IFERROR(VLOOKUP(B309,#REF!,5,FALSE),"No encontrado. Revisar código, fecha ejecución y/o contrato."),
IF(D309="","Código no encontrado",
IF(D309="ERROR","No encontrado. Revisar Código, fecha de ejecución y/o contrato.",
IF(D309="MATE",
IF(C308="DESCRIPCION","NO SE PUEDE COMENZAR SIN CÓDIGO DE TAREA",
IF(C308="","FALTA CÓDIGO DE TAREA",
CONCATENATE("          ",VLOOKUP(B309,'Maestro Materiales'!A:C,3,FALSE)))),IFERROR(VLOOKUP(B309,#REF!,5,FALSE),"No encontrado. Revisar código, fecha ejecución y/o contrato."))))))))</f>
        <v/>
      </c>
      <c r="D309" s="88" t="str">
        <f>IF(B309="","",
IFERROR(VLOOKUP(B309,'Maestro Materiales'!A:C,2,FALSE),
IFERROR(VLOOKUP(B309,'Baremos actuales'!A:B,2,FALSE),
IFERROR(VLOOKUP(B309,'Baremos anteriores'!A:B,2,FALSE),
""))))</f>
        <v/>
      </c>
      <c r="E309" s="9"/>
      <c r="F309" s="89" t="str">
        <f>IF(D309="MATE",
IF(E309="","¿Unidades?",""),
IF(D309="",IF(E309="","","¿Código?"),
IF(E309="","¿Unidades?",
IF(D309="TARE",
IF(M309=$H$3,IFERROR(VLOOKUP(B309,'Baremos actuales'!A:C,3,FALSE),0),
IF(M309=$H$4,IFERROR(VLOOKUP(B309,'Baremos anteriores'!A:C,3,FALSE),0),0))))))</f>
        <v/>
      </c>
      <c r="G309" s="7"/>
      <c r="H309" s="8"/>
      <c r="I309" s="8"/>
      <c r="J309" s="78" t="str">
        <f>IF($D309="","",
IF($E309="","",
IF($D309="MATE","",
IF(VLOOKUP($B309,'Baremos actuales'!A:D,4,FALSE)=J$9,$E309*$F309,IF(VLOOKUP($B309,'Baremos anteriores'!A:D,4,FALSE)="Sin Definir",$E309*$F309,"")))))</f>
        <v/>
      </c>
      <c r="K309" s="79" t="str">
        <f>IF($D309="","",
IF($E309="","",
IF($D309="MATE","",
IF(VLOOKUP($B309,'Baremos actuales'!$A:$D,4,FALSE)=K$9,$E309*$F309,IF(VLOOKUP($B309,'Baremos anteriores'!$A:$D,4,FALSE)="Desmonte",$E309*$F309,"")))))</f>
        <v/>
      </c>
      <c r="L309" s="80" t="str">
        <f>IF($D309="","",
IF($E309="","",
IF($D309="MATE","",
IF(VLOOKUP($B309,'Baremos actuales'!$A:$D,4,FALSE)=L$9,$E309*$F309,""))))</f>
        <v/>
      </c>
      <c r="M309" s="91" t="str">
        <f t="shared" si="4"/>
        <v/>
      </c>
      <c r="N309" s="96"/>
      <c r="O309" s="95"/>
      <c r="P309" s="96"/>
      <c r="Q309" s="98"/>
    </row>
    <row r="310" spans="1:17" ht="15.75" x14ac:dyDescent="0.2">
      <c r="A310" s="17"/>
      <c r="B310" s="18"/>
      <c r="C310" s="87" t="str">
        <f>IF(B310="","",
IF(M310=$H$5,IFERROR(VLOOKUP(B310,'Baremos actuales'!A:E,5,FALSE),"No encontrado. Revisar código, fecha ejecución y/o contrato."),
IF(M310=$H$4,IFERROR(VLOOKUP(B310,'Baremos anteriores'!A:E,5,FALSE),"No encontrado. Revisar código, fecha ejecución y/o contrato."),
IF(M310=$H$3,IFERROR(VLOOKUP(B310,#REF!,5,FALSE),"No encontrado. Revisar código, fecha ejecución y/o contrato."),
IF(D310="","Código no encontrado",
IF(D310="ERROR","No encontrado. Revisar Código, fecha de ejecución y/o contrato.",
IF(D310="MATE",
IF(C309="DESCRIPCION","NO SE PUEDE COMENZAR SIN CÓDIGO DE TAREA",
IF(C309="","FALTA CÓDIGO DE TAREA",
CONCATENATE("          ",VLOOKUP(B310,'Maestro Materiales'!A:C,3,FALSE)))),IFERROR(VLOOKUP(B310,#REF!,5,FALSE),"No encontrado. Revisar código, fecha ejecución y/o contrato."))))))))</f>
        <v/>
      </c>
      <c r="D310" s="88" t="str">
        <f>IF(B310="","",
IFERROR(VLOOKUP(B310,'Maestro Materiales'!A:C,2,FALSE),
IFERROR(VLOOKUP(B310,'Baremos actuales'!A:B,2,FALSE),
IFERROR(VLOOKUP(B310,'Baremos anteriores'!A:B,2,FALSE),
""))))</f>
        <v/>
      </c>
      <c r="E310" s="9"/>
      <c r="F310" s="89" t="str">
        <f>IF(D310="MATE",
IF(E310="","¿Unidades?",""),
IF(D310="",IF(E310="","","¿Código?"),
IF(E310="","¿Unidades?",
IF(D310="TARE",
IF(M310=$H$3,IFERROR(VLOOKUP(B310,'Baremos actuales'!A:C,3,FALSE),0),
IF(M310=$H$4,IFERROR(VLOOKUP(B310,'Baremos anteriores'!A:C,3,FALSE),0),0))))))</f>
        <v/>
      </c>
      <c r="G310" s="7"/>
      <c r="H310" s="8"/>
      <c r="I310" s="8"/>
      <c r="J310" s="78" t="str">
        <f>IF($D310="","",
IF($E310="","",
IF($D310="MATE","",
IF(VLOOKUP($B310,'Baremos actuales'!A:D,4,FALSE)=J$9,$E310*$F310,IF(VLOOKUP($B310,'Baremos anteriores'!A:D,4,FALSE)="Sin Definir",$E310*$F310,"")))))</f>
        <v/>
      </c>
      <c r="K310" s="79" t="str">
        <f>IF($D310="","",
IF($E310="","",
IF($D310="MATE","",
IF(VLOOKUP($B310,'Baremos actuales'!$A:$D,4,FALSE)=K$9,$E310*$F310,IF(VLOOKUP($B310,'Baremos anteriores'!$A:$D,4,FALSE)="Desmonte",$E310*$F310,"")))))</f>
        <v/>
      </c>
      <c r="L310" s="80" t="str">
        <f>IF($D310="","",
IF($E310="","",
IF($D310="MATE","",
IF(VLOOKUP($B310,'Baremos actuales'!$A:$D,4,FALSE)=L$9,$E310*$F310,""))))</f>
        <v/>
      </c>
      <c r="M310" s="91" t="str">
        <f t="shared" si="4"/>
        <v/>
      </c>
      <c r="N310" s="96"/>
      <c r="O310" s="95"/>
      <c r="P310" s="96"/>
      <c r="Q310" s="98"/>
    </row>
    <row r="311" spans="1:17" ht="15.75" x14ac:dyDescent="0.2">
      <c r="A311" s="17"/>
      <c r="B311" s="18"/>
      <c r="C311" s="87" t="str">
        <f>IF(B311="","",
IF(M311=$H$5,IFERROR(VLOOKUP(B311,'Baremos actuales'!A:E,5,FALSE),"No encontrado. Revisar código, fecha ejecución y/o contrato."),
IF(M311=$H$4,IFERROR(VLOOKUP(B311,'Baremos anteriores'!A:E,5,FALSE),"No encontrado. Revisar código, fecha ejecución y/o contrato."),
IF(M311=$H$3,IFERROR(VLOOKUP(B311,#REF!,5,FALSE),"No encontrado. Revisar código, fecha ejecución y/o contrato."),
IF(D311="","Código no encontrado",
IF(D311="ERROR","No encontrado. Revisar Código, fecha de ejecución y/o contrato.",
IF(D311="MATE",
IF(C310="DESCRIPCION","NO SE PUEDE COMENZAR SIN CÓDIGO DE TAREA",
IF(C310="","FALTA CÓDIGO DE TAREA",
CONCATENATE("          ",VLOOKUP(B311,'Maestro Materiales'!A:C,3,FALSE)))),IFERROR(VLOOKUP(B311,#REF!,5,FALSE),"No encontrado. Revisar código, fecha ejecución y/o contrato."))))))))</f>
        <v/>
      </c>
      <c r="D311" s="88" t="str">
        <f>IF(B311="","",
IFERROR(VLOOKUP(B311,'Maestro Materiales'!A:C,2,FALSE),
IFERROR(VLOOKUP(B311,'Baremos actuales'!A:B,2,FALSE),
IFERROR(VLOOKUP(B311,'Baremos anteriores'!A:B,2,FALSE),
""))))</f>
        <v/>
      </c>
      <c r="E311" s="9"/>
      <c r="F311" s="89" t="str">
        <f>IF(D311="MATE",
IF(E311="","¿Unidades?",""),
IF(D311="",IF(E311="","","¿Código?"),
IF(E311="","¿Unidades?",
IF(D311="TARE",
IF(M311=$H$3,IFERROR(VLOOKUP(B311,'Baremos actuales'!A:C,3,FALSE),0),
IF(M311=$H$4,IFERROR(VLOOKUP(B311,'Baremos anteriores'!A:C,3,FALSE),0),0))))))</f>
        <v/>
      </c>
      <c r="G311" s="7"/>
      <c r="H311" s="8"/>
      <c r="I311" s="8"/>
      <c r="J311" s="78" t="str">
        <f>IF($D311="","",
IF($E311="","",
IF($D311="MATE","",
IF(VLOOKUP($B311,'Baremos actuales'!A:D,4,FALSE)=J$9,$E311*$F311,IF(VLOOKUP($B311,'Baremos anteriores'!A:D,4,FALSE)="Sin Definir",$E311*$F311,"")))))</f>
        <v/>
      </c>
      <c r="K311" s="79" t="str">
        <f>IF($D311="","",
IF($E311="","",
IF($D311="MATE","",
IF(VLOOKUP($B311,'Baremos actuales'!$A:$D,4,FALSE)=K$9,$E311*$F311,IF(VLOOKUP($B311,'Baremos anteriores'!$A:$D,4,FALSE)="Desmonte",$E311*$F311,"")))))</f>
        <v/>
      </c>
      <c r="L311" s="80" t="str">
        <f>IF($D311="","",
IF($E311="","",
IF($D311="MATE","",
IF(VLOOKUP($B311,'Baremos actuales'!$A:$D,4,FALSE)=L$9,$E311*$F311,""))))</f>
        <v/>
      </c>
      <c r="M311" s="91" t="str">
        <f t="shared" si="4"/>
        <v/>
      </c>
      <c r="N311" s="96"/>
      <c r="O311" s="95"/>
      <c r="P311" s="96"/>
      <c r="Q311" s="98"/>
    </row>
    <row r="312" spans="1:17" ht="15.75" x14ac:dyDescent="0.2">
      <c r="A312" s="17"/>
      <c r="B312" s="18"/>
      <c r="C312" s="87" t="str">
        <f>IF(B312="","",
IF(M312=$H$5,IFERROR(VLOOKUP(B312,'Baremos actuales'!A:E,5,FALSE),"No encontrado. Revisar código, fecha ejecución y/o contrato."),
IF(M312=$H$4,IFERROR(VLOOKUP(B312,'Baremos anteriores'!A:E,5,FALSE),"No encontrado. Revisar código, fecha ejecución y/o contrato."),
IF(M312=$H$3,IFERROR(VLOOKUP(B312,#REF!,5,FALSE),"No encontrado. Revisar código, fecha ejecución y/o contrato."),
IF(D312="","Código no encontrado",
IF(D312="ERROR","No encontrado. Revisar Código, fecha de ejecución y/o contrato.",
IF(D312="MATE",
IF(C311="DESCRIPCION","NO SE PUEDE COMENZAR SIN CÓDIGO DE TAREA",
IF(C311="","FALTA CÓDIGO DE TAREA",
CONCATENATE("          ",VLOOKUP(B312,'Maestro Materiales'!A:C,3,FALSE)))),IFERROR(VLOOKUP(B312,#REF!,5,FALSE),"No encontrado. Revisar código, fecha ejecución y/o contrato."))))))))</f>
        <v/>
      </c>
      <c r="D312" s="88" t="str">
        <f>IF(B312="","",
IFERROR(VLOOKUP(B312,'Maestro Materiales'!A:C,2,FALSE),
IFERROR(VLOOKUP(B312,'Baremos actuales'!A:B,2,FALSE),
IFERROR(VLOOKUP(B312,'Baremos anteriores'!A:B,2,FALSE),
""))))</f>
        <v/>
      </c>
      <c r="E312" s="9"/>
      <c r="F312" s="89" t="str">
        <f>IF(D312="MATE",
IF(E312="","¿Unidades?",""),
IF(D312="",IF(E312="","","¿Código?"),
IF(E312="","¿Unidades?",
IF(D312="TARE",
IF(M312=$H$3,IFERROR(VLOOKUP(B312,'Baremos actuales'!A:C,3,FALSE),0),
IF(M312=$H$4,IFERROR(VLOOKUP(B312,'Baremos anteriores'!A:C,3,FALSE),0),0))))))</f>
        <v/>
      </c>
      <c r="G312" s="7"/>
      <c r="H312" s="8"/>
      <c r="I312" s="8"/>
      <c r="J312" s="78" t="str">
        <f>IF($D312="","",
IF($E312="","",
IF($D312="MATE","",
IF(VLOOKUP($B312,'Baremos actuales'!A:D,4,FALSE)=J$9,$E312*$F312,IF(VLOOKUP($B312,'Baremos anteriores'!A:D,4,FALSE)="Sin Definir",$E312*$F312,"")))))</f>
        <v/>
      </c>
      <c r="K312" s="79" t="str">
        <f>IF($D312="","",
IF($E312="","",
IF($D312="MATE","",
IF(VLOOKUP($B312,'Baremos actuales'!$A:$D,4,FALSE)=K$9,$E312*$F312,IF(VLOOKUP($B312,'Baremos anteriores'!$A:$D,4,FALSE)="Desmonte",$E312*$F312,"")))))</f>
        <v/>
      </c>
      <c r="L312" s="80" t="str">
        <f>IF($D312="","",
IF($E312="","",
IF($D312="MATE","",
IF(VLOOKUP($B312,'Baremos actuales'!$A:$D,4,FALSE)=L$9,$E312*$F312,""))))</f>
        <v/>
      </c>
      <c r="M312" s="91" t="str">
        <f t="shared" si="4"/>
        <v/>
      </c>
      <c r="N312" s="96"/>
      <c r="O312" s="95"/>
      <c r="P312" s="96"/>
      <c r="Q312" s="98"/>
    </row>
    <row r="313" spans="1:17" ht="15.75" x14ac:dyDescent="0.2">
      <c r="A313" s="17"/>
      <c r="B313" s="18"/>
      <c r="C313" s="87" t="str">
        <f>IF(B313="","",
IF(M313=$H$5,IFERROR(VLOOKUP(B313,'Baremos actuales'!A:E,5,FALSE),"No encontrado. Revisar código, fecha ejecución y/o contrato."),
IF(M313=$H$4,IFERROR(VLOOKUP(B313,'Baremos anteriores'!A:E,5,FALSE),"No encontrado. Revisar código, fecha ejecución y/o contrato."),
IF(M313=$H$3,IFERROR(VLOOKUP(B313,#REF!,5,FALSE),"No encontrado. Revisar código, fecha ejecución y/o contrato."),
IF(D313="","Código no encontrado",
IF(D313="ERROR","No encontrado. Revisar Código, fecha de ejecución y/o contrato.",
IF(D313="MATE",
IF(C312="DESCRIPCION","NO SE PUEDE COMENZAR SIN CÓDIGO DE TAREA",
IF(C312="","FALTA CÓDIGO DE TAREA",
CONCATENATE("          ",VLOOKUP(B313,'Maestro Materiales'!A:C,3,FALSE)))),IFERROR(VLOOKUP(B313,#REF!,5,FALSE),"No encontrado. Revisar código, fecha ejecución y/o contrato."))))))))</f>
        <v/>
      </c>
      <c r="D313" s="88" t="str">
        <f>IF(B313="","",
IFERROR(VLOOKUP(B313,'Maestro Materiales'!A:C,2,FALSE),
IFERROR(VLOOKUP(B313,'Baremos actuales'!A:B,2,FALSE),
IFERROR(VLOOKUP(B313,'Baremos anteriores'!A:B,2,FALSE),
""))))</f>
        <v/>
      </c>
      <c r="E313" s="9"/>
      <c r="F313" s="89" t="str">
        <f>IF(D313="MATE",
IF(E313="","¿Unidades?",""),
IF(D313="",IF(E313="","","¿Código?"),
IF(E313="","¿Unidades?",
IF(D313="TARE",
IF(M313=$H$3,IFERROR(VLOOKUP(B313,'Baremos actuales'!A:C,3,FALSE),0),
IF(M313=$H$4,IFERROR(VLOOKUP(B313,'Baremos anteriores'!A:C,3,FALSE),0),0))))))</f>
        <v/>
      </c>
      <c r="G313" s="7"/>
      <c r="H313" s="8"/>
      <c r="I313" s="8"/>
      <c r="J313" s="78" t="str">
        <f>IF($D313="","",
IF($E313="","",
IF($D313="MATE","",
IF(VLOOKUP($B313,'Baremos actuales'!A:D,4,FALSE)=J$9,$E313*$F313,IF(VLOOKUP($B313,'Baremos anteriores'!A:D,4,FALSE)="Sin Definir",$E313*$F313,"")))))</f>
        <v/>
      </c>
      <c r="K313" s="79" t="str">
        <f>IF($D313="","",
IF($E313="","",
IF($D313="MATE","",
IF(VLOOKUP($B313,'Baremos actuales'!$A:$D,4,FALSE)=K$9,$E313*$F313,IF(VLOOKUP($B313,'Baremos anteriores'!$A:$D,4,FALSE)="Desmonte",$E313*$F313,"")))))</f>
        <v/>
      </c>
      <c r="L313" s="80" t="str">
        <f>IF($D313="","",
IF($E313="","",
IF($D313="MATE","",
IF(VLOOKUP($B313,'Baremos actuales'!$A:$D,4,FALSE)=L$9,$E313*$F313,""))))</f>
        <v/>
      </c>
      <c r="M313" s="91" t="str">
        <f t="shared" si="4"/>
        <v/>
      </c>
      <c r="N313" s="96"/>
      <c r="O313" s="95"/>
      <c r="P313" s="96"/>
      <c r="Q313" s="98"/>
    </row>
    <row r="314" spans="1:17" ht="15.75" x14ac:dyDescent="0.2">
      <c r="A314" s="17"/>
      <c r="B314" s="18"/>
      <c r="C314" s="87" t="str">
        <f>IF(B314="","",
IF(M314=$H$5,IFERROR(VLOOKUP(B314,'Baremos actuales'!A:E,5,FALSE),"No encontrado. Revisar código, fecha ejecución y/o contrato."),
IF(M314=$H$4,IFERROR(VLOOKUP(B314,'Baremos anteriores'!A:E,5,FALSE),"No encontrado. Revisar código, fecha ejecución y/o contrato."),
IF(M314=$H$3,IFERROR(VLOOKUP(B314,#REF!,5,FALSE),"No encontrado. Revisar código, fecha ejecución y/o contrato."),
IF(D314="","Código no encontrado",
IF(D314="ERROR","No encontrado. Revisar Código, fecha de ejecución y/o contrato.",
IF(D314="MATE",
IF(C313="DESCRIPCION","NO SE PUEDE COMENZAR SIN CÓDIGO DE TAREA",
IF(C313="","FALTA CÓDIGO DE TAREA",
CONCATENATE("          ",VLOOKUP(B314,'Maestro Materiales'!A:C,3,FALSE)))),IFERROR(VLOOKUP(B314,#REF!,5,FALSE),"No encontrado. Revisar código, fecha ejecución y/o contrato."))))))))</f>
        <v/>
      </c>
      <c r="D314" s="88" t="str">
        <f>IF(B314="","",
IFERROR(VLOOKUP(B314,'Maestro Materiales'!A:C,2,FALSE),
IFERROR(VLOOKUP(B314,'Baremos actuales'!A:B,2,FALSE),
IFERROR(VLOOKUP(B314,'Baremos anteriores'!A:B,2,FALSE),
""))))</f>
        <v/>
      </c>
      <c r="E314" s="9"/>
      <c r="F314" s="89" t="str">
        <f>IF(D314="MATE",
IF(E314="","¿Unidades?",""),
IF(D314="",IF(E314="","","¿Código?"),
IF(E314="","¿Unidades?",
IF(D314="TARE",
IF(M314=$H$3,IFERROR(VLOOKUP(B314,'Baremos actuales'!A:C,3,FALSE),0),
IF(M314=$H$4,IFERROR(VLOOKUP(B314,'Baremos anteriores'!A:C,3,FALSE),0),0))))))</f>
        <v/>
      </c>
      <c r="G314" s="7"/>
      <c r="H314" s="8"/>
      <c r="I314" s="8"/>
      <c r="J314" s="78" t="str">
        <f>IF($D314="","",
IF($E314="","",
IF($D314="MATE","",
IF(VLOOKUP($B314,'Baremos actuales'!A:D,4,FALSE)=J$9,$E314*$F314,IF(VLOOKUP($B314,'Baremos anteriores'!A:D,4,FALSE)="Sin Definir",$E314*$F314,"")))))</f>
        <v/>
      </c>
      <c r="K314" s="79" t="str">
        <f>IF($D314="","",
IF($E314="","",
IF($D314="MATE","",
IF(VLOOKUP($B314,'Baremos actuales'!$A:$D,4,FALSE)=K$9,$E314*$F314,IF(VLOOKUP($B314,'Baremos anteriores'!$A:$D,4,FALSE)="Desmonte",$E314*$F314,"")))))</f>
        <v/>
      </c>
      <c r="L314" s="80" t="str">
        <f>IF($D314="","",
IF($E314="","",
IF($D314="MATE","",
IF(VLOOKUP($B314,'Baremos actuales'!$A:$D,4,FALSE)=L$9,$E314*$F314,""))))</f>
        <v/>
      </c>
      <c r="M314" s="91" t="str">
        <f t="shared" si="4"/>
        <v/>
      </c>
      <c r="N314" s="96"/>
      <c r="O314" s="95"/>
      <c r="P314" s="96"/>
      <c r="Q314" s="98"/>
    </row>
    <row r="315" spans="1:17" ht="15.75" x14ac:dyDescent="0.2">
      <c r="A315" s="17"/>
      <c r="B315" s="18"/>
      <c r="C315" s="87" t="str">
        <f>IF(B315="","",
IF(M315=$H$5,IFERROR(VLOOKUP(B315,'Baremos actuales'!A:E,5,FALSE),"No encontrado. Revisar código, fecha ejecución y/o contrato."),
IF(M315=$H$4,IFERROR(VLOOKUP(B315,'Baremos anteriores'!A:E,5,FALSE),"No encontrado. Revisar código, fecha ejecución y/o contrato."),
IF(M315=$H$3,IFERROR(VLOOKUP(B315,#REF!,5,FALSE),"No encontrado. Revisar código, fecha ejecución y/o contrato."),
IF(D315="","Código no encontrado",
IF(D315="ERROR","No encontrado. Revisar Código, fecha de ejecución y/o contrato.",
IF(D315="MATE",
IF(C314="DESCRIPCION","NO SE PUEDE COMENZAR SIN CÓDIGO DE TAREA",
IF(C314="","FALTA CÓDIGO DE TAREA",
CONCATENATE("          ",VLOOKUP(B315,'Maestro Materiales'!A:C,3,FALSE)))),IFERROR(VLOOKUP(B315,#REF!,5,FALSE),"No encontrado. Revisar código, fecha ejecución y/o contrato."))))))))</f>
        <v/>
      </c>
      <c r="D315" s="88" t="str">
        <f>IF(B315="","",
IFERROR(VLOOKUP(B315,'Maestro Materiales'!A:C,2,FALSE),
IFERROR(VLOOKUP(B315,'Baremos actuales'!A:B,2,FALSE),
IFERROR(VLOOKUP(B315,'Baremos anteriores'!A:B,2,FALSE),
""))))</f>
        <v/>
      </c>
      <c r="E315" s="9"/>
      <c r="F315" s="89" t="str">
        <f>IF(D315="MATE",
IF(E315="","¿Unidades?",""),
IF(D315="",IF(E315="","","¿Código?"),
IF(E315="","¿Unidades?",
IF(D315="TARE",
IF(M315=$H$3,IFERROR(VLOOKUP(B315,'Baremos actuales'!A:C,3,FALSE),0),
IF(M315=$H$4,IFERROR(VLOOKUP(B315,'Baremos anteriores'!A:C,3,FALSE),0),0))))))</f>
        <v/>
      </c>
      <c r="G315" s="7"/>
      <c r="H315" s="8"/>
      <c r="I315" s="8"/>
      <c r="J315" s="78" t="str">
        <f>IF($D315="","",
IF($E315="","",
IF($D315="MATE","",
IF(VLOOKUP($B315,'Baremos actuales'!A:D,4,FALSE)=J$9,$E315*$F315,IF(VLOOKUP($B315,'Baremos anteriores'!A:D,4,FALSE)="Sin Definir",$E315*$F315,"")))))</f>
        <v/>
      </c>
      <c r="K315" s="79" t="str">
        <f>IF($D315="","",
IF($E315="","",
IF($D315="MATE","",
IF(VLOOKUP($B315,'Baremos actuales'!$A:$D,4,FALSE)=K$9,$E315*$F315,IF(VLOOKUP($B315,'Baremos anteriores'!$A:$D,4,FALSE)="Desmonte",$E315*$F315,"")))))</f>
        <v/>
      </c>
      <c r="L315" s="80" t="str">
        <f>IF($D315="","",
IF($E315="","",
IF($D315="MATE","",
IF(VLOOKUP($B315,'Baremos actuales'!$A:$D,4,FALSE)=L$9,$E315*$F315,""))))</f>
        <v/>
      </c>
      <c r="M315" s="91" t="str">
        <f t="shared" si="4"/>
        <v/>
      </c>
      <c r="N315" s="96"/>
      <c r="O315" s="95"/>
      <c r="P315" s="96"/>
      <c r="Q315" s="98"/>
    </row>
    <row r="316" spans="1:17" ht="15.75" x14ac:dyDescent="0.2">
      <c r="A316" s="17"/>
      <c r="B316" s="18"/>
      <c r="C316" s="87" t="str">
        <f>IF(B316="","",
IF(M316=$H$5,IFERROR(VLOOKUP(B316,'Baremos actuales'!A:E,5,FALSE),"No encontrado. Revisar código, fecha ejecución y/o contrato."),
IF(M316=$H$4,IFERROR(VLOOKUP(B316,'Baremos anteriores'!A:E,5,FALSE),"No encontrado. Revisar código, fecha ejecución y/o contrato."),
IF(M316=$H$3,IFERROR(VLOOKUP(B316,#REF!,5,FALSE),"No encontrado. Revisar código, fecha ejecución y/o contrato."),
IF(D316="","Código no encontrado",
IF(D316="ERROR","No encontrado. Revisar Código, fecha de ejecución y/o contrato.",
IF(D316="MATE",
IF(C315="DESCRIPCION","NO SE PUEDE COMENZAR SIN CÓDIGO DE TAREA",
IF(C315="","FALTA CÓDIGO DE TAREA",
CONCATENATE("          ",VLOOKUP(B316,'Maestro Materiales'!A:C,3,FALSE)))),IFERROR(VLOOKUP(B316,#REF!,5,FALSE),"No encontrado. Revisar código, fecha ejecución y/o contrato."))))))))</f>
        <v/>
      </c>
      <c r="D316" s="88" t="str">
        <f>IF(B316="","",
IFERROR(VLOOKUP(B316,'Maestro Materiales'!A:C,2,FALSE),
IFERROR(VLOOKUP(B316,'Baremos actuales'!A:B,2,FALSE),
IFERROR(VLOOKUP(B316,'Baremos anteriores'!A:B,2,FALSE),
""))))</f>
        <v/>
      </c>
      <c r="E316" s="9"/>
      <c r="F316" s="89" t="str">
        <f>IF(D316="MATE",
IF(E316="","¿Unidades?",""),
IF(D316="",IF(E316="","","¿Código?"),
IF(E316="","¿Unidades?",
IF(D316="TARE",
IF(M316=$H$3,IFERROR(VLOOKUP(B316,'Baremos actuales'!A:C,3,FALSE),0),
IF(M316=$H$4,IFERROR(VLOOKUP(B316,'Baremos anteriores'!A:C,3,FALSE),0),0))))))</f>
        <v/>
      </c>
      <c r="G316" s="7"/>
      <c r="H316" s="8"/>
      <c r="I316" s="8"/>
      <c r="J316" s="78" t="str">
        <f>IF($D316="","",
IF($E316="","",
IF($D316="MATE","",
IF(VLOOKUP($B316,'Baremos actuales'!A:D,4,FALSE)=J$9,$E316*$F316,IF(VLOOKUP($B316,'Baremos anteriores'!A:D,4,FALSE)="Sin Definir",$E316*$F316,"")))))</f>
        <v/>
      </c>
      <c r="K316" s="79" t="str">
        <f>IF($D316="","",
IF($E316="","",
IF($D316="MATE","",
IF(VLOOKUP($B316,'Baremos actuales'!$A:$D,4,FALSE)=K$9,$E316*$F316,IF(VLOOKUP($B316,'Baremos anteriores'!$A:$D,4,FALSE)="Desmonte",$E316*$F316,"")))))</f>
        <v/>
      </c>
      <c r="L316" s="80" t="str">
        <f>IF($D316="","",
IF($E316="","",
IF($D316="MATE","",
IF(VLOOKUP($B316,'Baremos actuales'!$A:$D,4,FALSE)=L$9,$E316*$F316,""))))</f>
        <v/>
      </c>
      <c r="M316" s="91" t="str">
        <f t="shared" si="4"/>
        <v/>
      </c>
      <c r="N316" s="96"/>
      <c r="O316" s="95"/>
      <c r="P316" s="96"/>
      <c r="Q316" s="98"/>
    </row>
    <row r="317" spans="1:17" ht="15.75" x14ac:dyDescent="0.2">
      <c r="A317" s="17"/>
      <c r="B317" s="18"/>
      <c r="C317" s="87" t="str">
        <f>IF(B317="","",
IF(M317=$H$5,IFERROR(VLOOKUP(B317,'Baremos actuales'!A:E,5,FALSE),"No encontrado. Revisar código, fecha ejecución y/o contrato."),
IF(M317=$H$4,IFERROR(VLOOKUP(B317,'Baremos anteriores'!A:E,5,FALSE),"No encontrado. Revisar código, fecha ejecución y/o contrato."),
IF(M317=$H$3,IFERROR(VLOOKUP(B317,#REF!,5,FALSE),"No encontrado. Revisar código, fecha ejecución y/o contrato."),
IF(D317="","Código no encontrado",
IF(D317="ERROR","No encontrado. Revisar Código, fecha de ejecución y/o contrato.",
IF(D317="MATE",
IF(C316="DESCRIPCION","NO SE PUEDE COMENZAR SIN CÓDIGO DE TAREA",
IF(C316="","FALTA CÓDIGO DE TAREA",
CONCATENATE("          ",VLOOKUP(B317,'Maestro Materiales'!A:C,3,FALSE)))),IFERROR(VLOOKUP(B317,#REF!,5,FALSE),"No encontrado. Revisar código, fecha ejecución y/o contrato."))))))))</f>
        <v/>
      </c>
      <c r="D317" s="88" t="str">
        <f>IF(B317="","",
IFERROR(VLOOKUP(B317,'Maestro Materiales'!A:C,2,FALSE),
IFERROR(VLOOKUP(B317,'Baremos actuales'!A:B,2,FALSE),
IFERROR(VLOOKUP(B317,'Baremos anteriores'!A:B,2,FALSE),
""))))</f>
        <v/>
      </c>
      <c r="E317" s="9"/>
      <c r="F317" s="89" t="str">
        <f>IF(D317="MATE",
IF(E317="","¿Unidades?",""),
IF(D317="",IF(E317="","","¿Código?"),
IF(E317="","¿Unidades?",
IF(D317="TARE",
IF(M317=$H$3,IFERROR(VLOOKUP(B317,'Baremos actuales'!A:C,3,FALSE),0),
IF(M317=$H$4,IFERROR(VLOOKUP(B317,'Baremos anteriores'!A:C,3,FALSE),0),0))))))</f>
        <v/>
      </c>
      <c r="G317" s="7"/>
      <c r="H317" s="8"/>
      <c r="I317" s="8"/>
      <c r="J317" s="78" t="str">
        <f>IF($D317="","",
IF($E317="","",
IF($D317="MATE","",
IF(VLOOKUP($B317,'Baremos actuales'!A:D,4,FALSE)=J$9,$E317*$F317,IF(VLOOKUP($B317,'Baremos anteriores'!A:D,4,FALSE)="Sin Definir",$E317*$F317,"")))))</f>
        <v/>
      </c>
      <c r="K317" s="79" t="str">
        <f>IF($D317="","",
IF($E317="","",
IF($D317="MATE","",
IF(VLOOKUP($B317,'Baremos actuales'!$A:$D,4,FALSE)=K$9,$E317*$F317,IF(VLOOKUP($B317,'Baremos anteriores'!$A:$D,4,FALSE)="Desmonte",$E317*$F317,"")))))</f>
        <v/>
      </c>
      <c r="L317" s="80" t="str">
        <f>IF($D317="","",
IF($E317="","",
IF($D317="MATE","",
IF(VLOOKUP($B317,'Baremos actuales'!$A:$D,4,FALSE)=L$9,$E317*$F317,""))))</f>
        <v/>
      </c>
      <c r="M317" s="91" t="str">
        <f t="shared" si="4"/>
        <v/>
      </c>
      <c r="N317" s="96"/>
      <c r="O317" s="95"/>
      <c r="P317" s="96"/>
      <c r="Q317" s="98"/>
    </row>
    <row r="318" spans="1:17" ht="15.75" x14ac:dyDescent="0.2">
      <c r="A318" s="17"/>
      <c r="B318" s="18"/>
      <c r="C318" s="87" t="str">
        <f>IF(B318="","",
IF(M318=$H$5,IFERROR(VLOOKUP(B318,'Baremos actuales'!A:E,5,FALSE),"No encontrado. Revisar código, fecha ejecución y/o contrato."),
IF(M318=$H$4,IFERROR(VLOOKUP(B318,'Baremos anteriores'!A:E,5,FALSE),"No encontrado. Revisar código, fecha ejecución y/o contrato."),
IF(M318=$H$3,IFERROR(VLOOKUP(B318,#REF!,5,FALSE),"No encontrado. Revisar código, fecha ejecución y/o contrato."),
IF(D318="","Código no encontrado",
IF(D318="ERROR","No encontrado. Revisar Código, fecha de ejecución y/o contrato.",
IF(D318="MATE",
IF(C317="DESCRIPCION","NO SE PUEDE COMENZAR SIN CÓDIGO DE TAREA",
IF(C317="","FALTA CÓDIGO DE TAREA",
CONCATENATE("          ",VLOOKUP(B318,'Maestro Materiales'!A:C,3,FALSE)))),IFERROR(VLOOKUP(B318,#REF!,5,FALSE),"No encontrado. Revisar código, fecha ejecución y/o contrato."))))))))</f>
        <v/>
      </c>
      <c r="D318" s="88" t="str">
        <f>IF(B318="","",
IFERROR(VLOOKUP(B318,'Maestro Materiales'!A:C,2,FALSE),
IFERROR(VLOOKUP(B318,'Baremos actuales'!A:B,2,FALSE),
IFERROR(VLOOKUP(B318,'Baremos anteriores'!A:B,2,FALSE),
""))))</f>
        <v/>
      </c>
      <c r="E318" s="9"/>
      <c r="F318" s="89" t="str">
        <f>IF(D318="MATE",
IF(E318="","¿Unidades?",""),
IF(D318="",IF(E318="","","¿Código?"),
IF(E318="","¿Unidades?",
IF(D318="TARE",
IF(M318=$H$3,IFERROR(VLOOKUP(B318,'Baremos actuales'!A:C,3,FALSE),0),
IF(M318=$H$4,IFERROR(VLOOKUP(B318,'Baremos anteriores'!A:C,3,FALSE),0),0))))))</f>
        <v/>
      </c>
      <c r="G318" s="7"/>
      <c r="H318" s="8"/>
      <c r="I318" s="8"/>
      <c r="J318" s="78" t="str">
        <f>IF($D318="","",
IF($E318="","",
IF($D318="MATE","",
IF(VLOOKUP($B318,'Baremos actuales'!A:D,4,FALSE)=J$9,$E318*$F318,IF(VLOOKUP($B318,'Baremos anteriores'!A:D,4,FALSE)="Sin Definir",$E318*$F318,"")))))</f>
        <v/>
      </c>
      <c r="K318" s="79" t="str">
        <f>IF($D318="","",
IF($E318="","",
IF($D318="MATE","",
IF(VLOOKUP($B318,'Baremos actuales'!$A:$D,4,FALSE)=K$9,$E318*$F318,IF(VLOOKUP($B318,'Baremos anteriores'!$A:$D,4,FALSE)="Desmonte",$E318*$F318,"")))))</f>
        <v/>
      </c>
      <c r="L318" s="80" t="str">
        <f>IF($D318="","",
IF($E318="","",
IF($D318="MATE","",
IF(VLOOKUP($B318,'Baremos actuales'!$A:$D,4,FALSE)=L$9,$E318*$F318,""))))</f>
        <v/>
      </c>
      <c r="M318" s="91" t="str">
        <f t="shared" si="4"/>
        <v/>
      </c>
      <c r="N318" s="96"/>
      <c r="O318" s="95"/>
      <c r="P318" s="96"/>
      <c r="Q318" s="98"/>
    </row>
    <row r="319" spans="1:17" ht="15.75" x14ac:dyDescent="0.2">
      <c r="A319" s="17"/>
      <c r="B319" s="18"/>
      <c r="C319" s="87" t="str">
        <f>IF(B319="","",
IF(M319=$H$5,IFERROR(VLOOKUP(B319,'Baremos actuales'!A:E,5,FALSE),"No encontrado. Revisar código, fecha ejecución y/o contrato."),
IF(M319=$H$4,IFERROR(VLOOKUP(B319,'Baremos anteriores'!A:E,5,FALSE),"No encontrado. Revisar código, fecha ejecución y/o contrato."),
IF(M319=$H$3,IFERROR(VLOOKUP(B319,#REF!,5,FALSE),"No encontrado. Revisar código, fecha ejecución y/o contrato."),
IF(D319="","Código no encontrado",
IF(D319="ERROR","No encontrado. Revisar Código, fecha de ejecución y/o contrato.",
IF(D319="MATE",
IF(C318="DESCRIPCION","NO SE PUEDE COMENZAR SIN CÓDIGO DE TAREA",
IF(C318="","FALTA CÓDIGO DE TAREA",
CONCATENATE("          ",VLOOKUP(B319,'Maestro Materiales'!A:C,3,FALSE)))),IFERROR(VLOOKUP(B319,#REF!,5,FALSE),"No encontrado. Revisar código, fecha ejecución y/o contrato."))))))))</f>
        <v/>
      </c>
      <c r="D319" s="88" t="str">
        <f>IF(B319="","",
IFERROR(VLOOKUP(B319,'Maestro Materiales'!A:C,2,FALSE),
IFERROR(VLOOKUP(B319,'Baremos actuales'!A:B,2,FALSE),
IFERROR(VLOOKUP(B319,'Baremos anteriores'!A:B,2,FALSE),
""))))</f>
        <v/>
      </c>
      <c r="E319" s="9"/>
      <c r="F319" s="89" t="str">
        <f>IF(D319="MATE",
IF(E319="","¿Unidades?",""),
IF(D319="",IF(E319="","","¿Código?"),
IF(E319="","¿Unidades?",
IF(D319="TARE",
IF(M319=$H$3,IFERROR(VLOOKUP(B319,'Baremos actuales'!A:C,3,FALSE),0),
IF(M319=$H$4,IFERROR(VLOOKUP(B319,'Baremos anteriores'!A:C,3,FALSE),0),0))))))</f>
        <v/>
      </c>
      <c r="G319" s="7"/>
      <c r="H319" s="8"/>
      <c r="I319" s="8"/>
      <c r="J319" s="78" t="str">
        <f>IF($D319="","",
IF($E319="","",
IF($D319="MATE","",
IF(VLOOKUP($B319,'Baremos actuales'!A:D,4,FALSE)=J$9,$E319*$F319,IF(VLOOKUP($B319,'Baremos anteriores'!A:D,4,FALSE)="Sin Definir",$E319*$F319,"")))))</f>
        <v/>
      </c>
      <c r="K319" s="79" t="str">
        <f>IF($D319="","",
IF($E319="","",
IF($D319="MATE","",
IF(VLOOKUP($B319,'Baremos actuales'!$A:$D,4,FALSE)=K$9,$E319*$F319,IF(VLOOKUP($B319,'Baremos anteriores'!$A:$D,4,FALSE)="Desmonte",$E319*$F319,"")))))</f>
        <v/>
      </c>
      <c r="L319" s="80" t="str">
        <f>IF($D319="","",
IF($E319="","",
IF($D319="MATE","",
IF(VLOOKUP($B319,'Baremos actuales'!$A:$D,4,FALSE)=L$9,$E319*$F319,""))))</f>
        <v/>
      </c>
      <c r="M319" s="91" t="str">
        <f t="shared" si="4"/>
        <v/>
      </c>
      <c r="N319" s="96"/>
      <c r="O319" s="95"/>
      <c r="P319" s="96"/>
      <c r="Q319" s="98"/>
    </row>
    <row r="320" spans="1:17" ht="15.75" x14ac:dyDescent="0.2">
      <c r="A320" s="17"/>
      <c r="B320" s="18"/>
      <c r="C320" s="87" t="str">
        <f>IF(B320="","",
IF(M320=$H$5,IFERROR(VLOOKUP(B320,'Baremos actuales'!A:E,5,FALSE),"No encontrado. Revisar código, fecha ejecución y/o contrato."),
IF(M320=$H$4,IFERROR(VLOOKUP(B320,'Baremos anteriores'!A:E,5,FALSE),"No encontrado. Revisar código, fecha ejecución y/o contrato."),
IF(M320=$H$3,IFERROR(VLOOKUP(B320,#REF!,5,FALSE),"No encontrado. Revisar código, fecha ejecución y/o contrato."),
IF(D320="","Código no encontrado",
IF(D320="ERROR","No encontrado. Revisar Código, fecha de ejecución y/o contrato.",
IF(D320="MATE",
IF(C319="DESCRIPCION","NO SE PUEDE COMENZAR SIN CÓDIGO DE TAREA",
IF(C319="","FALTA CÓDIGO DE TAREA",
CONCATENATE("          ",VLOOKUP(B320,'Maestro Materiales'!A:C,3,FALSE)))),IFERROR(VLOOKUP(B320,#REF!,5,FALSE),"No encontrado. Revisar código, fecha ejecución y/o contrato."))))))))</f>
        <v/>
      </c>
      <c r="D320" s="88" t="str">
        <f>IF(B320="","",
IFERROR(VLOOKUP(B320,'Maestro Materiales'!A:C,2,FALSE),
IFERROR(VLOOKUP(B320,'Baremos actuales'!A:B,2,FALSE),
IFERROR(VLOOKUP(B320,'Baremos anteriores'!A:B,2,FALSE),
""))))</f>
        <v/>
      </c>
      <c r="E320" s="9"/>
      <c r="F320" s="89" t="str">
        <f>IF(D320="MATE",
IF(E320="","¿Unidades?",""),
IF(D320="",IF(E320="","","¿Código?"),
IF(E320="","¿Unidades?",
IF(D320="TARE",
IF(M320=$H$3,IFERROR(VLOOKUP(B320,'Baremos actuales'!A:C,3,FALSE),0),
IF(M320=$H$4,IFERROR(VLOOKUP(B320,'Baremos anteriores'!A:C,3,FALSE),0),0))))))</f>
        <v/>
      </c>
      <c r="G320" s="7"/>
      <c r="H320" s="8"/>
      <c r="I320" s="8"/>
      <c r="J320" s="78" t="str">
        <f>IF($D320="","",
IF($E320="","",
IF($D320="MATE","",
IF(VLOOKUP($B320,'Baremos actuales'!A:D,4,FALSE)=J$9,$E320*$F320,IF(VLOOKUP($B320,'Baremos anteriores'!A:D,4,FALSE)="Sin Definir",$E320*$F320,"")))))</f>
        <v/>
      </c>
      <c r="K320" s="79" t="str">
        <f>IF($D320="","",
IF($E320="","",
IF($D320="MATE","",
IF(VLOOKUP($B320,'Baremos actuales'!$A:$D,4,FALSE)=K$9,$E320*$F320,IF(VLOOKUP($B320,'Baremos anteriores'!$A:$D,4,FALSE)="Desmonte",$E320*$F320,"")))))</f>
        <v/>
      </c>
      <c r="L320" s="80" t="str">
        <f>IF($D320="","",
IF($E320="","",
IF($D320="MATE","",
IF(VLOOKUP($B320,'Baremos actuales'!$A:$D,4,FALSE)=L$9,$E320*$F320,""))))</f>
        <v/>
      </c>
      <c r="M320" s="91" t="str">
        <f t="shared" si="4"/>
        <v/>
      </c>
      <c r="N320" s="96"/>
      <c r="O320" s="95"/>
      <c r="P320" s="96"/>
      <c r="Q320" s="98"/>
    </row>
    <row r="321" spans="1:17" ht="15.75" x14ac:dyDescent="0.2">
      <c r="A321" s="17"/>
      <c r="B321" s="18"/>
      <c r="C321" s="87" t="str">
        <f>IF(B321="","",
IF(M321=$H$5,IFERROR(VLOOKUP(B321,'Baremos actuales'!A:E,5,FALSE),"No encontrado. Revisar código, fecha ejecución y/o contrato."),
IF(M321=$H$4,IFERROR(VLOOKUP(B321,'Baremos anteriores'!A:E,5,FALSE),"No encontrado. Revisar código, fecha ejecución y/o contrato."),
IF(M321=$H$3,IFERROR(VLOOKUP(B321,#REF!,5,FALSE),"No encontrado. Revisar código, fecha ejecución y/o contrato."),
IF(D321="","Código no encontrado",
IF(D321="ERROR","No encontrado. Revisar Código, fecha de ejecución y/o contrato.",
IF(D321="MATE",
IF(C320="DESCRIPCION","NO SE PUEDE COMENZAR SIN CÓDIGO DE TAREA",
IF(C320="","FALTA CÓDIGO DE TAREA",
CONCATENATE("          ",VLOOKUP(B321,'Maestro Materiales'!A:C,3,FALSE)))),IFERROR(VLOOKUP(B321,#REF!,5,FALSE),"No encontrado. Revisar código, fecha ejecución y/o contrato."))))))))</f>
        <v/>
      </c>
      <c r="D321" s="88" t="str">
        <f>IF(B321="","",
IFERROR(VLOOKUP(B321,'Maestro Materiales'!A:C,2,FALSE),
IFERROR(VLOOKUP(B321,'Baremos actuales'!A:B,2,FALSE),
IFERROR(VLOOKUP(B321,'Baremos anteriores'!A:B,2,FALSE),
""))))</f>
        <v/>
      </c>
      <c r="E321" s="9"/>
      <c r="F321" s="89" t="str">
        <f>IF(D321="MATE",
IF(E321="","¿Unidades?",""),
IF(D321="",IF(E321="","","¿Código?"),
IF(E321="","¿Unidades?",
IF(D321="TARE",
IF(M321=$H$3,IFERROR(VLOOKUP(B321,'Baremos actuales'!A:C,3,FALSE),0),
IF(M321=$H$4,IFERROR(VLOOKUP(B321,'Baremos anteriores'!A:C,3,FALSE),0),0))))))</f>
        <v/>
      </c>
      <c r="G321" s="7"/>
      <c r="H321" s="8"/>
      <c r="I321" s="8"/>
      <c r="J321" s="78" t="str">
        <f>IF($D321="","",
IF($E321="","",
IF($D321="MATE","",
IF(VLOOKUP($B321,'Baremos actuales'!A:D,4,FALSE)=J$9,$E321*$F321,IF(VLOOKUP($B321,'Baremos anteriores'!A:D,4,FALSE)="Sin Definir",$E321*$F321,"")))))</f>
        <v/>
      </c>
      <c r="K321" s="79" t="str">
        <f>IF($D321="","",
IF($E321="","",
IF($D321="MATE","",
IF(VLOOKUP($B321,'Baremos actuales'!$A:$D,4,FALSE)=K$9,$E321*$F321,IF(VLOOKUP($B321,'Baremos anteriores'!$A:$D,4,FALSE)="Desmonte",$E321*$F321,"")))))</f>
        <v/>
      </c>
      <c r="L321" s="80" t="str">
        <f>IF($D321="","",
IF($E321="","",
IF($D321="MATE","",
IF(VLOOKUP($B321,'Baremos actuales'!$A:$D,4,FALSE)=L$9,$E321*$F321,""))))</f>
        <v/>
      </c>
      <c r="M321" s="91" t="str">
        <f t="shared" si="4"/>
        <v/>
      </c>
      <c r="N321" s="96"/>
      <c r="O321" s="95"/>
      <c r="P321" s="96"/>
      <c r="Q321" s="98"/>
    </row>
    <row r="322" spans="1:17" ht="15.75" x14ac:dyDescent="0.2">
      <c r="A322" s="17"/>
      <c r="B322" s="18"/>
      <c r="C322" s="87" t="str">
        <f>IF(B322="","",
IF(M322=$H$5,IFERROR(VLOOKUP(B322,'Baremos actuales'!A:E,5,FALSE),"No encontrado. Revisar código, fecha ejecución y/o contrato."),
IF(M322=$H$4,IFERROR(VLOOKUP(B322,'Baremos anteriores'!A:E,5,FALSE),"No encontrado. Revisar código, fecha ejecución y/o contrato."),
IF(M322=$H$3,IFERROR(VLOOKUP(B322,#REF!,5,FALSE),"No encontrado. Revisar código, fecha ejecución y/o contrato."),
IF(D322="","Código no encontrado",
IF(D322="ERROR","No encontrado. Revisar Código, fecha de ejecución y/o contrato.",
IF(D322="MATE",
IF(C321="DESCRIPCION","NO SE PUEDE COMENZAR SIN CÓDIGO DE TAREA",
IF(C321="","FALTA CÓDIGO DE TAREA",
CONCATENATE("          ",VLOOKUP(B322,'Maestro Materiales'!A:C,3,FALSE)))),IFERROR(VLOOKUP(B322,#REF!,5,FALSE),"No encontrado. Revisar código, fecha ejecución y/o contrato."))))))))</f>
        <v/>
      </c>
      <c r="D322" s="88" t="str">
        <f>IF(B322="","",
IFERROR(VLOOKUP(B322,'Maestro Materiales'!A:C,2,FALSE),
IFERROR(VLOOKUP(B322,'Baremos actuales'!A:B,2,FALSE),
IFERROR(VLOOKUP(B322,'Baremos anteriores'!A:B,2,FALSE),
""))))</f>
        <v/>
      </c>
      <c r="E322" s="9"/>
      <c r="F322" s="89" t="str">
        <f>IF(D322="MATE",
IF(E322="","¿Unidades?",""),
IF(D322="",IF(E322="","","¿Código?"),
IF(E322="","¿Unidades?",
IF(D322="TARE",
IF(M322=$H$3,IFERROR(VLOOKUP(B322,'Baremos actuales'!A:C,3,FALSE),0),
IF(M322=$H$4,IFERROR(VLOOKUP(B322,'Baremos anteriores'!A:C,3,FALSE),0),0))))))</f>
        <v/>
      </c>
      <c r="G322" s="7"/>
      <c r="H322" s="8"/>
      <c r="I322" s="8"/>
      <c r="J322" s="78" t="str">
        <f>IF($D322="","",
IF($E322="","",
IF($D322="MATE","",
IF(VLOOKUP($B322,'Baremos actuales'!A:D,4,FALSE)=J$9,$E322*$F322,IF(VLOOKUP($B322,'Baremos anteriores'!A:D,4,FALSE)="Sin Definir",$E322*$F322,"")))))</f>
        <v/>
      </c>
      <c r="K322" s="79" t="str">
        <f>IF($D322="","",
IF($E322="","",
IF($D322="MATE","",
IF(VLOOKUP($B322,'Baremos actuales'!$A:$D,4,FALSE)=K$9,$E322*$F322,IF(VLOOKUP($B322,'Baremos anteriores'!$A:$D,4,FALSE)="Desmonte",$E322*$F322,"")))))</f>
        <v/>
      </c>
      <c r="L322" s="80" t="str">
        <f>IF($D322="","",
IF($E322="","",
IF($D322="MATE","",
IF(VLOOKUP($B322,'Baremos actuales'!$A:$D,4,FALSE)=L$9,$E322*$F322,""))))</f>
        <v/>
      </c>
      <c r="M322" s="91" t="str">
        <f t="shared" si="4"/>
        <v/>
      </c>
      <c r="N322" s="96"/>
      <c r="O322" s="95"/>
      <c r="P322" s="96"/>
      <c r="Q322" s="98"/>
    </row>
    <row r="323" spans="1:17" ht="15.75" x14ac:dyDescent="0.2">
      <c r="A323" s="17"/>
      <c r="B323" s="18"/>
      <c r="C323" s="87" t="str">
        <f>IF(B323="","",
IF(M323=$H$5,IFERROR(VLOOKUP(B323,'Baremos actuales'!A:E,5,FALSE),"No encontrado. Revisar código, fecha ejecución y/o contrato."),
IF(M323=$H$4,IFERROR(VLOOKUP(B323,'Baremos anteriores'!A:E,5,FALSE),"No encontrado. Revisar código, fecha ejecución y/o contrato."),
IF(M323=$H$3,IFERROR(VLOOKUP(B323,#REF!,5,FALSE),"No encontrado. Revisar código, fecha ejecución y/o contrato."),
IF(D323="","Código no encontrado",
IF(D323="ERROR","No encontrado. Revisar Código, fecha de ejecución y/o contrato.",
IF(D323="MATE",
IF(C322="DESCRIPCION","NO SE PUEDE COMENZAR SIN CÓDIGO DE TAREA",
IF(C322="","FALTA CÓDIGO DE TAREA",
CONCATENATE("          ",VLOOKUP(B323,'Maestro Materiales'!A:C,3,FALSE)))),IFERROR(VLOOKUP(B323,#REF!,5,FALSE),"No encontrado. Revisar código, fecha ejecución y/o contrato."))))))))</f>
        <v/>
      </c>
      <c r="D323" s="88" t="str">
        <f>IF(B323="","",
IFERROR(VLOOKUP(B323,'Maestro Materiales'!A:C,2,FALSE),
IFERROR(VLOOKUP(B323,'Baremos actuales'!A:B,2,FALSE),
IFERROR(VLOOKUP(B323,'Baremos anteriores'!A:B,2,FALSE),
""))))</f>
        <v/>
      </c>
      <c r="E323" s="9"/>
      <c r="F323" s="89" t="str">
        <f>IF(D323="MATE",
IF(E323="","¿Unidades?",""),
IF(D323="",IF(E323="","","¿Código?"),
IF(E323="","¿Unidades?",
IF(D323="TARE",
IF(M323=$H$3,IFERROR(VLOOKUP(B323,'Baremos actuales'!A:C,3,FALSE),0),
IF(M323=$H$4,IFERROR(VLOOKUP(B323,'Baremos anteriores'!A:C,3,FALSE),0),0))))))</f>
        <v/>
      </c>
      <c r="G323" s="7"/>
      <c r="H323" s="8"/>
      <c r="I323" s="8"/>
      <c r="J323" s="78" t="str">
        <f>IF($D323="","",
IF($E323="","",
IF($D323="MATE","",
IF(VLOOKUP($B323,'Baremos actuales'!A:D,4,FALSE)=J$9,$E323*$F323,IF(VLOOKUP($B323,'Baremos anteriores'!A:D,4,FALSE)="Sin Definir",$E323*$F323,"")))))</f>
        <v/>
      </c>
      <c r="K323" s="79" t="str">
        <f>IF($D323="","",
IF($E323="","",
IF($D323="MATE","",
IF(VLOOKUP($B323,'Baremos actuales'!$A:$D,4,FALSE)=K$9,$E323*$F323,IF(VLOOKUP($B323,'Baremos anteriores'!$A:$D,4,FALSE)="Desmonte",$E323*$F323,"")))))</f>
        <v/>
      </c>
      <c r="L323" s="80" t="str">
        <f>IF($D323="","",
IF($E323="","",
IF($D323="MATE","",
IF(VLOOKUP($B323,'Baremos actuales'!$A:$D,4,FALSE)=L$9,$E323*$F323,""))))</f>
        <v/>
      </c>
      <c r="M323" s="91" t="str">
        <f t="shared" si="4"/>
        <v/>
      </c>
      <c r="N323" s="96"/>
      <c r="O323" s="95"/>
      <c r="P323" s="96"/>
      <c r="Q323" s="98"/>
    </row>
    <row r="324" spans="1:17" ht="15.75" x14ac:dyDescent="0.2">
      <c r="A324" s="17"/>
      <c r="B324" s="18"/>
      <c r="C324" s="87" t="str">
        <f>IF(B324="","",
IF(M324=$H$5,IFERROR(VLOOKUP(B324,'Baremos actuales'!A:E,5,FALSE),"No encontrado. Revisar código, fecha ejecución y/o contrato."),
IF(M324=$H$4,IFERROR(VLOOKUP(B324,'Baremos anteriores'!A:E,5,FALSE),"No encontrado. Revisar código, fecha ejecución y/o contrato."),
IF(M324=$H$3,IFERROR(VLOOKUP(B324,#REF!,5,FALSE),"No encontrado. Revisar código, fecha ejecución y/o contrato."),
IF(D324="","Código no encontrado",
IF(D324="ERROR","No encontrado. Revisar Código, fecha de ejecución y/o contrato.",
IF(D324="MATE",
IF(C323="DESCRIPCION","NO SE PUEDE COMENZAR SIN CÓDIGO DE TAREA",
IF(C323="","FALTA CÓDIGO DE TAREA",
CONCATENATE("          ",VLOOKUP(B324,'Maestro Materiales'!A:C,3,FALSE)))),IFERROR(VLOOKUP(B324,#REF!,5,FALSE),"No encontrado. Revisar código, fecha ejecución y/o contrato."))))))))</f>
        <v/>
      </c>
      <c r="D324" s="88" t="str">
        <f>IF(B324="","",
IFERROR(VLOOKUP(B324,'Maestro Materiales'!A:C,2,FALSE),
IFERROR(VLOOKUP(B324,'Baremos actuales'!A:B,2,FALSE),
IFERROR(VLOOKUP(B324,'Baremos anteriores'!A:B,2,FALSE),
""))))</f>
        <v/>
      </c>
      <c r="E324" s="9"/>
      <c r="F324" s="89" t="str">
        <f>IF(D324="MATE",
IF(E324="","¿Unidades?",""),
IF(D324="",IF(E324="","","¿Código?"),
IF(E324="","¿Unidades?",
IF(D324="TARE",
IF(M324=$H$3,IFERROR(VLOOKUP(B324,'Baremos actuales'!A:C,3,FALSE),0),
IF(M324=$H$4,IFERROR(VLOOKUP(B324,'Baremos anteriores'!A:C,3,FALSE),0),0))))))</f>
        <v/>
      </c>
      <c r="G324" s="7"/>
      <c r="H324" s="8"/>
      <c r="I324" s="8"/>
      <c r="J324" s="78" t="str">
        <f>IF($D324="","",
IF($E324="","",
IF($D324="MATE","",
IF(VLOOKUP($B324,'Baremos actuales'!A:D,4,FALSE)=J$9,$E324*$F324,IF(VLOOKUP($B324,'Baremos anteriores'!A:D,4,FALSE)="Sin Definir",$E324*$F324,"")))))</f>
        <v/>
      </c>
      <c r="K324" s="79" t="str">
        <f>IF($D324="","",
IF($E324="","",
IF($D324="MATE","",
IF(VLOOKUP($B324,'Baremos actuales'!$A:$D,4,FALSE)=K$9,$E324*$F324,IF(VLOOKUP($B324,'Baremos anteriores'!$A:$D,4,FALSE)="Desmonte",$E324*$F324,"")))))</f>
        <v/>
      </c>
      <c r="L324" s="80" t="str">
        <f>IF($D324="","",
IF($E324="","",
IF($D324="MATE","",
IF(VLOOKUP($B324,'Baremos actuales'!$A:$D,4,FALSE)=L$9,$E324*$F324,""))))</f>
        <v/>
      </c>
      <c r="M324" s="91" t="str">
        <f t="shared" si="4"/>
        <v/>
      </c>
      <c r="N324" s="96"/>
      <c r="O324" s="95"/>
      <c r="P324" s="96"/>
      <c r="Q324" s="98"/>
    </row>
    <row r="325" spans="1:17" ht="15.75" x14ac:dyDescent="0.2">
      <c r="A325" s="17"/>
      <c r="B325" s="18"/>
      <c r="C325" s="87" t="str">
        <f>IF(B325="","",
IF(M325=$H$5,IFERROR(VLOOKUP(B325,'Baremos actuales'!A:E,5,FALSE),"No encontrado. Revisar código, fecha ejecución y/o contrato."),
IF(M325=$H$4,IFERROR(VLOOKUP(B325,'Baremos anteriores'!A:E,5,FALSE),"No encontrado. Revisar código, fecha ejecución y/o contrato."),
IF(M325=$H$3,IFERROR(VLOOKUP(B325,#REF!,5,FALSE),"No encontrado. Revisar código, fecha ejecución y/o contrato."),
IF(D325="","Código no encontrado",
IF(D325="ERROR","No encontrado. Revisar Código, fecha de ejecución y/o contrato.",
IF(D325="MATE",
IF(C324="DESCRIPCION","NO SE PUEDE COMENZAR SIN CÓDIGO DE TAREA",
IF(C324="","FALTA CÓDIGO DE TAREA",
CONCATENATE("          ",VLOOKUP(B325,'Maestro Materiales'!A:C,3,FALSE)))),IFERROR(VLOOKUP(B325,#REF!,5,FALSE),"No encontrado. Revisar código, fecha ejecución y/o contrato."))))))))</f>
        <v/>
      </c>
      <c r="D325" s="88" t="str">
        <f>IF(B325="","",
IFERROR(VLOOKUP(B325,'Maestro Materiales'!A:C,2,FALSE),
IFERROR(VLOOKUP(B325,'Baremos actuales'!A:B,2,FALSE),
IFERROR(VLOOKUP(B325,'Baremos anteriores'!A:B,2,FALSE),
""))))</f>
        <v/>
      </c>
      <c r="E325" s="9"/>
      <c r="F325" s="89" t="str">
        <f>IF(D325="MATE",
IF(E325="","¿Unidades?",""),
IF(D325="",IF(E325="","","¿Código?"),
IF(E325="","¿Unidades?",
IF(D325="TARE",
IF(M325=$H$3,IFERROR(VLOOKUP(B325,'Baremos actuales'!A:C,3,FALSE),0),
IF(M325=$H$4,IFERROR(VLOOKUP(B325,'Baremos anteriores'!A:C,3,FALSE),0),0))))))</f>
        <v/>
      </c>
      <c r="G325" s="7"/>
      <c r="H325" s="8"/>
      <c r="I325" s="8"/>
      <c r="J325" s="78" t="str">
        <f>IF($D325="","",
IF($E325="","",
IF($D325="MATE","",
IF(VLOOKUP($B325,'Baremos actuales'!A:D,4,FALSE)=J$9,$E325*$F325,IF(VLOOKUP($B325,'Baremos anteriores'!A:D,4,FALSE)="Sin Definir",$E325*$F325,"")))))</f>
        <v/>
      </c>
      <c r="K325" s="79" t="str">
        <f>IF($D325="","",
IF($E325="","",
IF($D325="MATE","",
IF(VLOOKUP($B325,'Baremos actuales'!$A:$D,4,FALSE)=K$9,$E325*$F325,IF(VLOOKUP($B325,'Baremos anteriores'!$A:$D,4,FALSE)="Desmonte",$E325*$F325,"")))))</f>
        <v/>
      </c>
      <c r="L325" s="80" t="str">
        <f>IF($D325="","",
IF($E325="","",
IF($D325="MATE","",
IF(VLOOKUP($B325,'Baremos actuales'!$A:$D,4,FALSE)=L$9,$E325*$F325,""))))</f>
        <v/>
      </c>
      <c r="M325" s="91" t="str">
        <f t="shared" si="4"/>
        <v/>
      </c>
      <c r="N325" s="96"/>
      <c r="O325" s="95"/>
      <c r="P325" s="96"/>
      <c r="Q325" s="98"/>
    </row>
    <row r="326" spans="1:17" ht="15.75" x14ac:dyDescent="0.2">
      <c r="A326" s="17"/>
      <c r="B326" s="18"/>
      <c r="C326" s="87" t="str">
        <f>IF(B326="","",
IF(M326=$H$5,IFERROR(VLOOKUP(B326,'Baremos actuales'!A:E,5,FALSE),"No encontrado. Revisar código, fecha ejecución y/o contrato."),
IF(M326=$H$4,IFERROR(VLOOKUP(B326,'Baremos anteriores'!A:E,5,FALSE),"No encontrado. Revisar código, fecha ejecución y/o contrato."),
IF(M326=$H$3,IFERROR(VLOOKUP(B326,#REF!,5,FALSE),"No encontrado. Revisar código, fecha ejecución y/o contrato."),
IF(D326="","Código no encontrado",
IF(D326="ERROR","No encontrado. Revisar Código, fecha de ejecución y/o contrato.",
IF(D326="MATE",
IF(C325="DESCRIPCION","NO SE PUEDE COMENZAR SIN CÓDIGO DE TAREA",
IF(C325="","FALTA CÓDIGO DE TAREA",
CONCATENATE("          ",VLOOKUP(B326,'Maestro Materiales'!A:C,3,FALSE)))),IFERROR(VLOOKUP(B326,#REF!,5,FALSE),"No encontrado. Revisar código, fecha ejecución y/o contrato."))))))))</f>
        <v/>
      </c>
      <c r="D326" s="88" t="str">
        <f>IF(B326="","",
IFERROR(VLOOKUP(B326,'Maestro Materiales'!A:C,2,FALSE),
IFERROR(VLOOKUP(B326,'Baremos actuales'!A:B,2,FALSE),
IFERROR(VLOOKUP(B326,'Baremos anteriores'!A:B,2,FALSE),
""))))</f>
        <v/>
      </c>
      <c r="E326" s="9"/>
      <c r="F326" s="89" t="str">
        <f>IF(D326="MATE",
IF(E326="","¿Unidades?",""),
IF(D326="",IF(E326="","","¿Código?"),
IF(E326="","¿Unidades?",
IF(D326="TARE",
IF(M326=$H$3,IFERROR(VLOOKUP(B326,'Baremos actuales'!A:C,3,FALSE),0),
IF(M326=$H$4,IFERROR(VLOOKUP(B326,'Baremos anteriores'!A:C,3,FALSE),0),0))))))</f>
        <v/>
      </c>
      <c r="G326" s="7"/>
      <c r="H326" s="8"/>
      <c r="I326" s="8"/>
      <c r="J326" s="78" t="str">
        <f>IF($D326="","",
IF($E326="","",
IF($D326="MATE","",
IF(VLOOKUP($B326,'Baremos actuales'!A:D,4,FALSE)=J$9,$E326*$F326,IF(VLOOKUP($B326,'Baremos anteriores'!A:D,4,FALSE)="Sin Definir",$E326*$F326,"")))))</f>
        <v/>
      </c>
      <c r="K326" s="79" t="str">
        <f>IF($D326="","",
IF($E326="","",
IF($D326="MATE","",
IF(VLOOKUP($B326,'Baremos actuales'!$A:$D,4,FALSE)=K$9,$E326*$F326,IF(VLOOKUP($B326,'Baremos anteriores'!$A:$D,4,FALSE)="Desmonte",$E326*$F326,"")))))</f>
        <v/>
      </c>
      <c r="L326" s="80" t="str">
        <f>IF($D326="","",
IF($E326="","",
IF($D326="MATE","",
IF(VLOOKUP($B326,'Baremos actuales'!$A:$D,4,FALSE)=L$9,$E326*$F326,""))))</f>
        <v/>
      </c>
      <c r="M326" s="91" t="str">
        <f t="shared" si="4"/>
        <v/>
      </c>
      <c r="N326" s="96"/>
      <c r="O326" s="95"/>
      <c r="P326" s="96"/>
      <c r="Q326" s="98"/>
    </row>
    <row r="327" spans="1:17" ht="15.75" x14ac:dyDescent="0.2">
      <c r="A327" s="17"/>
      <c r="B327" s="18"/>
      <c r="C327" s="87" t="str">
        <f>IF(B327="","",
IF(M327=$H$5,IFERROR(VLOOKUP(B327,'Baremos actuales'!A:E,5,FALSE),"No encontrado. Revisar código, fecha ejecución y/o contrato."),
IF(M327=$H$4,IFERROR(VLOOKUP(B327,'Baremos anteriores'!A:E,5,FALSE),"No encontrado. Revisar código, fecha ejecución y/o contrato."),
IF(M327=$H$3,IFERROR(VLOOKUP(B327,#REF!,5,FALSE),"No encontrado. Revisar código, fecha ejecución y/o contrato."),
IF(D327="","Código no encontrado",
IF(D327="ERROR","No encontrado. Revisar Código, fecha de ejecución y/o contrato.",
IF(D327="MATE",
IF(C326="DESCRIPCION","NO SE PUEDE COMENZAR SIN CÓDIGO DE TAREA",
IF(C326="","FALTA CÓDIGO DE TAREA",
CONCATENATE("          ",VLOOKUP(B327,'Maestro Materiales'!A:C,3,FALSE)))),IFERROR(VLOOKUP(B327,#REF!,5,FALSE),"No encontrado. Revisar código, fecha ejecución y/o contrato."))))))))</f>
        <v/>
      </c>
      <c r="D327" s="88" t="str">
        <f>IF(B327="","",
IFERROR(VLOOKUP(B327,'Maestro Materiales'!A:C,2,FALSE),
IFERROR(VLOOKUP(B327,'Baremos actuales'!A:B,2,FALSE),
IFERROR(VLOOKUP(B327,'Baremos anteriores'!A:B,2,FALSE),
""))))</f>
        <v/>
      </c>
      <c r="E327" s="9"/>
      <c r="F327" s="89" t="str">
        <f>IF(D327="MATE",
IF(E327="","¿Unidades?",""),
IF(D327="",IF(E327="","","¿Código?"),
IF(E327="","¿Unidades?",
IF(D327="TARE",
IF(M327=$H$3,IFERROR(VLOOKUP(B327,'Baremos actuales'!A:C,3,FALSE),0),
IF(M327=$H$4,IFERROR(VLOOKUP(B327,'Baremos anteriores'!A:C,3,FALSE),0),0))))))</f>
        <v/>
      </c>
      <c r="G327" s="7"/>
      <c r="H327" s="8"/>
      <c r="I327" s="8"/>
      <c r="J327" s="78" t="str">
        <f>IF($D327="","",
IF($E327="","",
IF($D327="MATE","",
IF(VLOOKUP($B327,'Baremos actuales'!A:D,4,FALSE)=J$9,$E327*$F327,IF(VLOOKUP($B327,'Baremos anteriores'!A:D,4,FALSE)="Sin Definir",$E327*$F327,"")))))</f>
        <v/>
      </c>
      <c r="K327" s="79" t="str">
        <f>IF($D327="","",
IF($E327="","",
IF($D327="MATE","",
IF(VLOOKUP($B327,'Baremos actuales'!$A:$D,4,FALSE)=K$9,$E327*$F327,IF(VLOOKUP($B327,'Baremos anteriores'!$A:$D,4,FALSE)="Desmonte",$E327*$F327,"")))))</f>
        <v/>
      </c>
      <c r="L327" s="80" t="str">
        <f>IF($D327="","",
IF($E327="","",
IF($D327="MATE","",
IF(VLOOKUP($B327,'Baremos actuales'!$A:$D,4,FALSE)=L$9,$E327*$F327,""))))</f>
        <v/>
      </c>
      <c r="M327" s="91" t="str">
        <f t="shared" si="4"/>
        <v/>
      </c>
      <c r="N327" s="96"/>
      <c r="O327" s="95"/>
      <c r="P327" s="96"/>
      <c r="Q327" s="98"/>
    </row>
    <row r="328" spans="1:17" ht="15.75" x14ac:dyDescent="0.2">
      <c r="A328" s="17"/>
      <c r="B328" s="18"/>
      <c r="C328" s="87" t="str">
        <f>IF(B328="","",
IF(M328=$H$5,IFERROR(VLOOKUP(B328,'Baremos actuales'!A:E,5,FALSE),"No encontrado. Revisar código, fecha ejecución y/o contrato."),
IF(M328=$H$4,IFERROR(VLOOKUP(B328,'Baremos anteriores'!A:E,5,FALSE),"No encontrado. Revisar código, fecha ejecución y/o contrato."),
IF(M328=$H$3,IFERROR(VLOOKUP(B328,#REF!,5,FALSE),"No encontrado. Revisar código, fecha ejecución y/o contrato."),
IF(D328="","Código no encontrado",
IF(D328="ERROR","No encontrado. Revisar Código, fecha de ejecución y/o contrato.",
IF(D328="MATE",
IF(C327="DESCRIPCION","NO SE PUEDE COMENZAR SIN CÓDIGO DE TAREA",
IF(C327="","FALTA CÓDIGO DE TAREA",
CONCATENATE("          ",VLOOKUP(B328,'Maestro Materiales'!A:C,3,FALSE)))),IFERROR(VLOOKUP(B328,#REF!,5,FALSE),"No encontrado. Revisar código, fecha ejecución y/o contrato."))))))))</f>
        <v/>
      </c>
      <c r="D328" s="88" t="str">
        <f>IF(B328="","",
IFERROR(VLOOKUP(B328,'Maestro Materiales'!A:C,2,FALSE),
IFERROR(VLOOKUP(B328,'Baremos actuales'!A:B,2,FALSE),
IFERROR(VLOOKUP(B328,'Baremos anteriores'!A:B,2,FALSE),
""))))</f>
        <v/>
      </c>
      <c r="E328" s="9"/>
      <c r="F328" s="89" t="str">
        <f>IF(D328="MATE",
IF(E328="","¿Unidades?",""),
IF(D328="",IF(E328="","","¿Código?"),
IF(E328="","¿Unidades?",
IF(D328="TARE",
IF(M328=$H$3,IFERROR(VLOOKUP(B328,'Baremos actuales'!A:C,3,FALSE),0),
IF(M328=$H$4,IFERROR(VLOOKUP(B328,'Baremos anteriores'!A:C,3,FALSE),0),0))))))</f>
        <v/>
      </c>
      <c r="G328" s="7"/>
      <c r="H328" s="8"/>
      <c r="I328" s="8"/>
      <c r="J328" s="78" t="str">
        <f>IF($D328="","",
IF($E328="","",
IF($D328="MATE","",
IF(VLOOKUP($B328,'Baremos actuales'!A:D,4,FALSE)=J$9,$E328*$F328,IF(VLOOKUP($B328,'Baremos anteriores'!A:D,4,FALSE)="Sin Definir",$E328*$F328,"")))))</f>
        <v/>
      </c>
      <c r="K328" s="79" t="str">
        <f>IF($D328="","",
IF($E328="","",
IF($D328="MATE","",
IF(VLOOKUP($B328,'Baremos actuales'!$A:$D,4,FALSE)=K$9,$E328*$F328,IF(VLOOKUP($B328,'Baremos anteriores'!$A:$D,4,FALSE)="Desmonte",$E328*$F328,"")))))</f>
        <v/>
      </c>
      <c r="L328" s="80" t="str">
        <f>IF($D328="","",
IF($E328="","",
IF($D328="MATE","",
IF(VLOOKUP($B328,'Baremos actuales'!$A:$D,4,FALSE)=L$9,$E328*$F328,""))))</f>
        <v/>
      </c>
      <c r="M328" s="91" t="str">
        <f t="shared" si="4"/>
        <v/>
      </c>
      <c r="N328" s="96"/>
      <c r="O328" s="95"/>
      <c r="P328" s="96"/>
      <c r="Q328" s="98"/>
    </row>
    <row r="329" spans="1:17" ht="15.75" x14ac:dyDescent="0.2">
      <c r="A329" s="17"/>
      <c r="B329" s="18"/>
      <c r="C329" s="87" t="str">
        <f>IF(B329="","",
IF(M329=$H$5,IFERROR(VLOOKUP(B329,'Baremos actuales'!A:E,5,FALSE),"No encontrado. Revisar código, fecha ejecución y/o contrato."),
IF(M329=$H$4,IFERROR(VLOOKUP(B329,'Baremos anteriores'!A:E,5,FALSE),"No encontrado. Revisar código, fecha ejecución y/o contrato."),
IF(M329=$H$3,IFERROR(VLOOKUP(B329,#REF!,5,FALSE),"No encontrado. Revisar código, fecha ejecución y/o contrato."),
IF(D329="","Código no encontrado",
IF(D329="ERROR","No encontrado. Revisar Código, fecha de ejecución y/o contrato.",
IF(D329="MATE",
IF(C328="DESCRIPCION","NO SE PUEDE COMENZAR SIN CÓDIGO DE TAREA",
IF(C328="","FALTA CÓDIGO DE TAREA",
CONCATENATE("          ",VLOOKUP(B329,'Maestro Materiales'!A:C,3,FALSE)))),IFERROR(VLOOKUP(B329,#REF!,5,FALSE),"No encontrado. Revisar código, fecha ejecución y/o contrato."))))))))</f>
        <v/>
      </c>
      <c r="D329" s="88" t="str">
        <f>IF(B329="","",
IFERROR(VLOOKUP(B329,'Maestro Materiales'!A:C,2,FALSE),
IFERROR(VLOOKUP(B329,'Baremos actuales'!A:B,2,FALSE),
IFERROR(VLOOKUP(B329,'Baremos anteriores'!A:B,2,FALSE),
""))))</f>
        <v/>
      </c>
      <c r="E329" s="9"/>
      <c r="F329" s="89" t="str">
        <f>IF(D329="MATE",
IF(E329="","¿Unidades?",""),
IF(D329="",IF(E329="","","¿Código?"),
IF(E329="","¿Unidades?",
IF(D329="TARE",
IF(M329=$H$3,IFERROR(VLOOKUP(B329,'Baremos actuales'!A:C,3,FALSE),0),
IF(M329=$H$4,IFERROR(VLOOKUP(B329,'Baremos anteriores'!A:C,3,FALSE),0),0))))))</f>
        <v/>
      </c>
      <c r="G329" s="7"/>
      <c r="H329" s="8"/>
      <c r="I329" s="8"/>
      <c r="J329" s="78" t="str">
        <f>IF($D329="","",
IF($E329="","",
IF($D329="MATE","",
IF(VLOOKUP($B329,'Baremos actuales'!A:D,4,FALSE)=J$9,$E329*$F329,IF(VLOOKUP($B329,'Baremos anteriores'!A:D,4,FALSE)="Sin Definir",$E329*$F329,"")))))</f>
        <v/>
      </c>
      <c r="K329" s="79" t="str">
        <f>IF($D329="","",
IF($E329="","",
IF($D329="MATE","",
IF(VLOOKUP($B329,'Baremos actuales'!$A:$D,4,FALSE)=K$9,$E329*$F329,IF(VLOOKUP($B329,'Baremos anteriores'!$A:$D,4,FALSE)="Desmonte",$E329*$F329,"")))))</f>
        <v/>
      </c>
      <c r="L329" s="80" t="str">
        <f>IF($D329="","",
IF($E329="","",
IF($D329="MATE","",
IF(VLOOKUP($B329,'Baremos actuales'!$A:$D,4,FALSE)=L$9,$E329*$F329,""))))</f>
        <v/>
      </c>
      <c r="M329" s="91" t="str">
        <f t="shared" si="4"/>
        <v/>
      </c>
      <c r="N329" s="96"/>
      <c r="O329" s="95"/>
      <c r="P329" s="96"/>
      <c r="Q329" s="98"/>
    </row>
    <row r="330" spans="1:17" ht="15.75" x14ac:dyDescent="0.2">
      <c r="A330" s="17"/>
      <c r="B330" s="18"/>
      <c r="C330" s="87" t="str">
        <f>IF(B330="","",
IF(M330=$H$5,IFERROR(VLOOKUP(B330,'Baremos actuales'!A:E,5,FALSE),"No encontrado. Revisar código, fecha ejecución y/o contrato."),
IF(M330=$H$4,IFERROR(VLOOKUP(B330,'Baremos anteriores'!A:E,5,FALSE),"No encontrado. Revisar código, fecha ejecución y/o contrato."),
IF(M330=$H$3,IFERROR(VLOOKUP(B330,#REF!,5,FALSE),"No encontrado. Revisar código, fecha ejecución y/o contrato."),
IF(D330="","Código no encontrado",
IF(D330="ERROR","No encontrado. Revisar Código, fecha de ejecución y/o contrato.",
IF(D330="MATE",
IF(C329="DESCRIPCION","NO SE PUEDE COMENZAR SIN CÓDIGO DE TAREA",
IF(C329="","FALTA CÓDIGO DE TAREA",
CONCATENATE("          ",VLOOKUP(B330,'Maestro Materiales'!A:C,3,FALSE)))),IFERROR(VLOOKUP(B330,#REF!,5,FALSE),"No encontrado. Revisar código, fecha ejecución y/o contrato."))))))))</f>
        <v/>
      </c>
      <c r="D330" s="88" t="str">
        <f>IF(B330="","",
IFERROR(VLOOKUP(B330,'Maestro Materiales'!A:C,2,FALSE),
IFERROR(VLOOKUP(B330,'Baremos actuales'!A:B,2,FALSE),
IFERROR(VLOOKUP(B330,'Baremos anteriores'!A:B,2,FALSE),
""))))</f>
        <v/>
      </c>
      <c r="E330" s="9"/>
      <c r="F330" s="89" t="str">
        <f>IF(D330="MATE",
IF(E330="","¿Unidades?",""),
IF(D330="",IF(E330="","","¿Código?"),
IF(E330="","¿Unidades?",
IF(D330="TARE",
IF(M330=$H$3,IFERROR(VLOOKUP(B330,'Baremos actuales'!A:C,3,FALSE),0),
IF(M330=$H$4,IFERROR(VLOOKUP(B330,'Baremos anteriores'!A:C,3,FALSE),0),0))))))</f>
        <v/>
      </c>
      <c r="G330" s="7"/>
      <c r="H330" s="8"/>
      <c r="I330" s="8"/>
      <c r="J330" s="78" t="str">
        <f>IF($D330="","",
IF($E330="","",
IF($D330="MATE","",
IF(VLOOKUP($B330,'Baremos actuales'!A:D,4,FALSE)=J$9,$E330*$F330,IF(VLOOKUP($B330,'Baremos anteriores'!A:D,4,FALSE)="Sin Definir",$E330*$F330,"")))))</f>
        <v/>
      </c>
      <c r="K330" s="79" t="str">
        <f>IF($D330="","",
IF($E330="","",
IF($D330="MATE","",
IF(VLOOKUP($B330,'Baremos actuales'!$A:$D,4,FALSE)=K$9,$E330*$F330,IF(VLOOKUP($B330,'Baremos anteriores'!$A:$D,4,FALSE)="Desmonte",$E330*$F330,"")))))</f>
        <v/>
      </c>
      <c r="L330" s="80" t="str">
        <f>IF($D330="","",
IF($E330="","",
IF($D330="MATE","",
IF(VLOOKUP($B330,'Baremos actuales'!$A:$D,4,FALSE)=L$9,$E330*$F330,""))))</f>
        <v/>
      </c>
      <c r="M330" s="91" t="str">
        <f t="shared" si="4"/>
        <v/>
      </c>
      <c r="N330" s="96"/>
      <c r="O330" s="95"/>
      <c r="P330" s="96"/>
      <c r="Q330" s="98"/>
    </row>
    <row r="331" spans="1:17" ht="15.75" x14ac:dyDescent="0.2">
      <c r="A331" s="17"/>
      <c r="B331" s="18"/>
      <c r="C331" s="87" t="str">
        <f>IF(B331="","",
IF(M331=$H$5,IFERROR(VLOOKUP(B331,'Baremos actuales'!A:E,5,FALSE),"No encontrado. Revisar código, fecha ejecución y/o contrato."),
IF(M331=$H$4,IFERROR(VLOOKUP(B331,'Baremos anteriores'!A:E,5,FALSE),"No encontrado. Revisar código, fecha ejecución y/o contrato."),
IF(M331=$H$3,IFERROR(VLOOKUP(B331,#REF!,5,FALSE),"No encontrado. Revisar código, fecha ejecución y/o contrato."),
IF(D331="","Código no encontrado",
IF(D331="ERROR","No encontrado. Revisar Código, fecha de ejecución y/o contrato.",
IF(D331="MATE",
IF(C330="DESCRIPCION","NO SE PUEDE COMENZAR SIN CÓDIGO DE TAREA",
IF(C330="","FALTA CÓDIGO DE TAREA",
CONCATENATE("          ",VLOOKUP(B331,'Maestro Materiales'!A:C,3,FALSE)))),IFERROR(VLOOKUP(B331,#REF!,5,FALSE),"No encontrado. Revisar código, fecha ejecución y/o contrato."))))))))</f>
        <v/>
      </c>
      <c r="D331" s="88" t="str">
        <f>IF(B331="","",
IFERROR(VLOOKUP(B331,'Maestro Materiales'!A:C,2,FALSE),
IFERROR(VLOOKUP(B331,'Baremos actuales'!A:B,2,FALSE),
IFERROR(VLOOKUP(B331,'Baremos anteriores'!A:B,2,FALSE),
""))))</f>
        <v/>
      </c>
      <c r="E331" s="9"/>
      <c r="F331" s="89" t="str">
        <f>IF(D331="MATE",
IF(E331="","¿Unidades?",""),
IF(D331="",IF(E331="","","¿Código?"),
IF(E331="","¿Unidades?",
IF(D331="TARE",
IF(M331=$H$3,IFERROR(VLOOKUP(B331,'Baremos actuales'!A:C,3,FALSE),0),
IF(M331=$H$4,IFERROR(VLOOKUP(B331,'Baremos anteriores'!A:C,3,FALSE),0),0))))))</f>
        <v/>
      </c>
      <c r="G331" s="7"/>
      <c r="H331" s="8"/>
      <c r="I331" s="8"/>
      <c r="J331" s="78" t="str">
        <f>IF($D331="","",
IF($E331="","",
IF($D331="MATE","",
IF(VLOOKUP($B331,'Baremos actuales'!A:D,4,FALSE)=J$9,$E331*$F331,IF(VLOOKUP($B331,'Baremos anteriores'!A:D,4,FALSE)="Sin Definir",$E331*$F331,"")))))</f>
        <v/>
      </c>
      <c r="K331" s="79" t="str">
        <f>IF($D331="","",
IF($E331="","",
IF($D331="MATE","",
IF(VLOOKUP($B331,'Baremos actuales'!$A:$D,4,FALSE)=K$9,$E331*$F331,IF(VLOOKUP($B331,'Baremos anteriores'!$A:$D,4,FALSE)="Desmonte",$E331*$F331,"")))))</f>
        <v/>
      </c>
      <c r="L331" s="80" t="str">
        <f>IF($D331="","",
IF($E331="","",
IF($D331="MATE","",
IF(VLOOKUP($B331,'Baremos actuales'!$A:$D,4,FALSE)=L$9,$E331*$F331,""))))</f>
        <v/>
      </c>
      <c r="M331" s="91" t="str">
        <f t="shared" ref="M331:M394" si="5">IF(D331="MATE","Materiales",IF(B331="","",
IF($Q$1="O","Obsoleto",$F$2)))</f>
        <v/>
      </c>
      <c r="N331" s="96"/>
      <c r="O331" s="95"/>
      <c r="P331" s="96"/>
      <c r="Q331" s="98"/>
    </row>
    <row r="332" spans="1:17" ht="15.75" x14ac:dyDescent="0.2">
      <c r="A332" s="17"/>
      <c r="B332" s="18"/>
      <c r="C332" s="87" t="str">
        <f>IF(B332="","",
IF(M332=$H$5,IFERROR(VLOOKUP(B332,'Baremos actuales'!A:E,5,FALSE),"No encontrado. Revisar código, fecha ejecución y/o contrato."),
IF(M332=$H$4,IFERROR(VLOOKUP(B332,'Baremos anteriores'!A:E,5,FALSE),"No encontrado. Revisar código, fecha ejecución y/o contrato."),
IF(M332=$H$3,IFERROR(VLOOKUP(B332,#REF!,5,FALSE),"No encontrado. Revisar código, fecha ejecución y/o contrato."),
IF(D332="","Código no encontrado",
IF(D332="ERROR","No encontrado. Revisar Código, fecha de ejecución y/o contrato.",
IF(D332="MATE",
IF(C331="DESCRIPCION","NO SE PUEDE COMENZAR SIN CÓDIGO DE TAREA",
IF(C331="","FALTA CÓDIGO DE TAREA",
CONCATENATE("          ",VLOOKUP(B332,'Maestro Materiales'!A:C,3,FALSE)))),IFERROR(VLOOKUP(B332,#REF!,5,FALSE),"No encontrado. Revisar código, fecha ejecución y/o contrato."))))))))</f>
        <v/>
      </c>
      <c r="D332" s="88" t="str">
        <f>IF(B332="","",
IFERROR(VLOOKUP(B332,'Maestro Materiales'!A:C,2,FALSE),
IFERROR(VLOOKUP(B332,'Baremos actuales'!A:B,2,FALSE),
IFERROR(VLOOKUP(B332,'Baremos anteriores'!A:B,2,FALSE),
""))))</f>
        <v/>
      </c>
      <c r="E332" s="9"/>
      <c r="F332" s="89" t="str">
        <f>IF(D332="MATE",
IF(E332="","¿Unidades?",""),
IF(D332="",IF(E332="","","¿Código?"),
IF(E332="","¿Unidades?",
IF(D332="TARE",
IF(M332=$H$3,IFERROR(VLOOKUP(B332,'Baremos actuales'!A:C,3,FALSE),0),
IF(M332=$H$4,IFERROR(VLOOKUP(B332,'Baremos anteriores'!A:C,3,FALSE),0),0))))))</f>
        <v/>
      </c>
      <c r="G332" s="7"/>
      <c r="H332" s="8"/>
      <c r="I332" s="8"/>
      <c r="J332" s="78" t="str">
        <f>IF($D332="","",
IF($E332="","",
IF($D332="MATE","",
IF(VLOOKUP($B332,'Baremos actuales'!A:D,4,FALSE)=J$9,$E332*$F332,IF(VLOOKUP($B332,'Baremos anteriores'!A:D,4,FALSE)="Sin Definir",$E332*$F332,"")))))</f>
        <v/>
      </c>
      <c r="K332" s="79" t="str">
        <f>IF($D332="","",
IF($E332="","",
IF($D332="MATE","",
IF(VLOOKUP($B332,'Baremos actuales'!$A:$D,4,FALSE)=K$9,$E332*$F332,IF(VLOOKUP($B332,'Baremos anteriores'!$A:$D,4,FALSE)="Desmonte",$E332*$F332,"")))))</f>
        <v/>
      </c>
      <c r="L332" s="80" t="str">
        <f>IF($D332="","",
IF($E332="","",
IF($D332="MATE","",
IF(VLOOKUP($B332,'Baremos actuales'!$A:$D,4,FALSE)=L$9,$E332*$F332,""))))</f>
        <v/>
      </c>
      <c r="M332" s="91" t="str">
        <f t="shared" si="5"/>
        <v/>
      </c>
      <c r="N332" s="96"/>
      <c r="O332" s="95"/>
      <c r="P332" s="96"/>
      <c r="Q332" s="98"/>
    </row>
    <row r="333" spans="1:17" ht="15.75" x14ac:dyDescent="0.2">
      <c r="A333" s="17"/>
      <c r="B333" s="18"/>
      <c r="C333" s="87" t="str">
        <f>IF(B333="","",
IF(M333=$H$5,IFERROR(VLOOKUP(B333,'Baremos actuales'!A:E,5,FALSE),"No encontrado. Revisar código, fecha ejecución y/o contrato."),
IF(M333=$H$4,IFERROR(VLOOKUP(B333,'Baremos anteriores'!A:E,5,FALSE),"No encontrado. Revisar código, fecha ejecución y/o contrato."),
IF(M333=$H$3,IFERROR(VLOOKUP(B333,#REF!,5,FALSE),"No encontrado. Revisar código, fecha ejecución y/o contrato."),
IF(D333="","Código no encontrado",
IF(D333="ERROR","No encontrado. Revisar Código, fecha de ejecución y/o contrato.",
IF(D333="MATE",
IF(C332="DESCRIPCION","NO SE PUEDE COMENZAR SIN CÓDIGO DE TAREA",
IF(C332="","FALTA CÓDIGO DE TAREA",
CONCATENATE("          ",VLOOKUP(B333,'Maestro Materiales'!A:C,3,FALSE)))),IFERROR(VLOOKUP(B333,#REF!,5,FALSE),"No encontrado. Revisar código, fecha ejecución y/o contrato."))))))))</f>
        <v/>
      </c>
      <c r="D333" s="88" t="str">
        <f>IF(B333="","",
IFERROR(VLOOKUP(B333,'Maestro Materiales'!A:C,2,FALSE),
IFERROR(VLOOKUP(B333,'Baremos actuales'!A:B,2,FALSE),
IFERROR(VLOOKUP(B333,'Baremos anteriores'!A:B,2,FALSE),
""))))</f>
        <v/>
      </c>
      <c r="E333" s="9"/>
      <c r="F333" s="89" t="str">
        <f>IF(D333="MATE",
IF(E333="","¿Unidades?",""),
IF(D333="",IF(E333="","","¿Código?"),
IF(E333="","¿Unidades?",
IF(D333="TARE",
IF(M333=$H$3,IFERROR(VLOOKUP(B333,'Baremos actuales'!A:C,3,FALSE),0),
IF(M333=$H$4,IFERROR(VLOOKUP(B333,'Baremos anteriores'!A:C,3,FALSE),0),0))))))</f>
        <v/>
      </c>
      <c r="G333" s="7"/>
      <c r="H333" s="8"/>
      <c r="I333" s="8"/>
      <c r="J333" s="78" t="str">
        <f>IF($D333="","",
IF($E333="","",
IF($D333="MATE","",
IF(VLOOKUP($B333,'Baremos actuales'!A:D,4,FALSE)=J$9,$E333*$F333,IF(VLOOKUP($B333,'Baremos anteriores'!A:D,4,FALSE)="Sin Definir",$E333*$F333,"")))))</f>
        <v/>
      </c>
      <c r="K333" s="79" t="str">
        <f>IF($D333="","",
IF($E333="","",
IF($D333="MATE","",
IF(VLOOKUP($B333,'Baremos actuales'!$A:$D,4,FALSE)=K$9,$E333*$F333,IF(VLOOKUP($B333,'Baremos anteriores'!$A:$D,4,FALSE)="Desmonte",$E333*$F333,"")))))</f>
        <v/>
      </c>
      <c r="L333" s="80" t="str">
        <f>IF($D333="","",
IF($E333="","",
IF($D333="MATE","",
IF(VLOOKUP($B333,'Baremos actuales'!$A:$D,4,FALSE)=L$9,$E333*$F333,""))))</f>
        <v/>
      </c>
      <c r="M333" s="91" t="str">
        <f t="shared" si="5"/>
        <v/>
      </c>
      <c r="N333" s="96"/>
      <c r="O333" s="95"/>
      <c r="P333" s="96"/>
      <c r="Q333" s="98"/>
    </row>
    <row r="334" spans="1:17" ht="15.75" x14ac:dyDescent="0.2">
      <c r="A334" s="17"/>
      <c r="B334" s="18"/>
      <c r="C334" s="87" t="str">
        <f>IF(B334="","",
IF(M334=$H$5,IFERROR(VLOOKUP(B334,'Baremos actuales'!A:E,5,FALSE),"No encontrado. Revisar código, fecha ejecución y/o contrato."),
IF(M334=$H$4,IFERROR(VLOOKUP(B334,'Baremos anteriores'!A:E,5,FALSE),"No encontrado. Revisar código, fecha ejecución y/o contrato."),
IF(M334=$H$3,IFERROR(VLOOKUP(B334,#REF!,5,FALSE),"No encontrado. Revisar código, fecha ejecución y/o contrato."),
IF(D334="","Código no encontrado",
IF(D334="ERROR","No encontrado. Revisar Código, fecha de ejecución y/o contrato.",
IF(D334="MATE",
IF(C333="DESCRIPCION","NO SE PUEDE COMENZAR SIN CÓDIGO DE TAREA",
IF(C333="","FALTA CÓDIGO DE TAREA",
CONCATENATE("          ",VLOOKUP(B334,'Maestro Materiales'!A:C,3,FALSE)))),IFERROR(VLOOKUP(B334,#REF!,5,FALSE),"No encontrado. Revisar código, fecha ejecución y/o contrato."))))))))</f>
        <v/>
      </c>
      <c r="D334" s="88" t="str">
        <f>IF(B334="","",
IFERROR(VLOOKUP(B334,'Maestro Materiales'!A:C,2,FALSE),
IFERROR(VLOOKUP(B334,'Baremos actuales'!A:B,2,FALSE),
IFERROR(VLOOKUP(B334,'Baremos anteriores'!A:B,2,FALSE),
""))))</f>
        <v/>
      </c>
      <c r="E334" s="9"/>
      <c r="F334" s="89" t="str">
        <f>IF(D334="MATE",
IF(E334="","¿Unidades?",""),
IF(D334="",IF(E334="","","¿Código?"),
IF(E334="","¿Unidades?",
IF(D334="TARE",
IF(M334=$H$3,IFERROR(VLOOKUP(B334,'Baremos actuales'!A:C,3,FALSE),0),
IF(M334=$H$4,IFERROR(VLOOKUP(B334,'Baremos anteriores'!A:C,3,FALSE),0),0))))))</f>
        <v/>
      </c>
      <c r="G334" s="7"/>
      <c r="H334" s="8"/>
      <c r="I334" s="8"/>
      <c r="J334" s="78" t="str">
        <f>IF($D334="","",
IF($E334="","",
IF($D334="MATE","",
IF(VLOOKUP($B334,'Baremos actuales'!A:D,4,FALSE)=J$9,$E334*$F334,IF(VLOOKUP($B334,'Baremos anteriores'!A:D,4,FALSE)="Sin Definir",$E334*$F334,"")))))</f>
        <v/>
      </c>
      <c r="K334" s="79" t="str">
        <f>IF($D334="","",
IF($E334="","",
IF($D334="MATE","",
IF(VLOOKUP($B334,'Baremos actuales'!$A:$D,4,FALSE)=K$9,$E334*$F334,IF(VLOOKUP($B334,'Baremos anteriores'!$A:$D,4,FALSE)="Desmonte",$E334*$F334,"")))))</f>
        <v/>
      </c>
      <c r="L334" s="80" t="str">
        <f>IF($D334="","",
IF($E334="","",
IF($D334="MATE","",
IF(VLOOKUP($B334,'Baremos actuales'!$A:$D,4,FALSE)=L$9,$E334*$F334,""))))</f>
        <v/>
      </c>
      <c r="M334" s="91" t="str">
        <f t="shared" si="5"/>
        <v/>
      </c>
      <c r="N334" s="96"/>
      <c r="O334" s="95"/>
      <c r="P334" s="96"/>
      <c r="Q334" s="98"/>
    </row>
    <row r="335" spans="1:17" ht="15.75" x14ac:dyDescent="0.2">
      <c r="A335" s="17"/>
      <c r="B335" s="18"/>
      <c r="C335" s="87" t="str">
        <f>IF(B335="","",
IF(M335=$H$5,IFERROR(VLOOKUP(B335,'Baremos actuales'!A:E,5,FALSE),"No encontrado. Revisar código, fecha ejecución y/o contrato."),
IF(M335=$H$4,IFERROR(VLOOKUP(B335,'Baremos anteriores'!A:E,5,FALSE),"No encontrado. Revisar código, fecha ejecución y/o contrato."),
IF(M335=$H$3,IFERROR(VLOOKUP(B335,#REF!,5,FALSE),"No encontrado. Revisar código, fecha ejecución y/o contrato."),
IF(D335="","Código no encontrado",
IF(D335="ERROR","No encontrado. Revisar Código, fecha de ejecución y/o contrato.",
IF(D335="MATE",
IF(C334="DESCRIPCION","NO SE PUEDE COMENZAR SIN CÓDIGO DE TAREA",
IF(C334="","FALTA CÓDIGO DE TAREA",
CONCATENATE("          ",VLOOKUP(B335,'Maestro Materiales'!A:C,3,FALSE)))),IFERROR(VLOOKUP(B335,#REF!,5,FALSE),"No encontrado. Revisar código, fecha ejecución y/o contrato."))))))))</f>
        <v/>
      </c>
      <c r="D335" s="88" t="str">
        <f>IF(B335="","",
IFERROR(VLOOKUP(B335,'Maestro Materiales'!A:C,2,FALSE),
IFERROR(VLOOKUP(B335,'Baremos actuales'!A:B,2,FALSE),
IFERROR(VLOOKUP(B335,'Baremos anteriores'!A:B,2,FALSE),
""))))</f>
        <v/>
      </c>
      <c r="E335" s="9"/>
      <c r="F335" s="89" t="str">
        <f>IF(D335="MATE",
IF(E335="","¿Unidades?",""),
IF(D335="",IF(E335="","","¿Código?"),
IF(E335="","¿Unidades?",
IF(D335="TARE",
IF(M335=$H$3,IFERROR(VLOOKUP(B335,'Baremos actuales'!A:C,3,FALSE),0),
IF(M335=$H$4,IFERROR(VLOOKUP(B335,'Baremos anteriores'!A:C,3,FALSE),0),0))))))</f>
        <v/>
      </c>
      <c r="G335" s="7"/>
      <c r="H335" s="8"/>
      <c r="I335" s="8"/>
      <c r="J335" s="78" t="str">
        <f>IF($D335="","",
IF($E335="","",
IF($D335="MATE","",
IF(VLOOKUP($B335,'Baremos actuales'!A:D,4,FALSE)=J$9,$E335*$F335,IF(VLOOKUP($B335,'Baremos anteriores'!A:D,4,FALSE)="Sin Definir",$E335*$F335,"")))))</f>
        <v/>
      </c>
      <c r="K335" s="79" t="str">
        <f>IF($D335="","",
IF($E335="","",
IF($D335="MATE","",
IF(VLOOKUP($B335,'Baremos actuales'!$A:$D,4,FALSE)=K$9,$E335*$F335,IF(VLOOKUP($B335,'Baremos anteriores'!$A:$D,4,FALSE)="Desmonte",$E335*$F335,"")))))</f>
        <v/>
      </c>
      <c r="L335" s="80" t="str">
        <f>IF($D335="","",
IF($E335="","",
IF($D335="MATE","",
IF(VLOOKUP($B335,'Baremos actuales'!$A:$D,4,FALSE)=L$9,$E335*$F335,""))))</f>
        <v/>
      </c>
      <c r="M335" s="91" t="str">
        <f t="shared" si="5"/>
        <v/>
      </c>
      <c r="N335" s="96"/>
      <c r="O335" s="95"/>
      <c r="P335" s="96"/>
      <c r="Q335" s="98"/>
    </row>
    <row r="336" spans="1:17" ht="15.75" x14ac:dyDescent="0.2">
      <c r="A336" s="17"/>
      <c r="B336" s="18"/>
      <c r="C336" s="87" t="str">
        <f>IF(B336="","",
IF(M336=$H$5,IFERROR(VLOOKUP(B336,'Baremos actuales'!A:E,5,FALSE),"No encontrado. Revisar código, fecha ejecución y/o contrato."),
IF(M336=$H$4,IFERROR(VLOOKUP(B336,'Baremos anteriores'!A:E,5,FALSE),"No encontrado. Revisar código, fecha ejecución y/o contrato."),
IF(M336=$H$3,IFERROR(VLOOKUP(B336,#REF!,5,FALSE),"No encontrado. Revisar código, fecha ejecución y/o contrato."),
IF(D336="","Código no encontrado",
IF(D336="ERROR","No encontrado. Revisar Código, fecha de ejecución y/o contrato.",
IF(D336="MATE",
IF(C335="DESCRIPCION","NO SE PUEDE COMENZAR SIN CÓDIGO DE TAREA",
IF(C335="","FALTA CÓDIGO DE TAREA",
CONCATENATE("          ",VLOOKUP(B336,'Maestro Materiales'!A:C,3,FALSE)))),IFERROR(VLOOKUP(B336,#REF!,5,FALSE),"No encontrado. Revisar código, fecha ejecución y/o contrato."))))))))</f>
        <v/>
      </c>
      <c r="D336" s="88" t="str">
        <f>IF(B336="","",
IFERROR(VLOOKUP(B336,'Maestro Materiales'!A:C,2,FALSE),
IFERROR(VLOOKUP(B336,'Baremos actuales'!A:B,2,FALSE),
IFERROR(VLOOKUP(B336,'Baremos anteriores'!A:B,2,FALSE),
""))))</f>
        <v/>
      </c>
      <c r="E336" s="9"/>
      <c r="F336" s="89" t="str">
        <f>IF(D336="MATE",
IF(E336="","¿Unidades?",""),
IF(D336="",IF(E336="","","¿Código?"),
IF(E336="","¿Unidades?",
IF(D336="TARE",
IF(M336=$H$3,IFERROR(VLOOKUP(B336,'Baremos actuales'!A:C,3,FALSE),0),
IF(M336=$H$4,IFERROR(VLOOKUP(B336,'Baremos anteriores'!A:C,3,FALSE),0),0))))))</f>
        <v/>
      </c>
      <c r="G336" s="7"/>
      <c r="H336" s="8"/>
      <c r="I336" s="8"/>
      <c r="J336" s="78" t="str">
        <f>IF($D336="","",
IF($E336="","",
IF($D336="MATE","",
IF(VLOOKUP($B336,'Baremos actuales'!A:D,4,FALSE)=J$9,$E336*$F336,IF(VLOOKUP($B336,'Baremos anteriores'!A:D,4,FALSE)="Sin Definir",$E336*$F336,"")))))</f>
        <v/>
      </c>
      <c r="K336" s="79" t="str">
        <f>IF($D336="","",
IF($E336="","",
IF($D336="MATE","",
IF(VLOOKUP($B336,'Baremos actuales'!$A:$D,4,FALSE)=K$9,$E336*$F336,IF(VLOOKUP($B336,'Baremos anteriores'!$A:$D,4,FALSE)="Desmonte",$E336*$F336,"")))))</f>
        <v/>
      </c>
      <c r="L336" s="80" t="str">
        <f>IF($D336="","",
IF($E336="","",
IF($D336="MATE","",
IF(VLOOKUP($B336,'Baremos actuales'!$A:$D,4,FALSE)=L$9,$E336*$F336,""))))</f>
        <v/>
      </c>
      <c r="M336" s="91" t="str">
        <f t="shared" si="5"/>
        <v/>
      </c>
      <c r="N336" s="96"/>
      <c r="O336" s="95"/>
      <c r="P336" s="96"/>
      <c r="Q336" s="98"/>
    </row>
    <row r="337" spans="1:17" ht="15.75" x14ac:dyDescent="0.2">
      <c r="A337" s="17"/>
      <c r="B337" s="18"/>
      <c r="C337" s="87" t="str">
        <f>IF(B337="","",
IF(M337=$H$5,IFERROR(VLOOKUP(B337,'Baremos actuales'!A:E,5,FALSE),"No encontrado. Revisar código, fecha ejecución y/o contrato."),
IF(M337=$H$4,IFERROR(VLOOKUP(B337,'Baremos anteriores'!A:E,5,FALSE),"No encontrado. Revisar código, fecha ejecución y/o contrato."),
IF(M337=$H$3,IFERROR(VLOOKUP(B337,#REF!,5,FALSE),"No encontrado. Revisar código, fecha ejecución y/o contrato."),
IF(D337="","Código no encontrado",
IF(D337="ERROR","No encontrado. Revisar Código, fecha de ejecución y/o contrato.",
IF(D337="MATE",
IF(C336="DESCRIPCION","NO SE PUEDE COMENZAR SIN CÓDIGO DE TAREA",
IF(C336="","FALTA CÓDIGO DE TAREA",
CONCATENATE("          ",VLOOKUP(B337,'Maestro Materiales'!A:C,3,FALSE)))),IFERROR(VLOOKUP(B337,#REF!,5,FALSE),"No encontrado. Revisar código, fecha ejecución y/o contrato."))))))))</f>
        <v/>
      </c>
      <c r="D337" s="88" t="str">
        <f>IF(B337="","",
IFERROR(VLOOKUP(B337,'Maestro Materiales'!A:C,2,FALSE),
IFERROR(VLOOKUP(B337,'Baremos actuales'!A:B,2,FALSE),
IFERROR(VLOOKUP(B337,'Baremos anteriores'!A:B,2,FALSE),
""))))</f>
        <v/>
      </c>
      <c r="E337" s="9"/>
      <c r="F337" s="89" t="str">
        <f>IF(D337="MATE",
IF(E337="","¿Unidades?",""),
IF(D337="",IF(E337="","","¿Código?"),
IF(E337="","¿Unidades?",
IF(D337="TARE",
IF(M337=$H$3,IFERROR(VLOOKUP(B337,'Baremos actuales'!A:C,3,FALSE),0),
IF(M337=$H$4,IFERROR(VLOOKUP(B337,'Baremos anteriores'!A:C,3,FALSE),0),0))))))</f>
        <v/>
      </c>
      <c r="G337" s="7"/>
      <c r="H337" s="8"/>
      <c r="I337" s="8"/>
      <c r="J337" s="78" t="str">
        <f>IF($D337="","",
IF($E337="","",
IF($D337="MATE","",
IF(VLOOKUP($B337,'Baremos actuales'!A:D,4,FALSE)=J$9,$E337*$F337,IF(VLOOKUP($B337,'Baremos anteriores'!A:D,4,FALSE)="Sin Definir",$E337*$F337,"")))))</f>
        <v/>
      </c>
      <c r="K337" s="79" t="str">
        <f>IF($D337="","",
IF($E337="","",
IF($D337="MATE","",
IF(VLOOKUP($B337,'Baremos actuales'!$A:$D,4,FALSE)=K$9,$E337*$F337,IF(VLOOKUP($B337,'Baremos anteriores'!$A:$D,4,FALSE)="Desmonte",$E337*$F337,"")))))</f>
        <v/>
      </c>
      <c r="L337" s="80" t="str">
        <f>IF($D337="","",
IF($E337="","",
IF($D337="MATE","",
IF(VLOOKUP($B337,'Baremos actuales'!$A:$D,4,FALSE)=L$9,$E337*$F337,""))))</f>
        <v/>
      </c>
      <c r="M337" s="91" t="str">
        <f t="shared" si="5"/>
        <v/>
      </c>
      <c r="N337" s="96"/>
      <c r="O337" s="95"/>
      <c r="P337" s="96"/>
      <c r="Q337" s="98"/>
    </row>
    <row r="338" spans="1:17" ht="15.75" x14ac:dyDescent="0.2">
      <c r="A338" s="17"/>
      <c r="B338" s="18"/>
      <c r="C338" s="87" t="str">
        <f>IF(B338="","",
IF(M338=$H$5,IFERROR(VLOOKUP(B338,'Baremos actuales'!A:E,5,FALSE),"No encontrado. Revisar código, fecha ejecución y/o contrato."),
IF(M338=$H$4,IFERROR(VLOOKUP(B338,'Baremos anteriores'!A:E,5,FALSE),"No encontrado. Revisar código, fecha ejecución y/o contrato."),
IF(M338=$H$3,IFERROR(VLOOKUP(B338,#REF!,5,FALSE),"No encontrado. Revisar código, fecha ejecución y/o contrato."),
IF(D338="","Código no encontrado",
IF(D338="ERROR","No encontrado. Revisar Código, fecha de ejecución y/o contrato.",
IF(D338="MATE",
IF(C337="DESCRIPCION","NO SE PUEDE COMENZAR SIN CÓDIGO DE TAREA",
IF(C337="","FALTA CÓDIGO DE TAREA",
CONCATENATE("          ",VLOOKUP(B338,'Maestro Materiales'!A:C,3,FALSE)))),IFERROR(VLOOKUP(B338,#REF!,5,FALSE),"No encontrado. Revisar código, fecha ejecución y/o contrato."))))))))</f>
        <v/>
      </c>
      <c r="D338" s="88" t="str">
        <f>IF(B338="","",
IFERROR(VLOOKUP(B338,'Maestro Materiales'!A:C,2,FALSE),
IFERROR(VLOOKUP(B338,'Baremos actuales'!A:B,2,FALSE),
IFERROR(VLOOKUP(B338,'Baremos anteriores'!A:B,2,FALSE),
""))))</f>
        <v/>
      </c>
      <c r="E338" s="9"/>
      <c r="F338" s="89" t="str">
        <f>IF(D338="MATE",
IF(E338="","¿Unidades?",""),
IF(D338="",IF(E338="","","¿Código?"),
IF(E338="","¿Unidades?",
IF(D338="TARE",
IF(M338=$H$3,IFERROR(VLOOKUP(B338,'Baremos actuales'!A:C,3,FALSE),0),
IF(M338=$H$4,IFERROR(VLOOKUP(B338,'Baremos anteriores'!A:C,3,FALSE),0),0))))))</f>
        <v/>
      </c>
      <c r="G338" s="7"/>
      <c r="H338" s="8"/>
      <c r="I338" s="8"/>
      <c r="J338" s="78" t="str">
        <f>IF($D338="","",
IF($E338="","",
IF($D338="MATE","",
IF(VLOOKUP($B338,'Baremos actuales'!A:D,4,FALSE)=J$9,$E338*$F338,IF(VLOOKUP($B338,'Baremos anteriores'!A:D,4,FALSE)="Sin Definir",$E338*$F338,"")))))</f>
        <v/>
      </c>
      <c r="K338" s="79" t="str">
        <f>IF($D338="","",
IF($E338="","",
IF($D338="MATE","",
IF(VLOOKUP($B338,'Baremos actuales'!$A:$D,4,FALSE)=K$9,$E338*$F338,IF(VLOOKUP($B338,'Baremos anteriores'!$A:$D,4,FALSE)="Desmonte",$E338*$F338,"")))))</f>
        <v/>
      </c>
      <c r="L338" s="80" t="str">
        <f>IF($D338="","",
IF($E338="","",
IF($D338="MATE","",
IF(VLOOKUP($B338,'Baremos actuales'!$A:$D,4,FALSE)=L$9,$E338*$F338,""))))</f>
        <v/>
      </c>
      <c r="M338" s="91" t="str">
        <f t="shared" si="5"/>
        <v/>
      </c>
      <c r="N338" s="96"/>
      <c r="O338" s="95"/>
      <c r="P338" s="96"/>
      <c r="Q338" s="98"/>
    </row>
    <row r="339" spans="1:17" ht="15.75" x14ac:dyDescent="0.2">
      <c r="A339" s="17"/>
      <c r="B339" s="18"/>
      <c r="C339" s="87" t="str">
        <f>IF(B339="","",
IF(M339=$H$5,IFERROR(VLOOKUP(B339,'Baremos actuales'!A:E,5,FALSE),"No encontrado. Revisar código, fecha ejecución y/o contrato."),
IF(M339=$H$4,IFERROR(VLOOKUP(B339,'Baremos anteriores'!A:E,5,FALSE),"No encontrado. Revisar código, fecha ejecución y/o contrato."),
IF(M339=$H$3,IFERROR(VLOOKUP(B339,#REF!,5,FALSE),"No encontrado. Revisar código, fecha ejecución y/o contrato."),
IF(D339="","Código no encontrado",
IF(D339="ERROR","No encontrado. Revisar Código, fecha de ejecución y/o contrato.",
IF(D339="MATE",
IF(C338="DESCRIPCION","NO SE PUEDE COMENZAR SIN CÓDIGO DE TAREA",
IF(C338="","FALTA CÓDIGO DE TAREA",
CONCATENATE("          ",VLOOKUP(B339,'Maestro Materiales'!A:C,3,FALSE)))),IFERROR(VLOOKUP(B339,#REF!,5,FALSE),"No encontrado. Revisar código, fecha ejecución y/o contrato."))))))))</f>
        <v/>
      </c>
      <c r="D339" s="88" t="str">
        <f>IF(B339="","",
IFERROR(VLOOKUP(B339,'Maestro Materiales'!A:C,2,FALSE),
IFERROR(VLOOKUP(B339,'Baremos actuales'!A:B,2,FALSE),
IFERROR(VLOOKUP(B339,'Baremos anteriores'!A:B,2,FALSE),
""))))</f>
        <v/>
      </c>
      <c r="E339" s="9"/>
      <c r="F339" s="89" t="str">
        <f>IF(D339="MATE",
IF(E339="","¿Unidades?",""),
IF(D339="",IF(E339="","","¿Código?"),
IF(E339="","¿Unidades?",
IF(D339="TARE",
IF(M339=$H$3,IFERROR(VLOOKUP(B339,'Baremos actuales'!A:C,3,FALSE),0),
IF(M339=$H$4,IFERROR(VLOOKUP(B339,'Baremos anteriores'!A:C,3,FALSE),0),0))))))</f>
        <v/>
      </c>
      <c r="G339" s="7"/>
      <c r="H339" s="8"/>
      <c r="I339" s="8"/>
      <c r="J339" s="78" t="str">
        <f>IF($D339="","",
IF($E339="","",
IF($D339="MATE","",
IF(VLOOKUP($B339,'Baremos actuales'!A:D,4,FALSE)=J$9,$E339*$F339,IF(VLOOKUP($B339,'Baremos anteriores'!A:D,4,FALSE)="Sin Definir",$E339*$F339,"")))))</f>
        <v/>
      </c>
      <c r="K339" s="79" t="str">
        <f>IF($D339="","",
IF($E339="","",
IF($D339="MATE","",
IF(VLOOKUP($B339,'Baremos actuales'!$A:$D,4,FALSE)=K$9,$E339*$F339,IF(VLOOKUP($B339,'Baremos anteriores'!$A:$D,4,FALSE)="Desmonte",$E339*$F339,"")))))</f>
        <v/>
      </c>
      <c r="L339" s="80" t="str">
        <f>IF($D339="","",
IF($E339="","",
IF($D339="MATE","",
IF(VLOOKUP($B339,'Baremos actuales'!$A:$D,4,FALSE)=L$9,$E339*$F339,""))))</f>
        <v/>
      </c>
      <c r="M339" s="91" t="str">
        <f t="shared" si="5"/>
        <v/>
      </c>
      <c r="N339" s="96"/>
      <c r="O339" s="95"/>
      <c r="P339" s="96"/>
      <c r="Q339" s="98"/>
    </row>
    <row r="340" spans="1:17" ht="15.75" x14ac:dyDescent="0.2">
      <c r="A340" s="17"/>
      <c r="B340" s="18"/>
      <c r="C340" s="87" t="str">
        <f>IF(B340="","",
IF(M340=$H$5,IFERROR(VLOOKUP(B340,'Baremos actuales'!A:E,5,FALSE),"No encontrado. Revisar código, fecha ejecución y/o contrato."),
IF(M340=$H$4,IFERROR(VLOOKUP(B340,'Baremos anteriores'!A:E,5,FALSE),"No encontrado. Revisar código, fecha ejecución y/o contrato."),
IF(M340=$H$3,IFERROR(VLOOKUP(B340,#REF!,5,FALSE),"No encontrado. Revisar código, fecha ejecución y/o contrato."),
IF(D340="","Código no encontrado",
IF(D340="ERROR","No encontrado. Revisar Código, fecha de ejecución y/o contrato.",
IF(D340="MATE",
IF(C339="DESCRIPCION","NO SE PUEDE COMENZAR SIN CÓDIGO DE TAREA",
IF(C339="","FALTA CÓDIGO DE TAREA",
CONCATENATE("          ",VLOOKUP(B340,'Maestro Materiales'!A:C,3,FALSE)))),IFERROR(VLOOKUP(B340,#REF!,5,FALSE),"No encontrado. Revisar código, fecha ejecución y/o contrato."))))))))</f>
        <v/>
      </c>
      <c r="D340" s="88" t="str">
        <f>IF(B340="","",
IFERROR(VLOOKUP(B340,'Maestro Materiales'!A:C,2,FALSE),
IFERROR(VLOOKUP(B340,'Baremos actuales'!A:B,2,FALSE),
IFERROR(VLOOKUP(B340,'Baremos anteriores'!A:B,2,FALSE),
""))))</f>
        <v/>
      </c>
      <c r="E340" s="9"/>
      <c r="F340" s="89" t="str">
        <f>IF(D340="MATE",
IF(E340="","¿Unidades?",""),
IF(D340="",IF(E340="","","¿Código?"),
IF(E340="","¿Unidades?",
IF(D340="TARE",
IF(M340=$H$3,IFERROR(VLOOKUP(B340,'Baremos actuales'!A:C,3,FALSE),0),
IF(M340=$H$4,IFERROR(VLOOKUP(B340,'Baremos anteriores'!A:C,3,FALSE),0),0))))))</f>
        <v/>
      </c>
      <c r="G340" s="7"/>
      <c r="H340" s="8"/>
      <c r="I340" s="8"/>
      <c r="J340" s="78" t="str">
        <f>IF($D340="","",
IF($E340="","",
IF($D340="MATE","",
IF(VLOOKUP($B340,'Baremos actuales'!A:D,4,FALSE)=J$9,$E340*$F340,IF(VLOOKUP($B340,'Baremos anteriores'!A:D,4,FALSE)="Sin Definir",$E340*$F340,"")))))</f>
        <v/>
      </c>
      <c r="K340" s="79" t="str">
        <f>IF($D340="","",
IF($E340="","",
IF($D340="MATE","",
IF(VLOOKUP($B340,'Baremos actuales'!$A:$D,4,FALSE)=K$9,$E340*$F340,IF(VLOOKUP($B340,'Baremos anteriores'!$A:$D,4,FALSE)="Desmonte",$E340*$F340,"")))))</f>
        <v/>
      </c>
      <c r="L340" s="80" t="str">
        <f>IF($D340="","",
IF($E340="","",
IF($D340="MATE","",
IF(VLOOKUP($B340,'Baremos actuales'!$A:$D,4,FALSE)=L$9,$E340*$F340,""))))</f>
        <v/>
      </c>
      <c r="M340" s="91" t="str">
        <f t="shared" si="5"/>
        <v/>
      </c>
      <c r="N340" s="96"/>
      <c r="O340" s="95"/>
      <c r="P340" s="96"/>
      <c r="Q340" s="98"/>
    </row>
    <row r="341" spans="1:17" ht="15.75" x14ac:dyDescent="0.2">
      <c r="A341" s="17"/>
      <c r="B341" s="18"/>
      <c r="C341" s="87" t="str">
        <f>IF(B341="","",
IF(M341=$H$5,IFERROR(VLOOKUP(B341,'Baremos actuales'!A:E,5,FALSE),"No encontrado. Revisar código, fecha ejecución y/o contrato."),
IF(M341=$H$4,IFERROR(VLOOKUP(B341,'Baremos anteriores'!A:E,5,FALSE),"No encontrado. Revisar código, fecha ejecución y/o contrato."),
IF(M341=$H$3,IFERROR(VLOOKUP(B341,#REF!,5,FALSE),"No encontrado. Revisar código, fecha ejecución y/o contrato."),
IF(D341="","Código no encontrado",
IF(D341="ERROR","No encontrado. Revisar Código, fecha de ejecución y/o contrato.",
IF(D341="MATE",
IF(C340="DESCRIPCION","NO SE PUEDE COMENZAR SIN CÓDIGO DE TAREA",
IF(C340="","FALTA CÓDIGO DE TAREA",
CONCATENATE("          ",VLOOKUP(B341,'Maestro Materiales'!A:C,3,FALSE)))),IFERROR(VLOOKUP(B341,#REF!,5,FALSE),"No encontrado. Revisar código, fecha ejecución y/o contrato."))))))))</f>
        <v/>
      </c>
      <c r="D341" s="88" t="str">
        <f>IF(B341="","",
IFERROR(VLOOKUP(B341,'Maestro Materiales'!A:C,2,FALSE),
IFERROR(VLOOKUP(B341,'Baremos actuales'!A:B,2,FALSE),
IFERROR(VLOOKUP(B341,'Baremos anteriores'!A:B,2,FALSE),
""))))</f>
        <v/>
      </c>
      <c r="E341" s="9"/>
      <c r="F341" s="89" t="str">
        <f>IF(D341="MATE",
IF(E341="","¿Unidades?",""),
IF(D341="",IF(E341="","","¿Código?"),
IF(E341="","¿Unidades?",
IF(D341="TARE",
IF(M341=$H$3,IFERROR(VLOOKUP(B341,'Baremos actuales'!A:C,3,FALSE),0),
IF(M341=$H$4,IFERROR(VLOOKUP(B341,'Baremos anteriores'!A:C,3,FALSE),0),0))))))</f>
        <v/>
      </c>
      <c r="G341" s="7"/>
      <c r="H341" s="8"/>
      <c r="I341" s="8"/>
      <c r="J341" s="78" t="str">
        <f>IF($D341="","",
IF($E341="","",
IF($D341="MATE","",
IF(VLOOKUP($B341,'Baremos actuales'!A:D,4,FALSE)=J$9,$E341*$F341,IF(VLOOKUP($B341,'Baremos anteriores'!A:D,4,FALSE)="Sin Definir",$E341*$F341,"")))))</f>
        <v/>
      </c>
      <c r="K341" s="79" t="str">
        <f>IF($D341="","",
IF($E341="","",
IF($D341="MATE","",
IF(VLOOKUP($B341,'Baremos actuales'!$A:$D,4,FALSE)=K$9,$E341*$F341,IF(VLOOKUP($B341,'Baremos anteriores'!$A:$D,4,FALSE)="Desmonte",$E341*$F341,"")))))</f>
        <v/>
      </c>
      <c r="L341" s="80" t="str">
        <f>IF($D341="","",
IF($E341="","",
IF($D341="MATE","",
IF(VLOOKUP($B341,'Baremos actuales'!$A:$D,4,FALSE)=L$9,$E341*$F341,""))))</f>
        <v/>
      </c>
      <c r="M341" s="91" t="str">
        <f t="shared" si="5"/>
        <v/>
      </c>
      <c r="N341" s="96"/>
      <c r="O341" s="95"/>
      <c r="P341" s="96"/>
      <c r="Q341" s="98"/>
    </row>
    <row r="342" spans="1:17" ht="15.75" x14ac:dyDescent="0.2">
      <c r="A342" s="17"/>
      <c r="B342" s="18"/>
      <c r="C342" s="87" t="str">
        <f>IF(B342="","",
IF(M342=$H$5,IFERROR(VLOOKUP(B342,'Baremos actuales'!A:E,5,FALSE),"No encontrado. Revisar código, fecha ejecución y/o contrato."),
IF(M342=$H$4,IFERROR(VLOOKUP(B342,'Baremos anteriores'!A:E,5,FALSE),"No encontrado. Revisar código, fecha ejecución y/o contrato."),
IF(M342=$H$3,IFERROR(VLOOKUP(B342,#REF!,5,FALSE),"No encontrado. Revisar código, fecha ejecución y/o contrato."),
IF(D342="","Código no encontrado",
IF(D342="ERROR","No encontrado. Revisar Código, fecha de ejecución y/o contrato.",
IF(D342="MATE",
IF(C341="DESCRIPCION","NO SE PUEDE COMENZAR SIN CÓDIGO DE TAREA",
IF(C341="","FALTA CÓDIGO DE TAREA",
CONCATENATE("          ",VLOOKUP(B342,'Maestro Materiales'!A:C,3,FALSE)))),IFERROR(VLOOKUP(B342,#REF!,5,FALSE),"No encontrado. Revisar código, fecha ejecución y/o contrato."))))))))</f>
        <v/>
      </c>
      <c r="D342" s="88" t="str">
        <f>IF(B342="","",
IFERROR(VLOOKUP(B342,'Maestro Materiales'!A:C,2,FALSE),
IFERROR(VLOOKUP(B342,'Baremos actuales'!A:B,2,FALSE),
IFERROR(VLOOKUP(B342,'Baremos anteriores'!A:B,2,FALSE),
""))))</f>
        <v/>
      </c>
      <c r="E342" s="9"/>
      <c r="F342" s="89" t="str">
        <f>IF(D342="MATE",
IF(E342="","¿Unidades?",""),
IF(D342="",IF(E342="","","¿Código?"),
IF(E342="","¿Unidades?",
IF(D342="TARE",
IF(M342=$H$3,IFERROR(VLOOKUP(B342,'Baremos actuales'!A:C,3,FALSE),0),
IF(M342=$H$4,IFERROR(VLOOKUP(B342,'Baremos anteriores'!A:C,3,FALSE),0),0))))))</f>
        <v/>
      </c>
      <c r="G342" s="7"/>
      <c r="H342" s="8"/>
      <c r="I342" s="8"/>
      <c r="J342" s="78" t="str">
        <f>IF($D342="","",
IF($E342="","",
IF($D342="MATE","",
IF(VLOOKUP($B342,'Baremos actuales'!A:D,4,FALSE)=J$9,$E342*$F342,IF(VLOOKUP($B342,'Baremos anteriores'!A:D,4,FALSE)="Sin Definir",$E342*$F342,"")))))</f>
        <v/>
      </c>
      <c r="K342" s="79" t="str">
        <f>IF($D342="","",
IF($E342="","",
IF($D342="MATE","",
IF(VLOOKUP($B342,'Baremos actuales'!$A:$D,4,FALSE)=K$9,$E342*$F342,IF(VLOOKUP($B342,'Baremos anteriores'!$A:$D,4,FALSE)="Desmonte",$E342*$F342,"")))))</f>
        <v/>
      </c>
      <c r="L342" s="80" t="str">
        <f>IF($D342="","",
IF($E342="","",
IF($D342="MATE","",
IF(VLOOKUP($B342,'Baremos actuales'!$A:$D,4,FALSE)=L$9,$E342*$F342,""))))</f>
        <v/>
      </c>
      <c r="M342" s="91" t="str">
        <f t="shared" si="5"/>
        <v/>
      </c>
      <c r="N342" s="96"/>
      <c r="O342" s="95"/>
      <c r="P342" s="96"/>
      <c r="Q342" s="98"/>
    </row>
    <row r="343" spans="1:17" ht="15.75" x14ac:dyDescent="0.2">
      <c r="A343" s="17"/>
      <c r="B343" s="18"/>
      <c r="C343" s="87" t="str">
        <f>IF(B343="","",
IF(M343=$H$5,IFERROR(VLOOKUP(B343,'Baremos actuales'!A:E,5,FALSE),"No encontrado. Revisar código, fecha ejecución y/o contrato."),
IF(M343=$H$4,IFERROR(VLOOKUP(B343,'Baremos anteriores'!A:E,5,FALSE),"No encontrado. Revisar código, fecha ejecución y/o contrato."),
IF(M343=$H$3,IFERROR(VLOOKUP(B343,#REF!,5,FALSE),"No encontrado. Revisar código, fecha ejecución y/o contrato."),
IF(D343="","Código no encontrado",
IF(D343="ERROR","No encontrado. Revisar Código, fecha de ejecución y/o contrato.",
IF(D343="MATE",
IF(C342="DESCRIPCION","NO SE PUEDE COMENZAR SIN CÓDIGO DE TAREA",
IF(C342="","FALTA CÓDIGO DE TAREA",
CONCATENATE("          ",VLOOKUP(B343,'Maestro Materiales'!A:C,3,FALSE)))),IFERROR(VLOOKUP(B343,#REF!,5,FALSE),"No encontrado. Revisar código, fecha ejecución y/o contrato."))))))))</f>
        <v/>
      </c>
      <c r="D343" s="88" t="str">
        <f>IF(B343="","",
IFERROR(VLOOKUP(B343,'Maestro Materiales'!A:C,2,FALSE),
IFERROR(VLOOKUP(B343,'Baremos actuales'!A:B,2,FALSE),
IFERROR(VLOOKUP(B343,'Baremos anteriores'!A:B,2,FALSE),
""))))</f>
        <v/>
      </c>
      <c r="E343" s="9"/>
      <c r="F343" s="89" t="str">
        <f>IF(D343="MATE",
IF(E343="","¿Unidades?",""),
IF(D343="",IF(E343="","","¿Código?"),
IF(E343="","¿Unidades?",
IF(D343="TARE",
IF(M343=$H$3,IFERROR(VLOOKUP(B343,'Baremos actuales'!A:C,3,FALSE),0),
IF(M343=$H$4,IFERROR(VLOOKUP(B343,'Baremos anteriores'!A:C,3,FALSE),0),0))))))</f>
        <v/>
      </c>
      <c r="G343" s="7"/>
      <c r="H343" s="8"/>
      <c r="I343" s="8"/>
      <c r="J343" s="78" t="str">
        <f>IF($D343="","",
IF($E343="","",
IF($D343="MATE","",
IF(VLOOKUP($B343,'Baremos actuales'!A:D,4,FALSE)=J$9,$E343*$F343,IF(VLOOKUP($B343,'Baremos anteriores'!A:D,4,FALSE)="Sin Definir",$E343*$F343,"")))))</f>
        <v/>
      </c>
      <c r="K343" s="79" t="str">
        <f>IF($D343="","",
IF($E343="","",
IF($D343="MATE","",
IF(VLOOKUP($B343,'Baremos actuales'!$A:$D,4,FALSE)=K$9,$E343*$F343,IF(VLOOKUP($B343,'Baremos anteriores'!$A:$D,4,FALSE)="Desmonte",$E343*$F343,"")))))</f>
        <v/>
      </c>
      <c r="L343" s="80" t="str">
        <f>IF($D343="","",
IF($E343="","",
IF($D343="MATE","",
IF(VLOOKUP($B343,'Baremos actuales'!$A:$D,4,FALSE)=L$9,$E343*$F343,""))))</f>
        <v/>
      </c>
      <c r="M343" s="91" t="str">
        <f t="shared" si="5"/>
        <v/>
      </c>
      <c r="N343" s="96"/>
      <c r="O343" s="95"/>
      <c r="P343" s="96"/>
      <c r="Q343" s="98"/>
    </row>
    <row r="344" spans="1:17" ht="15.75" x14ac:dyDescent="0.2">
      <c r="A344" s="17"/>
      <c r="B344" s="18"/>
      <c r="C344" s="87" t="str">
        <f>IF(B344="","",
IF(M344=$H$5,IFERROR(VLOOKUP(B344,'Baremos actuales'!A:E,5,FALSE),"No encontrado. Revisar código, fecha ejecución y/o contrato."),
IF(M344=$H$4,IFERROR(VLOOKUP(B344,'Baremos anteriores'!A:E,5,FALSE),"No encontrado. Revisar código, fecha ejecución y/o contrato."),
IF(M344=$H$3,IFERROR(VLOOKUP(B344,#REF!,5,FALSE),"No encontrado. Revisar código, fecha ejecución y/o contrato."),
IF(D344="","Código no encontrado",
IF(D344="ERROR","No encontrado. Revisar Código, fecha de ejecución y/o contrato.",
IF(D344="MATE",
IF(C343="DESCRIPCION","NO SE PUEDE COMENZAR SIN CÓDIGO DE TAREA",
IF(C343="","FALTA CÓDIGO DE TAREA",
CONCATENATE("          ",VLOOKUP(B344,'Maestro Materiales'!A:C,3,FALSE)))),IFERROR(VLOOKUP(B344,#REF!,5,FALSE),"No encontrado. Revisar código, fecha ejecución y/o contrato."))))))))</f>
        <v/>
      </c>
      <c r="D344" s="88" t="str">
        <f>IF(B344="","",
IFERROR(VLOOKUP(B344,'Maestro Materiales'!A:C,2,FALSE),
IFERROR(VLOOKUP(B344,'Baremos actuales'!A:B,2,FALSE),
IFERROR(VLOOKUP(B344,'Baremos anteriores'!A:B,2,FALSE),
""))))</f>
        <v/>
      </c>
      <c r="E344" s="9"/>
      <c r="F344" s="89" t="str">
        <f>IF(D344="MATE",
IF(E344="","¿Unidades?",""),
IF(D344="",IF(E344="","","¿Código?"),
IF(E344="","¿Unidades?",
IF(D344="TARE",
IF(M344=$H$3,IFERROR(VLOOKUP(B344,'Baremos actuales'!A:C,3,FALSE),0),
IF(M344=$H$4,IFERROR(VLOOKUP(B344,'Baremos anteriores'!A:C,3,FALSE),0),0))))))</f>
        <v/>
      </c>
      <c r="G344" s="7"/>
      <c r="H344" s="8"/>
      <c r="I344" s="8"/>
      <c r="J344" s="78" t="str">
        <f>IF($D344="","",
IF($E344="","",
IF($D344="MATE","",
IF(VLOOKUP($B344,'Baremos actuales'!A:D,4,FALSE)=J$9,$E344*$F344,IF(VLOOKUP($B344,'Baremos anteriores'!A:D,4,FALSE)="Sin Definir",$E344*$F344,"")))))</f>
        <v/>
      </c>
      <c r="K344" s="79" t="str">
        <f>IF($D344="","",
IF($E344="","",
IF($D344="MATE","",
IF(VLOOKUP($B344,'Baremos actuales'!$A:$D,4,FALSE)=K$9,$E344*$F344,IF(VLOOKUP($B344,'Baremos anteriores'!$A:$D,4,FALSE)="Desmonte",$E344*$F344,"")))))</f>
        <v/>
      </c>
      <c r="L344" s="80" t="str">
        <f>IF($D344="","",
IF($E344="","",
IF($D344="MATE","",
IF(VLOOKUP($B344,'Baremos actuales'!$A:$D,4,FALSE)=L$9,$E344*$F344,""))))</f>
        <v/>
      </c>
      <c r="M344" s="91" t="str">
        <f t="shared" si="5"/>
        <v/>
      </c>
      <c r="N344" s="96"/>
      <c r="O344" s="95"/>
      <c r="P344" s="96"/>
      <c r="Q344" s="98"/>
    </row>
    <row r="345" spans="1:17" ht="15.75" x14ac:dyDescent="0.2">
      <c r="A345" s="17"/>
      <c r="B345" s="18"/>
      <c r="C345" s="87" t="str">
        <f>IF(B345="","",
IF(M345=$H$5,IFERROR(VLOOKUP(B345,'Baremos actuales'!A:E,5,FALSE),"No encontrado. Revisar código, fecha ejecución y/o contrato."),
IF(M345=$H$4,IFERROR(VLOOKUP(B345,'Baremos anteriores'!A:E,5,FALSE),"No encontrado. Revisar código, fecha ejecución y/o contrato."),
IF(M345=$H$3,IFERROR(VLOOKUP(B345,#REF!,5,FALSE),"No encontrado. Revisar código, fecha ejecución y/o contrato."),
IF(D345="","Código no encontrado",
IF(D345="ERROR","No encontrado. Revisar Código, fecha de ejecución y/o contrato.",
IF(D345="MATE",
IF(C344="DESCRIPCION","NO SE PUEDE COMENZAR SIN CÓDIGO DE TAREA",
IF(C344="","FALTA CÓDIGO DE TAREA",
CONCATENATE("          ",VLOOKUP(B345,'Maestro Materiales'!A:C,3,FALSE)))),IFERROR(VLOOKUP(B345,#REF!,5,FALSE),"No encontrado. Revisar código, fecha ejecución y/o contrato."))))))))</f>
        <v/>
      </c>
      <c r="D345" s="88" t="str">
        <f>IF(B345="","",
IFERROR(VLOOKUP(B345,'Maestro Materiales'!A:C,2,FALSE),
IFERROR(VLOOKUP(B345,'Baremos actuales'!A:B,2,FALSE),
IFERROR(VLOOKUP(B345,'Baremos anteriores'!A:B,2,FALSE),
""))))</f>
        <v/>
      </c>
      <c r="E345" s="9"/>
      <c r="F345" s="89" t="str">
        <f>IF(D345="MATE",
IF(E345="","¿Unidades?",""),
IF(D345="",IF(E345="","","¿Código?"),
IF(E345="","¿Unidades?",
IF(D345="TARE",
IF(M345=$H$3,IFERROR(VLOOKUP(B345,'Baremos actuales'!A:C,3,FALSE),0),
IF(M345=$H$4,IFERROR(VLOOKUP(B345,'Baremos anteriores'!A:C,3,FALSE),0),0))))))</f>
        <v/>
      </c>
      <c r="G345" s="7"/>
      <c r="H345" s="8"/>
      <c r="I345" s="8"/>
      <c r="J345" s="78" t="str">
        <f>IF($D345="","",
IF($E345="","",
IF($D345="MATE","",
IF(VLOOKUP($B345,'Baremos actuales'!A:D,4,FALSE)=J$9,$E345*$F345,IF(VLOOKUP($B345,'Baremos anteriores'!A:D,4,FALSE)="Sin Definir",$E345*$F345,"")))))</f>
        <v/>
      </c>
      <c r="K345" s="79" t="str">
        <f>IF($D345="","",
IF($E345="","",
IF($D345="MATE","",
IF(VLOOKUP($B345,'Baremos actuales'!$A:$D,4,FALSE)=K$9,$E345*$F345,IF(VLOOKUP($B345,'Baremos anteriores'!$A:$D,4,FALSE)="Desmonte",$E345*$F345,"")))))</f>
        <v/>
      </c>
      <c r="L345" s="80" t="str">
        <f>IF($D345="","",
IF($E345="","",
IF($D345="MATE","",
IF(VLOOKUP($B345,'Baremos actuales'!$A:$D,4,FALSE)=L$9,$E345*$F345,""))))</f>
        <v/>
      </c>
      <c r="M345" s="91" t="str">
        <f t="shared" si="5"/>
        <v/>
      </c>
      <c r="N345" s="96"/>
      <c r="O345" s="95"/>
      <c r="P345" s="96"/>
      <c r="Q345" s="98"/>
    </row>
    <row r="346" spans="1:17" ht="15.75" x14ac:dyDescent="0.2">
      <c r="A346" s="17"/>
      <c r="B346" s="18"/>
      <c r="C346" s="87" t="str">
        <f>IF(B346="","",
IF(M346=$H$5,IFERROR(VLOOKUP(B346,'Baremos actuales'!A:E,5,FALSE),"No encontrado. Revisar código, fecha ejecución y/o contrato."),
IF(M346=$H$4,IFERROR(VLOOKUP(B346,'Baremos anteriores'!A:E,5,FALSE),"No encontrado. Revisar código, fecha ejecución y/o contrato."),
IF(M346=$H$3,IFERROR(VLOOKUP(B346,#REF!,5,FALSE),"No encontrado. Revisar código, fecha ejecución y/o contrato."),
IF(D346="","Código no encontrado",
IF(D346="ERROR","No encontrado. Revisar Código, fecha de ejecución y/o contrato.",
IF(D346="MATE",
IF(C345="DESCRIPCION","NO SE PUEDE COMENZAR SIN CÓDIGO DE TAREA",
IF(C345="","FALTA CÓDIGO DE TAREA",
CONCATENATE("          ",VLOOKUP(B346,'Maestro Materiales'!A:C,3,FALSE)))),IFERROR(VLOOKUP(B346,#REF!,5,FALSE),"No encontrado. Revisar código, fecha ejecución y/o contrato."))))))))</f>
        <v/>
      </c>
      <c r="D346" s="88" t="str">
        <f>IF(B346="","",
IFERROR(VLOOKUP(B346,'Maestro Materiales'!A:C,2,FALSE),
IFERROR(VLOOKUP(B346,'Baremos actuales'!A:B,2,FALSE),
IFERROR(VLOOKUP(B346,'Baremos anteriores'!A:B,2,FALSE),
""))))</f>
        <v/>
      </c>
      <c r="E346" s="9"/>
      <c r="F346" s="89" t="str">
        <f>IF(D346="MATE",
IF(E346="","¿Unidades?",""),
IF(D346="",IF(E346="","","¿Código?"),
IF(E346="","¿Unidades?",
IF(D346="TARE",
IF(M346=$H$3,IFERROR(VLOOKUP(B346,'Baremos actuales'!A:C,3,FALSE),0),
IF(M346=$H$4,IFERROR(VLOOKUP(B346,'Baremos anteriores'!A:C,3,FALSE),0),0))))))</f>
        <v/>
      </c>
      <c r="G346" s="7"/>
      <c r="H346" s="8"/>
      <c r="I346" s="8"/>
      <c r="J346" s="78" t="str">
        <f>IF($D346="","",
IF($E346="","",
IF($D346="MATE","",
IF(VLOOKUP($B346,'Baremos actuales'!A:D,4,FALSE)=J$9,$E346*$F346,IF(VLOOKUP($B346,'Baremos anteriores'!A:D,4,FALSE)="Sin Definir",$E346*$F346,"")))))</f>
        <v/>
      </c>
      <c r="K346" s="79" t="str">
        <f>IF($D346="","",
IF($E346="","",
IF($D346="MATE","",
IF(VLOOKUP($B346,'Baremos actuales'!$A:$D,4,FALSE)=K$9,$E346*$F346,IF(VLOOKUP($B346,'Baremos anteriores'!$A:$D,4,FALSE)="Desmonte",$E346*$F346,"")))))</f>
        <v/>
      </c>
      <c r="L346" s="80" t="str">
        <f>IF($D346="","",
IF($E346="","",
IF($D346="MATE","",
IF(VLOOKUP($B346,'Baremos actuales'!$A:$D,4,FALSE)=L$9,$E346*$F346,""))))</f>
        <v/>
      </c>
      <c r="M346" s="91" t="str">
        <f t="shared" si="5"/>
        <v/>
      </c>
      <c r="N346" s="96"/>
      <c r="O346" s="95"/>
      <c r="P346" s="96"/>
      <c r="Q346" s="98"/>
    </row>
    <row r="347" spans="1:17" ht="15.75" x14ac:dyDescent="0.2">
      <c r="A347" s="17"/>
      <c r="B347" s="18"/>
      <c r="C347" s="87" t="str">
        <f>IF(B347="","",
IF(M347=$H$5,IFERROR(VLOOKUP(B347,'Baremos actuales'!A:E,5,FALSE),"No encontrado. Revisar código, fecha ejecución y/o contrato."),
IF(M347=$H$4,IFERROR(VLOOKUP(B347,'Baremos anteriores'!A:E,5,FALSE),"No encontrado. Revisar código, fecha ejecución y/o contrato."),
IF(M347=$H$3,IFERROR(VLOOKUP(B347,#REF!,5,FALSE),"No encontrado. Revisar código, fecha ejecución y/o contrato."),
IF(D347="","Código no encontrado",
IF(D347="ERROR","No encontrado. Revisar Código, fecha de ejecución y/o contrato.",
IF(D347="MATE",
IF(C346="DESCRIPCION","NO SE PUEDE COMENZAR SIN CÓDIGO DE TAREA",
IF(C346="","FALTA CÓDIGO DE TAREA",
CONCATENATE("          ",VLOOKUP(B347,'Maestro Materiales'!A:C,3,FALSE)))),IFERROR(VLOOKUP(B347,#REF!,5,FALSE),"No encontrado. Revisar código, fecha ejecución y/o contrato."))))))))</f>
        <v/>
      </c>
      <c r="D347" s="88" t="str">
        <f>IF(B347="","",
IFERROR(VLOOKUP(B347,'Maestro Materiales'!A:C,2,FALSE),
IFERROR(VLOOKUP(B347,'Baremos actuales'!A:B,2,FALSE),
IFERROR(VLOOKUP(B347,'Baremos anteriores'!A:B,2,FALSE),
""))))</f>
        <v/>
      </c>
      <c r="E347" s="9"/>
      <c r="F347" s="89" t="str">
        <f>IF(D347="MATE",
IF(E347="","¿Unidades?",""),
IF(D347="",IF(E347="","","¿Código?"),
IF(E347="","¿Unidades?",
IF(D347="TARE",
IF(M347=$H$3,IFERROR(VLOOKUP(B347,'Baremos actuales'!A:C,3,FALSE),0),
IF(M347=$H$4,IFERROR(VLOOKUP(B347,'Baremos anteriores'!A:C,3,FALSE),0),0))))))</f>
        <v/>
      </c>
      <c r="G347" s="7"/>
      <c r="H347" s="8"/>
      <c r="I347" s="8"/>
      <c r="J347" s="78" t="str">
        <f>IF($D347="","",
IF($E347="","",
IF($D347="MATE","",
IF(VLOOKUP($B347,'Baremos actuales'!A:D,4,FALSE)=J$9,$E347*$F347,IF(VLOOKUP($B347,'Baremos anteriores'!A:D,4,FALSE)="Sin Definir",$E347*$F347,"")))))</f>
        <v/>
      </c>
      <c r="K347" s="79" t="str">
        <f>IF($D347="","",
IF($E347="","",
IF($D347="MATE","",
IF(VLOOKUP($B347,'Baremos actuales'!$A:$D,4,FALSE)=K$9,$E347*$F347,IF(VLOOKUP($B347,'Baremos anteriores'!$A:$D,4,FALSE)="Desmonte",$E347*$F347,"")))))</f>
        <v/>
      </c>
      <c r="L347" s="80" t="str">
        <f>IF($D347="","",
IF($E347="","",
IF($D347="MATE","",
IF(VLOOKUP($B347,'Baremos actuales'!$A:$D,4,FALSE)=L$9,$E347*$F347,""))))</f>
        <v/>
      </c>
      <c r="M347" s="91" t="str">
        <f t="shared" si="5"/>
        <v/>
      </c>
      <c r="N347" s="96"/>
      <c r="O347" s="95"/>
      <c r="P347" s="96"/>
      <c r="Q347" s="98"/>
    </row>
    <row r="348" spans="1:17" ht="15.75" x14ac:dyDescent="0.2">
      <c r="A348" s="17"/>
      <c r="B348" s="18"/>
      <c r="C348" s="87" t="str">
        <f>IF(B348="","",
IF(M348=$H$5,IFERROR(VLOOKUP(B348,'Baremos actuales'!A:E,5,FALSE),"No encontrado. Revisar código, fecha ejecución y/o contrato."),
IF(M348=$H$4,IFERROR(VLOOKUP(B348,'Baremos anteriores'!A:E,5,FALSE),"No encontrado. Revisar código, fecha ejecución y/o contrato."),
IF(M348=$H$3,IFERROR(VLOOKUP(B348,#REF!,5,FALSE),"No encontrado. Revisar código, fecha ejecución y/o contrato."),
IF(D348="","Código no encontrado",
IF(D348="ERROR","No encontrado. Revisar Código, fecha de ejecución y/o contrato.",
IF(D348="MATE",
IF(C347="DESCRIPCION","NO SE PUEDE COMENZAR SIN CÓDIGO DE TAREA",
IF(C347="","FALTA CÓDIGO DE TAREA",
CONCATENATE("          ",VLOOKUP(B348,'Maestro Materiales'!A:C,3,FALSE)))),IFERROR(VLOOKUP(B348,#REF!,5,FALSE),"No encontrado. Revisar código, fecha ejecución y/o contrato."))))))))</f>
        <v/>
      </c>
      <c r="D348" s="88" t="str">
        <f>IF(B348="","",
IFERROR(VLOOKUP(B348,'Maestro Materiales'!A:C,2,FALSE),
IFERROR(VLOOKUP(B348,'Baremos actuales'!A:B,2,FALSE),
IFERROR(VLOOKUP(B348,'Baremos anteriores'!A:B,2,FALSE),
""))))</f>
        <v/>
      </c>
      <c r="E348" s="9"/>
      <c r="F348" s="89" t="str">
        <f>IF(D348="MATE",
IF(E348="","¿Unidades?",""),
IF(D348="",IF(E348="","","¿Código?"),
IF(E348="","¿Unidades?",
IF(D348="TARE",
IF(M348=$H$3,IFERROR(VLOOKUP(B348,'Baremos actuales'!A:C,3,FALSE),0),
IF(M348=$H$4,IFERROR(VLOOKUP(B348,'Baremos anteriores'!A:C,3,FALSE),0),0))))))</f>
        <v/>
      </c>
      <c r="G348" s="7"/>
      <c r="H348" s="8"/>
      <c r="I348" s="8"/>
      <c r="J348" s="78" t="str">
        <f>IF($D348="","",
IF($E348="","",
IF($D348="MATE","",
IF(VLOOKUP($B348,'Baremos actuales'!A:D,4,FALSE)=J$9,$E348*$F348,IF(VLOOKUP($B348,'Baremos anteriores'!A:D,4,FALSE)="Sin Definir",$E348*$F348,"")))))</f>
        <v/>
      </c>
      <c r="K348" s="79" t="str">
        <f>IF($D348="","",
IF($E348="","",
IF($D348="MATE","",
IF(VLOOKUP($B348,'Baremos actuales'!$A:$D,4,FALSE)=K$9,$E348*$F348,IF(VLOOKUP($B348,'Baremos anteriores'!$A:$D,4,FALSE)="Desmonte",$E348*$F348,"")))))</f>
        <v/>
      </c>
      <c r="L348" s="80" t="str">
        <f>IF($D348="","",
IF($E348="","",
IF($D348="MATE","",
IF(VLOOKUP($B348,'Baremos actuales'!$A:$D,4,FALSE)=L$9,$E348*$F348,""))))</f>
        <v/>
      </c>
      <c r="M348" s="91" t="str">
        <f t="shared" si="5"/>
        <v/>
      </c>
      <c r="N348" s="96"/>
      <c r="O348" s="95"/>
      <c r="P348" s="96"/>
      <c r="Q348" s="98"/>
    </row>
    <row r="349" spans="1:17" ht="15.75" x14ac:dyDescent="0.2">
      <c r="A349" s="17"/>
      <c r="B349" s="18"/>
      <c r="C349" s="87" t="str">
        <f>IF(B349="","",
IF(M349=$H$5,IFERROR(VLOOKUP(B349,'Baremos actuales'!A:E,5,FALSE),"No encontrado. Revisar código, fecha ejecución y/o contrato."),
IF(M349=$H$4,IFERROR(VLOOKUP(B349,'Baremos anteriores'!A:E,5,FALSE),"No encontrado. Revisar código, fecha ejecución y/o contrato."),
IF(M349=$H$3,IFERROR(VLOOKUP(B349,#REF!,5,FALSE),"No encontrado. Revisar código, fecha ejecución y/o contrato."),
IF(D349="","Código no encontrado",
IF(D349="ERROR","No encontrado. Revisar Código, fecha de ejecución y/o contrato.",
IF(D349="MATE",
IF(C348="DESCRIPCION","NO SE PUEDE COMENZAR SIN CÓDIGO DE TAREA",
IF(C348="","FALTA CÓDIGO DE TAREA",
CONCATENATE("          ",VLOOKUP(B349,'Maestro Materiales'!A:C,3,FALSE)))),IFERROR(VLOOKUP(B349,#REF!,5,FALSE),"No encontrado. Revisar código, fecha ejecución y/o contrato."))))))))</f>
        <v/>
      </c>
      <c r="D349" s="88" t="str">
        <f>IF(B349="","",
IFERROR(VLOOKUP(B349,'Maestro Materiales'!A:C,2,FALSE),
IFERROR(VLOOKUP(B349,'Baremos actuales'!A:B,2,FALSE),
IFERROR(VLOOKUP(B349,'Baremos anteriores'!A:B,2,FALSE),
""))))</f>
        <v/>
      </c>
      <c r="E349" s="9"/>
      <c r="F349" s="89" t="str">
        <f>IF(D349="MATE",
IF(E349="","¿Unidades?",""),
IF(D349="",IF(E349="","","¿Código?"),
IF(E349="","¿Unidades?",
IF(D349="TARE",
IF(M349=$H$3,IFERROR(VLOOKUP(B349,'Baremos actuales'!A:C,3,FALSE),0),
IF(M349=$H$4,IFERROR(VLOOKUP(B349,'Baremos anteriores'!A:C,3,FALSE),0),0))))))</f>
        <v/>
      </c>
      <c r="G349" s="7"/>
      <c r="H349" s="8"/>
      <c r="I349" s="8"/>
      <c r="J349" s="78" t="str">
        <f>IF($D349="","",
IF($E349="","",
IF($D349="MATE","",
IF(VLOOKUP($B349,'Baremos actuales'!A:D,4,FALSE)=J$9,$E349*$F349,IF(VLOOKUP($B349,'Baremos anteriores'!A:D,4,FALSE)="Sin Definir",$E349*$F349,"")))))</f>
        <v/>
      </c>
      <c r="K349" s="79" t="str">
        <f>IF($D349="","",
IF($E349="","",
IF($D349="MATE","",
IF(VLOOKUP($B349,'Baremos actuales'!$A:$D,4,FALSE)=K$9,$E349*$F349,IF(VLOOKUP($B349,'Baremos anteriores'!$A:$D,4,FALSE)="Desmonte",$E349*$F349,"")))))</f>
        <v/>
      </c>
      <c r="L349" s="80" t="str">
        <f>IF($D349="","",
IF($E349="","",
IF($D349="MATE","",
IF(VLOOKUP($B349,'Baremos actuales'!$A:$D,4,FALSE)=L$9,$E349*$F349,""))))</f>
        <v/>
      </c>
      <c r="M349" s="91" t="str">
        <f t="shared" si="5"/>
        <v/>
      </c>
      <c r="N349" s="96"/>
      <c r="O349" s="95"/>
      <c r="P349" s="96"/>
      <c r="Q349" s="98"/>
    </row>
    <row r="350" spans="1:17" ht="15.75" x14ac:dyDescent="0.2">
      <c r="A350" s="17"/>
      <c r="B350" s="18"/>
      <c r="C350" s="87" t="str">
        <f>IF(B350="","",
IF(M350=$H$5,IFERROR(VLOOKUP(B350,'Baremos actuales'!A:E,5,FALSE),"No encontrado. Revisar código, fecha ejecución y/o contrato."),
IF(M350=$H$4,IFERROR(VLOOKUP(B350,'Baremos anteriores'!A:E,5,FALSE),"No encontrado. Revisar código, fecha ejecución y/o contrato."),
IF(M350=$H$3,IFERROR(VLOOKUP(B350,#REF!,5,FALSE),"No encontrado. Revisar código, fecha ejecución y/o contrato."),
IF(D350="","Código no encontrado",
IF(D350="ERROR","No encontrado. Revisar Código, fecha de ejecución y/o contrato.",
IF(D350="MATE",
IF(C349="DESCRIPCION","NO SE PUEDE COMENZAR SIN CÓDIGO DE TAREA",
IF(C349="","FALTA CÓDIGO DE TAREA",
CONCATENATE("          ",VLOOKUP(B350,'Maestro Materiales'!A:C,3,FALSE)))),IFERROR(VLOOKUP(B350,#REF!,5,FALSE),"No encontrado. Revisar código, fecha ejecución y/o contrato."))))))))</f>
        <v/>
      </c>
      <c r="D350" s="88" t="str">
        <f>IF(B350="","",
IFERROR(VLOOKUP(B350,'Maestro Materiales'!A:C,2,FALSE),
IFERROR(VLOOKUP(B350,'Baremos actuales'!A:B,2,FALSE),
IFERROR(VLOOKUP(B350,'Baremos anteriores'!A:B,2,FALSE),
""))))</f>
        <v/>
      </c>
      <c r="E350" s="9"/>
      <c r="F350" s="89" t="str">
        <f>IF(D350="MATE",
IF(E350="","¿Unidades?",""),
IF(D350="",IF(E350="","","¿Código?"),
IF(E350="","¿Unidades?",
IF(D350="TARE",
IF(M350=$H$3,IFERROR(VLOOKUP(B350,'Baremos actuales'!A:C,3,FALSE),0),
IF(M350=$H$4,IFERROR(VLOOKUP(B350,'Baremos anteriores'!A:C,3,FALSE),0),0))))))</f>
        <v/>
      </c>
      <c r="G350" s="7"/>
      <c r="H350" s="8"/>
      <c r="I350" s="8"/>
      <c r="J350" s="78" t="str">
        <f>IF($D350="","",
IF($E350="","",
IF($D350="MATE","",
IF(VLOOKUP($B350,'Baremos actuales'!A:D,4,FALSE)=J$9,$E350*$F350,IF(VLOOKUP($B350,'Baremos anteriores'!A:D,4,FALSE)="Sin Definir",$E350*$F350,"")))))</f>
        <v/>
      </c>
      <c r="K350" s="79" t="str">
        <f>IF($D350="","",
IF($E350="","",
IF($D350="MATE","",
IF(VLOOKUP($B350,'Baremos actuales'!$A:$D,4,FALSE)=K$9,$E350*$F350,IF(VLOOKUP($B350,'Baremos anteriores'!$A:$D,4,FALSE)="Desmonte",$E350*$F350,"")))))</f>
        <v/>
      </c>
      <c r="L350" s="80" t="str">
        <f>IF($D350="","",
IF($E350="","",
IF($D350="MATE","",
IF(VLOOKUP($B350,'Baremos actuales'!$A:$D,4,FALSE)=L$9,$E350*$F350,""))))</f>
        <v/>
      </c>
      <c r="M350" s="91" t="str">
        <f t="shared" si="5"/>
        <v/>
      </c>
      <c r="N350" s="96"/>
      <c r="O350" s="95"/>
      <c r="P350" s="96"/>
      <c r="Q350" s="98"/>
    </row>
    <row r="351" spans="1:17" ht="15.75" x14ac:dyDescent="0.2">
      <c r="A351" s="17"/>
      <c r="B351" s="18"/>
      <c r="C351" s="87" t="str">
        <f>IF(B351="","",
IF(M351=$H$5,IFERROR(VLOOKUP(B351,'Baremos actuales'!A:E,5,FALSE),"No encontrado. Revisar código, fecha ejecución y/o contrato."),
IF(M351=$H$4,IFERROR(VLOOKUP(B351,'Baremos anteriores'!A:E,5,FALSE),"No encontrado. Revisar código, fecha ejecución y/o contrato."),
IF(M351=$H$3,IFERROR(VLOOKUP(B351,#REF!,5,FALSE),"No encontrado. Revisar código, fecha ejecución y/o contrato."),
IF(D351="","Código no encontrado",
IF(D351="ERROR","No encontrado. Revisar Código, fecha de ejecución y/o contrato.",
IF(D351="MATE",
IF(C350="DESCRIPCION","NO SE PUEDE COMENZAR SIN CÓDIGO DE TAREA",
IF(C350="","FALTA CÓDIGO DE TAREA",
CONCATENATE("          ",VLOOKUP(B351,'Maestro Materiales'!A:C,3,FALSE)))),IFERROR(VLOOKUP(B351,#REF!,5,FALSE),"No encontrado. Revisar código, fecha ejecución y/o contrato."))))))))</f>
        <v/>
      </c>
      <c r="D351" s="88" t="str">
        <f>IF(B351="","",
IFERROR(VLOOKUP(B351,'Maestro Materiales'!A:C,2,FALSE),
IFERROR(VLOOKUP(B351,'Baremos actuales'!A:B,2,FALSE),
IFERROR(VLOOKUP(B351,'Baremos anteriores'!A:B,2,FALSE),
""))))</f>
        <v/>
      </c>
      <c r="E351" s="9"/>
      <c r="F351" s="89" t="str">
        <f>IF(D351="MATE",
IF(E351="","¿Unidades?",""),
IF(D351="",IF(E351="","","¿Código?"),
IF(E351="","¿Unidades?",
IF(D351="TARE",
IF(M351=$H$3,IFERROR(VLOOKUP(B351,'Baremos actuales'!A:C,3,FALSE),0),
IF(M351=$H$4,IFERROR(VLOOKUP(B351,'Baremos anteriores'!A:C,3,FALSE),0),0))))))</f>
        <v/>
      </c>
      <c r="G351" s="7"/>
      <c r="H351" s="8"/>
      <c r="I351" s="8"/>
      <c r="J351" s="78" t="str">
        <f>IF($D351="","",
IF($E351="","",
IF($D351="MATE","",
IF(VLOOKUP($B351,'Baremos actuales'!A:D,4,FALSE)=J$9,$E351*$F351,IF(VLOOKUP($B351,'Baremos anteriores'!A:D,4,FALSE)="Sin Definir",$E351*$F351,"")))))</f>
        <v/>
      </c>
      <c r="K351" s="79" t="str">
        <f>IF($D351="","",
IF($E351="","",
IF($D351="MATE","",
IF(VLOOKUP($B351,'Baremos actuales'!$A:$D,4,FALSE)=K$9,$E351*$F351,IF(VLOOKUP($B351,'Baremos anteriores'!$A:$D,4,FALSE)="Desmonte",$E351*$F351,"")))))</f>
        <v/>
      </c>
      <c r="L351" s="80" t="str">
        <f>IF($D351="","",
IF($E351="","",
IF($D351="MATE","",
IF(VLOOKUP($B351,'Baremos actuales'!$A:$D,4,FALSE)=L$9,$E351*$F351,""))))</f>
        <v/>
      </c>
      <c r="M351" s="91" t="str">
        <f t="shared" si="5"/>
        <v/>
      </c>
      <c r="N351" s="96"/>
      <c r="O351" s="95"/>
      <c r="P351" s="96"/>
      <c r="Q351" s="98"/>
    </row>
    <row r="352" spans="1:17" ht="15.75" x14ac:dyDescent="0.2">
      <c r="A352" s="17"/>
      <c r="B352" s="18"/>
      <c r="C352" s="87" t="str">
        <f>IF(B352="","",
IF(M352=$H$5,IFERROR(VLOOKUP(B352,'Baremos actuales'!A:E,5,FALSE),"No encontrado. Revisar código, fecha ejecución y/o contrato."),
IF(M352=$H$4,IFERROR(VLOOKUP(B352,'Baremos anteriores'!A:E,5,FALSE),"No encontrado. Revisar código, fecha ejecución y/o contrato."),
IF(M352=$H$3,IFERROR(VLOOKUP(B352,#REF!,5,FALSE),"No encontrado. Revisar código, fecha ejecución y/o contrato."),
IF(D352="","Código no encontrado",
IF(D352="ERROR","No encontrado. Revisar Código, fecha de ejecución y/o contrato.",
IF(D352="MATE",
IF(C351="DESCRIPCION","NO SE PUEDE COMENZAR SIN CÓDIGO DE TAREA",
IF(C351="","FALTA CÓDIGO DE TAREA",
CONCATENATE("          ",VLOOKUP(B352,'Maestro Materiales'!A:C,3,FALSE)))),IFERROR(VLOOKUP(B352,#REF!,5,FALSE),"No encontrado. Revisar código, fecha ejecución y/o contrato."))))))))</f>
        <v/>
      </c>
      <c r="D352" s="88" t="str">
        <f>IF(B352="","",
IFERROR(VLOOKUP(B352,'Maestro Materiales'!A:C,2,FALSE),
IFERROR(VLOOKUP(B352,'Baremos actuales'!A:B,2,FALSE),
IFERROR(VLOOKUP(B352,'Baremos anteriores'!A:B,2,FALSE),
""))))</f>
        <v/>
      </c>
      <c r="E352" s="9"/>
      <c r="F352" s="89" t="str">
        <f>IF(D352="MATE",
IF(E352="","¿Unidades?",""),
IF(D352="",IF(E352="","","¿Código?"),
IF(E352="","¿Unidades?",
IF(D352="TARE",
IF(M352=$H$3,IFERROR(VLOOKUP(B352,'Baremos actuales'!A:C,3,FALSE),0),
IF(M352=$H$4,IFERROR(VLOOKUP(B352,'Baremos anteriores'!A:C,3,FALSE),0),0))))))</f>
        <v/>
      </c>
      <c r="G352" s="7"/>
      <c r="H352" s="8"/>
      <c r="I352" s="8"/>
      <c r="J352" s="78" t="str">
        <f>IF($D352="","",
IF($E352="","",
IF($D352="MATE","",
IF(VLOOKUP($B352,'Baremos actuales'!A:D,4,FALSE)=J$9,$E352*$F352,IF(VLOOKUP($B352,'Baremos anteriores'!A:D,4,FALSE)="Sin Definir",$E352*$F352,"")))))</f>
        <v/>
      </c>
      <c r="K352" s="79" t="str">
        <f>IF($D352="","",
IF($E352="","",
IF($D352="MATE","",
IF(VLOOKUP($B352,'Baremos actuales'!$A:$D,4,FALSE)=K$9,$E352*$F352,IF(VLOOKUP($B352,'Baremos anteriores'!$A:$D,4,FALSE)="Desmonte",$E352*$F352,"")))))</f>
        <v/>
      </c>
      <c r="L352" s="80" t="str">
        <f>IF($D352="","",
IF($E352="","",
IF($D352="MATE","",
IF(VLOOKUP($B352,'Baremos actuales'!$A:$D,4,FALSE)=L$9,$E352*$F352,""))))</f>
        <v/>
      </c>
      <c r="M352" s="91" t="str">
        <f t="shared" si="5"/>
        <v/>
      </c>
      <c r="N352" s="96"/>
      <c r="O352" s="95"/>
      <c r="P352" s="96"/>
      <c r="Q352" s="98"/>
    </row>
    <row r="353" spans="1:17" ht="15.75" x14ac:dyDescent="0.2">
      <c r="A353" s="17"/>
      <c r="B353" s="18"/>
      <c r="C353" s="87" t="str">
        <f>IF(B353="","",
IF(M353=$H$5,IFERROR(VLOOKUP(B353,'Baremos actuales'!A:E,5,FALSE),"No encontrado. Revisar código, fecha ejecución y/o contrato."),
IF(M353=$H$4,IFERROR(VLOOKUP(B353,'Baremos anteriores'!A:E,5,FALSE),"No encontrado. Revisar código, fecha ejecución y/o contrato."),
IF(M353=$H$3,IFERROR(VLOOKUP(B353,#REF!,5,FALSE),"No encontrado. Revisar código, fecha ejecución y/o contrato."),
IF(D353="","Código no encontrado",
IF(D353="ERROR","No encontrado. Revisar Código, fecha de ejecución y/o contrato.",
IF(D353="MATE",
IF(C352="DESCRIPCION","NO SE PUEDE COMENZAR SIN CÓDIGO DE TAREA",
IF(C352="","FALTA CÓDIGO DE TAREA",
CONCATENATE("          ",VLOOKUP(B353,'Maestro Materiales'!A:C,3,FALSE)))),IFERROR(VLOOKUP(B353,#REF!,5,FALSE),"No encontrado. Revisar código, fecha ejecución y/o contrato."))))))))</f>
        <v/>
      </c>
      <c r="D353" s="88" t="str">
        <f>IF(B353="","",
IFERROR(VLOOKUP(B353,'Maestro Materiales'!A:C,2,FALSE),
IFERROR(VLOOKUP(B353,'Baremos actuales'!A:B,2,FALSE),
IFERROR(VLOOKUP(B353,'Baremos anteriores'!A:B,2,FALSE),
""))))</f>
        <v/>
      </c>
      <c r="E353" s="9"/>
      <c r="F353" s="89" t="str">
        <f>IF(D353="MATE",
IF(E353="","¿Unidades?",""),
IF(D353="",IF(E353="","","¿Código?"),
IF(E353="","¿Unidades?",
IF(D353="TARE",
IF(M353=$H$3,IFERROR(VLOOKUP(B353,'Baremos actuales'!A:C,3,FALSE),0),
IF(M353=$H$4,IFERROR(VLOOKUP(B353,'Baremos anteriores'!A:C,3,FALSE),0),0))))))</f>
        <v/>
      </c>
      <c r="G353" s="7"/>
      <c r="H353" s="8"/>
      <c r="I353" s="8"/>
      <c r="J353" s="78" t="str">
        <f>IF($D353="","",
IF($E353="","",
IF($D353="MATE","",
IF(VLOOKUP($B353,'Baremos actuales'!A:D,4,FALSE)=J$9,$E353*$F353,IF(VLOOKUP($B353,'Baremos anteriores'!A:D,4,FALSE)="Sin Definir",$E353*$F353,"")))))</f>
        <v/>
      </c>
      <c r="K353" s="79" t="str">
        <f>IF($D353="","",
IF($E353="","",
IF($D353="MATE","",
IF(VLOOKUP($B353,'Baremos actuales'!$A:$D,4,FALSE)=K$9,$E353*$F353,IF(VLOOKUP($B353,'Baremos anteriores'!$A:$D,4,FALSE)="Desmonte",$E353*$F353,"")))))</f>
        <v/>
      </c>
      <c r="L353" s="80" t="str">
        <f>IF($D353="","",
IF($E353="","",
IF($D353="MATE","",
IF(VLOOKUP($B353,'Baremos actuales'!$A:$D,4,FALSE)=L$9,$E353*$F353,""))))</f>
        <v/>
      </c>
      <c r="M353" s="91" t="str">
        <f t="shared" si="5"/>
        <v/>
      </c>
      <c r="N353" s="96"/>
      <c r="O353" s="95"/>
      <c r="P353" s="96"/>
      <c r="Q353" s="98"/>
    </row>
    <row r="354" spans="1:17" ht="15.75" x14ac:dyDescent="0.2">
      <c r="A354" s="17"/>
      <c r="B354" s="18"/>
      <c r="C354" s="87" t="str">
        <f>IF(B354="","",
IF(M354=$H$5,IFERROR(VLOOKUP(B354,'Baremos actuales'!A:E,5,FALSE),"No encontrado. Revisar código, fecha ejecución y/o contrato."),
IF(M354=$H$4,IFERROR(VLOOKUP(B354,'Baremos anteriores'!A:E,5,FALSE),"No encontrado. Revisar código, fecha ejecución y/o contrato."),
IF(M354=$H$3,IFERROR(VLOOKUP(B354,#REF!,5,FALSE),"No encontrado. Revisar código, fecha ejecución y/o contrato."),
IF(D354="","Código no encontrado",
IF(D354="ERROR","No encontrado. Revisar Código, fecha de ejecución y/o contrato.",
IF(D354="MATE",
IF(C353="DESCRIPCION","NO SE PUEDE COMENZAR SIN CÓDIGO DE TAREA",
IF(C353="","FALTA CÓDIGO DE TAREA",
CONCATENATE("          ",VLOOKUP(B354,'Maestro Materiales'!A:C,3,FALSE)))),IFERROR(VLOOKUP(B354,#REF!,5,FALSE),"No encontrado. Revisar código, fecha ejecución y/o contrato."))))))))</f>
        <v/>
      </c>
      <c r="D354" s="88" t="str">
        <f>IF(B354="","",
IFERROR(VLOOKUP(B354,'Maestro Materiales'!A:C,2,FALSE),
IFERROR(VLOOKUP(B354,'Baremos actuales'!A:B,2,FALSE),
IFERROR(VLOOKUP(B354,'Baremos anteriores'!A:B,2,FALSE),
""))))</f>
        <v/>
      </c>
      <c r="E354" s="9"/>
      <c r="F354" s="89" t="str">
        <f>IF(D354="MATE",
IF(E354="","¿Unidades?",""),
IF(D354="",IF(E354="","","¿Código?"),
IF(E354="","¿Unidades?",
IF(D354="TARE",
IF(M354=$H$3,IFERROR(VLOOKUP(B354,'Baremos actuales'!A:C,3,FALSE),0),
IF(M354=$H$4,IFERROR(VLOOKUP(B354,'Baremos anteriores'!A:C,3,FALSE),0),0))))))</f>
        <v/>
      </c>
      <c r="G354" s="7"/>
      <c r="H354" s="8"/>
      <c r="I354" s="8"/>
      <c r="J354" s="78" t="str">
        <f>IF($D354="","",
IF($E354="","",
IF($D354="MATE","",
IF(VLOOKUP($B354,'Baremos actuales'!A:D,4,FALSE)=J$9,$E354*$F354,IF(VLOOKUP($B354,'Baremos anteriores'!A:D,4,FALSE)="Sin Definir",$E354*$F354,"")))))</f>
        <v/>
      </c>
      <c r="K354" s="79" t="str">
        <f>IF($D354="","",
IF($E354="","",
IF($D354="MATE","",
IF(VLOOKUP($B354,'Baremos actuales'!$A:$D,4,FALSE)=K$9,$E354*$F354,IF(VLOOKUP($B354,'Baremos anteriores'!$A:$D,4,FALSE)="Desmonte",$E354*$F354,"")))))</f>
        <v/>
      </c>
      <c r="L354" s="80" t="str">
        <f>IF($D354="","",
IF($E354="","",
IF($D354="MATE","",
IF(VLOOKUP($B354,'Baremos actuales'!$A:$D,4,FALSE)=L$9,$E354*$F354,""))))</f>
        <v/>
      </c>
      <c r="M354" s="91" t="str">
        <f t="shared" si="5"/>
        <v/>
      </c>
      <c r="N354" s="96"/>
      <c r="O354" s="95"/>
      <c r="P354" s="96"/>
      <c r="Q354" s="98"/>
    </row>
    <row r="355" spans="1:17" ht="15.75" x14ac:dyDescent="0.2">
      <c r="A355" s="17"/>
      <c r="B355" s="18"/>
      <c r="C355" s="87" t="str">
        <f>IF(B355="","",
IF(M355=$H$5,IFERROR(VLOOKUP(B355,'Baremos actuales'!A:E,5,FALSE),"No encontrado. Revisar código, fecha ejecución y/o contrato."),
IF(M355=$H$4,IFERROR(VLOOKUP(B355,'Baremos anteriores'!A:E,5,FALSE),"No encontrado. Revisar código, fecha ejecución y/o contrato."),
IF(M355=$H$3,IFERROR(VLOOKUP(B355,#REF!,5,FALSE),"No encontrado. Revisar código, fecha ejecución y/o contrato."),
IF(D355="","Código no encontrado",
IF(D355="ERROR","No encontrado. Revisar Código, fecha de ejecución y/o contrato.",
IF(D355="MATE",
IF(C354="DESCRIPCION","NO SE PUEDE COMENZAR SIN CÓDIGO DE TAREA",
IF(C354="","FALTA CÓDIGO DE TAREA",
CONCATENATE("          ",VLOOKUP(B355,'Maestro Materiales'!A:C,3,FALSE)))),IFERROR(VLOOKUP(B355,#REF!,5,FALSE),"No encontrado. Revisar código, fecha ejecución y/o contrato."))))))))</f>
        <v/>
      </c>
      <c r="D355" s="88" t="str">
        <f>IF(B355="","",
IFERROR(VLOOKUP(B355,'Maestro Materiales'!A:C,2,FALSE),
IFERROR(VLOOKUP(B355,'Baremos actuales'!A:B,2,FALSE),
IFERROR(VLOOKUP(B355,'Baremos anteriores'!A:B,2,FALSE),
""))))</f>
        <v/>
      </c>
      <c r="E355" s="9"/>
      <c r="F355" s="89" t="str">
        <f>IF(D355="MATE",
IF(E355="","¿Unidades?",""),
IF(D355="",IF(E355="","","¿Código?"),
IF(E355="","¿Unidades?",
IF(D355="TARE",
IF(M355=$H$3,IFERROR(VLOOKUP(B355,'Baremos actuales'!A:C,3,FALSE),0),
IF(M355=$H$4,IFERROR(VLOOKUP(B355,'Baremos anteriores'!A:C,3,FALSE),0),0))))))</f>
        <v/>
      </c>
      <c r="G355" s="7"/>
      <c r="H355" s="8"/>
      <c r="I355" s="8"/>
      <c r="J355" s="78" t="str">
        <f>IF($D355="","",
IF($E355="","",
IF($D355="MATE","",
IF(VLOOKUP($B355,'Baremos actuales'!A:D,4,FALSE)=J$9,$E355*$F355,IF(VLOOKUP($B355,'Baremos anteriores'!A:D,4,FALSE)="Sin Definir",$E355*$F355,"")))))</f>
        <v/>
      </c>
      <c r="K355" s="79" t="str">
        <f>IF($D355="","",
IF($E355="","",
IF($D355="MATE","",
IF(VLOOKUP($B355,'Baremos actuales'!$A:$D,4,FALSE)=K$9,$E355*$F355,IF(VLOOKUP($B355,'Baremos anteriores'!$A:$D,4,FALSE)="Desmonte",$E355*$F355,"")))))</f>
        <v/>
      </c>
      <c r="L355" s="80" t="str">
        <f>IF($D355="","",
IF($E355="","",
IF($D355="MATE","",
IF(VLOOKUP($B355,'Baremos actuales'!$A:$D,4,FALSE)=L$9,$E355*$F355,""))))</f>
        <v/>
      </c>
      <c r="M355" s="91" t="str">
        <f t="shared" si="5"/>
        <v/>
      </c>
      <c r="N355" s="96"/>
      <c r="O355" s="95"/>
      <c r="P355" s="96"/>
      <c r="Q355" s="98"/>
    </row>
    <row r="356" spans="1:17" ht="15.75" x14ac:dyDescent="0.2">
      <c r="A356" s="17"/>
      <c r="B356" s="18"/>
      <c r="C356" s="87" t="str">
        <f>IF(B356="","",
IF(M356=$H$5,IFERROR(VLOOKUP(B356,'Baremos actuales'!A:E,5,FALSE),"No encontrado. Revisar código, fecha ejecución y/o contrato."),
IF(M356=$H$4,IFERROR(VLOOKUP(B356,'Baremos anteriores'!A:E,5,FALSE),"No encontrado. Revisar código, fecha ejecución y/o contrato."),
IF(M356=$H$3,IFERROR(VLOOKUP(B356,#REF!,5,FALSE),"No encontrado. Revisar código, fecha ejecución y/o contrato."),
IF(D356="","Código no encontrado",
IF(D356="ERROR","No encontrado. Revisar Código, fecha de ejecución y/o contrato.",
IF(D356="MATE",
IF(C355="DESCRIPCION","NO SE PUEDE COMENZAR SIN CÓDIGO DE TAREA",
IF(C355="","FALTA CÓDIGO DE TAREA",
CONCATENATE("          ",VLOOKUP(B356,'Maestro Materiales'!A:C,3,FALSE)))),IFERROR(VLOOKUP(B356,#REF!,5,FALSE),"No encontrado. Revisar código, fecha ejecución y/o contrato."))))))))</f>
        <v/>
      </c>
      <c r="D356" s="88" t="str">
        <f>IF(B356="","",
IFERROR(VLOOKUP(B356,'Maestro Materiales'!A:C,2,FALSE),
IFERROR(VLOOKUP(B356,'Baremos actuales'!A:B,2,FALSE),
IFERROR(VLOOKUP(B356,'Baremos anteriores'!A:B,2,FALSE),
""))))</f>
        <v/>
      </c>
      <c r="E356" s="9"/>
      <c r="F356" s="89" t="str">
        <f>IF(D356="MATE",
IF(E356="","¿Unidades?",""),
IF(D356="",IF(E356="","","¿Código?"),
IF(E356="","¿Unidades?",
IF(D356="TARE",
IF(M356=$H$3,IFERROR(VLOOKUP(B356,'Baremos actuales'!A:C,3,FALSE),0),
IF(M356=$H$4,IFERROR(VLOOKUP(B356,'Baremos anteriores'!A:C,3,FALSE),0),0))))))</f>
        <v/>
      </c>
      <c r="G356" s="7"/>
      <c r="H356" s="8"/>
      <c r="I356" s="8"/>
      <c r="J356" s="78" t="str">
        <f>IF($D356="","",
IF($E356="","",
IF($D356="MATE","",
IF(VLOOKUP($B356,'Baremos actuales'!A:D,4,FALSE)=J$9,$E356*$F356,IF(VLOOKUP($B356,'Baremos anteriores'!A:D,4,FALSE)="Sin Definir",$E356*$F356,"")))))</f>
        <v/>
      </c>
      <c r="K356" s="79" t="str">
        <f>IF($D356="","",
IF($E356="","",
IF($D356="MATE","",
IF(VLOOKUP($B356,'Baremos actuales'!$A:$D,4,FALSE)=K$9,$E356*$F356,IF(VLOOKUP($B356,'Baremos anteriores'!$A:$D,4,FALSE)="Desmonte",$E356*$F356,"")))))</f>
        <v/>
      </c>
      <c r="L356" s="80" t="str">
        <f>IF($D356="","",
IF($E356="","",
IF($D356="MATE","",
IF(VLOOKUP($B356,'Baremos actuales'!$A:$D,4,FALSE)=L$9,$E356*$F356,""))))</f>
        <v/>
      </c>
      <c r="M356" s="91" t="str">
        <f t="shared" si="5"/>
        <v/>
      </c>
      <c r="N356" s="96"/>
      <c r="O356" s="95"/>
      <c r="P356" s="96"/>
      <c r="Q356" s="98"/>
    </row>
    <row r="357" spans="1:17" ht="15.75" x14ac:dyDescent="0.2">
      <c r="A357" s="17"/>
      <c r="B357" s="18"/>
      <c r="C357" s="87" t="str">
        <f>IF(B357="","",
IF(M357=$H$5,IFERROR(VLOOKUP(B357,'Baremos actuales'!A:E,5,FALSE),"No encontrado. Revisar código, fecha ejecución y/o contrato."),
IF(M357=$H$4,IFERROR(VLOOKUP(B357,'Baremos anteriores'!A:E,5,FALSE),"No encontrado. Revisar código, fecha ejecución y/o contrato."),
IF(M357=$H$3,IFERROR(VLOOKUP(B357,#REF!,5,FALSE),"No encontrado. Revisar código, fecha ejecución y/o contrato."),
IF(D357="","Código no encontrado",
IF(D357="ERROR","No encontrado. Revisar Código, fecha de ejecución y/o contrato.",
IF(D357="MATE",
IF(C356="DESCRIPCION","NO SE PUEDE COMENZAR SIN CÓDIGO DE TAREA",
IF(C356="","FALTA CÓDIGO DE TAREA",
CONCATENATE("          ",VLOOKUP(B357,'Maestro Materiales'!A:C,3,FALSE)))),IFERROR(VLOOKUP(B357,#REF!,5,FALSE),"No encontrado. Revisar código, fecha ejecución y/o contrato."))))))))</f>
        <v/>
      </c>
      <c r="D357" s="88" t="str">
        <f>IF(B357="","",
IFERROR(VLOOKUP(B357,'Maestro Materiales'!A:C,2,FALSE),
IFERROR(VLOOKUP(B357,'Baremos actuales'!A:B,2,FALSE),
IFERROR(VLOOKUP(B357,'Baremos anteriores'!A:B,2,FALSE),
""))))</f>
        <v/>
      </c>
      <c r="E357" s="9"/>
      <c r="F357" s="89" t="str">
        <f>IF(D357="MATE",
IF(E357="","¿Unidades?",""),
IF(D357="",IF(E357="","","¿Código?"),
IF(E357="","¿Unidades?",
IF(D357="TARE",
IF(M357=$H$3,IFERROR(VLOOKUP(B357,'Baremos actuales'!A:C,3,FALSE),0),
IF(M357=$H$4,IFERROR(VLOOKUP(B357,'Baremos anteriores'!A:C,3,FALSE),0),0))))))</f>
        <v/>
      </c>
      <c r="G357" s="7"/>
      <c r="H357" s="8"/>
      <c r="I357" s="8"/>
      <c r="J357" s="78" t="str">
        <f>IF($D357="","",
IF($E357="","",
IF($D357="MATE","",
IF(VLOOKUP($B357,'Baremos actuales'!A:D,4,FALSE)=J$9,$E357*$F357,IF(VLOOKUP($B357,'Baremos anteriores'!A:D,4,FALSE)="Sin Definir",$E357*$F357,"")))))</f>
        <v/>
      </c>
      <c r="K357" s="79" t="str">
        <f>IF($D357="","",
IF($E357="","",
IF($D357="MATE","",
IF(VLOOKUP($B357,'Baremos actuales'!$A:$D,4,FALSE)=K$9,$E357*$F357,IF(VLOOKUP($B357,'Baremos anteriores'!$A:$D,4,FALSE)="Desmonte",$E357*$F357,"")))))</f>
        <v/>
      </c>
      <c r="L357" s="80" t="str">
        <f>IF($D357="","",
IF($E357="","",
IF($D357="MATE","",
IF(VLOOKUP($B357,'Baremos actuales'!$A:$D,4,FALSE)=L$9,$E357*$F357,""))))</f>
        <v/>
      </c>
      <c r="M357" s="91" t="str">
        <f t="shared" si="5"/>
        <v/>
      </c>
      <c r="N357" s="96"/>
      <c r="O357" s="95"/>
      <c r="P357" s="96"/>
      <c r="Q357" s="98"/>
    </row>
    <row r="358" spans="1:17" ht="15.75" x14ac:dyDescent="0.2">
      <c r="A358" s="17"/>
      <c r="B358" s="18"/>
      <c r="C358" s="87" t="str">
        <f>IF(B358="","",
IF(M358=$H$5,IFERROR(VLOOKUP(B358,'Baremos actuales'!A:E,5,FALSE),"No encontrado. Revisar código, fecha ejecución y/o contrato."),
IF(M358=$H$4,IFERROR(VLOOKUP(B358,'Baremos anteriores'!A:E,5,FALSE),"No encontrado. Revisar código, fecha ejecución y/o contrato."),
IF(M358=$H$3,IFERROR(VLOOKUP(B358,#REF!,5,FALSE),"No encontrado. Revisar código, fecha ejecución y/o contrato."),
IF(D358="","Código no encontrado",
IF(D358="ERROR","No encontrado. Revisar Código, fecha de ejecución y/o contrato.",
IF(D358="MATE",
IF(C357="DESCRIPCION","NO SE PUEDE COMENZAR SIN CÓDIGO DE TAREA",
IF(C357="","FALTA CÓDIGO DE TAREA",
CONCATENATE("          ",VLOOKUP(B358,'Maestro Materiales'!A:C,3,FALSE)))),IFERROR(VLOOKUP(B358,#REF!,5,FALSE),"No encontrado. Revisar código, fecha ejecución y/o contrato."))))))))</f>
        <v/>
      </c>
      <c r="D358" s="88" t="str">
        <f>IF(B358="","",
IFERROR(VLOOKUP(B358,'Maestro Materiales'!A:C,2,FALSE),
IFERROR(VLOOKUP(B358,'Baremos actuales'!A:B,2,FALSE),
IFERROR(VLOOKUP(B358,'Baremos anteriores'!A:B,2,FALSE),
""))))</f>
        <v/>
      </c>
      <c r="E358" s="9"/>
      <c r="F358" s="89" t="str">
        <f>IF(D358="MATE",
IF(E358="","¿Unidades?",""),
IF(D358="",IF(E358="","","¿Código?"),
IF(E358="","¿Unidades?",
IF(D358="TARE",
IF(M358=$H$3,IFERROR(VLOOKUP(B358,'Baremos actuales'!A:C,3,FALSE),0),
IF(M358=$H$4,IFERROR(VLOOKUP(B358,'Baremos anteriores'!A:C,3,FALSE),0),0))))))</f>
        <v/>
      </c>
      <c r="G358" s="7"/>
      <c r="H358" s="8"/>
      <c r="I358" s="8"/>
      <c r="J358" s="78" t="str">
        <f>IF($D358="","",
IF($E358="","",
IF($D358="MATE","",
IF(VLOOKUP($B358,'Baremos actuales'!A:D,4,FALSE)=J$9,$E358*$F358,IF(VLOOKUP($B358,'Baremos anteriores'!A:D,4,FALSE)="Sin Definir",$E358*$F358,"")))))</f>
        <v/>
      </c>
      <c r="K358" s="79" t="str">
        <f>IF($D358="","",
IF($E358="","",
IF($D358="MATE","",
IF(VLOOKUP($B358,'Baremos actuales'!$A:$D,4,FALSE)=K$9,$E358*$F358,IF(VLOOKUP($B358,'Baremos anteriores'!$A:$D,4,FALSE)="Desmonte",$E358*$F358,"")))))</f>
        <v/>
      </c>
      <c r="L358" s="80" t="str">
        <f>IF($D358="","",
IF($E358="","",
IF($D358="MATE","",
IF(VLOOKUP($B358,'Baremos actuales'!$A:$D,4,FALSE)=L$9,$E358*$F358,""))))</f>
        <v/>
      </c>
      <c r="M358" s="91" t="str">
        <f t="shared" si="5"/>
        <v/>
      </c>
      <c r="N358" s="96"/>
      <c r="O358" s="95"/>
      <c r="P358" s="96"/>
      <c r="Q358" s="98"/>
    </row>
    <row r="359" spans="1:17" ht="15.75" x14ac:dyDescent="0.2">
      <c r="A359" s="17"/>
      <c r="B359" s="18"/>
      <c r="C359" s="87" t="str">
        <f>IF(B359="","",
IF(M359=$H$5,IFERROR(VLOOKUP(B359,'Baremos actuales'!A:E,5,FALSE),"No encontrado. Revisar código, fecha ejecución y/o contrato."),
IF(M359=$H$4,IFERROR(VLOOKUP(B359,'Baremos anteriores'!A:E,5,FALSE),"No encontrado. Revisar código, fecha ejecución y/o contrato."),
IF(M359=$H$3,IFERROR(VLOOKUP(B359,#REF!,5,FALSE),"No encontrado. Revisar código, fecha ejecución y/o contrato."),
IF(D359="","Código no encontrado",
IF(D359="ERROR","No encontrado. Revisar Código, fecha de ejecución y/o contrato.",
IF(D359="MATE",
IF(C358="DESCRIPCION","NO SE PUEDE COMENZAR SIN CÓDIGO DE TAREA",
IF(C358="","FALTA CÓDIGO DE TAREA",
CONCATENATE("          ",VLOOKUP(B359,'Maestro Materiales'!A:C,3,FALSE)))),IFERROR(VLOOKUP(B359,#REF!,5,FALSE),"No encontrado. Revisar código, fecha ejecución y/o contrato."))))))))</f>
        <v/>
      </c>
      <c r="D359" s="88" t="str">
        <f>IF(B359="","",
IFERROR(VLOOKUP(B359,'Maestro Materiales'!A:C,2,FALSE),
IFERROR(VLOOKUP(B359,'Baremos actuales'!A:B,2,FALSE),
IFERROR(VLOOKUP(B359,'Baremos anteriores'!A:B,2,FALSE),
""))))</f>
        <v/>
      </c>
      <c r="E359" s="9"/>
      <c r="F359" s="89" t="str">
        <f>IF(D359="MATE",
IF(E359="","¿Unidades?",""),
IF(D359="",IF(E359="","","¿Código?"),
IF(E359="","¿Unidades?",
IF(D359="TARE",
IF(M359=$H$3,IFERROR(VLOOKUP(B359,'Baremos actuales'!A:C,3,FALSE),0),
IF(M359=$H$4,IFERROR(VLOOKUP(B359,'Baremos anteriores'!A:C,3,FALSE),0),0))))))</f>
        <v/>
      </c>
      <c r="G359" s="7"/>
      <c r="H359" s="8"/>
      <c r="I359" s="8"/>
      <c r="J359" s="78" t="str">
        <f>IF($D359="","",
IF($E359="","",
IF($D359="MATE","",
IF(VLOOKUP($B359,'Baremos actuales'!A:D,4,FALSE)=J$9,$E359*$F359,IF(VLOOKUP($B359,'Baremos anteriores'!A:D,4,FALSE)="Sin Definir",$E359*$F359,"")))))</f>
        <v/>
      </c>
      <c r="K359" s="79" t="str">
        <f>IF($D359="","",
IF($E359="","",
IF($D359="MATE","",
IF(VLOOKUP($B359,'Baremos actuales'!$A:$D,4,FALSE)=K$9,$E359*$F359,IF(VLOOKUP($B359,'Baremos anteriores'!$A:$D,4,FALSE)="Desmonte",$E359*$F359,"")))))</f>
        <v/>
      </c>
      <c r="L359" s="80" t="str">
        <f>IF($D359="","",
IF($E359="","",
IF($D359="MATE","",
IF(VLOOKUP($B359,'Baremos actuales'!$A:$D,4,FALSE)=L$9,$E359*$F359,""))))</f>
        <v/>
      </c>
      <c r="M359" s="91" t="str">
        <f t="shared" si="5"/>
        <v/>
      </c>
      <c r="N359" s="96"/>
      <c r="O359" s="95"/>
      <c r="P359" s="96"/>
      <c r="Q359" s="98"/>
    </row>
    <row r="360" spans="1:17" ht="15.75" x14ac:dyDescent="0.2">
      <c r="A360" s="17"/>
      <c r="B360" s="18"/>
      <c r="C360" s="87" t="str">
        <f>IF(B360="","",
IF(M360=$H$5,IFERROR(VLOOKUP(B360,'Baremos actuales'!A:E,5,FALSE),"No encontrado. Revisar código, fecha ejecución y/o contrato."),
IF(M360=$H$4,IFERROR(VLOOKUP(B360,'Baremos anteriores'!A:E,5,FALSE),"No encontrado. Revisar código, fecha ejecución y/o contrato."),
IF(M360=$H$3,IFERROR(VLOOKUP(B360,#REF!,5,FALSE),"No encontrado. Revisar código, fecha ejecución y/o contrato."),
IF(D360="","Código no encontrado",
IF(D360="ERROR","No encontrado. Revisar Código, fecha de ejecución y/o contrato.",
IF(D360="MATE",
IF(C359="DESCRIPCION","NO SE PUEDE COMENZAR SIN CÓDIGO DE TAREA",
IF(C359="","FALTA CÓDIGO DE TAREA",
CONCATENATE("          ",VLOOKUP(B360,'Maestro Materiales'!A:C,3,FALSE)))),IFERROR(VLOOKUP(B360,#REF!,5,FALSE),"No encontrado. Revisar código, fecha ejecución y/o contrato."))))))))</f>
        <v/>
      </c>
      <c r="D360" s="88" t="str">
        <f>IF(B360="","",
IFERROR(VLOOKUP(B360,'Maestro Materiales'!A:C,2,FALSE),
IFERROR(VLOOKUP(B360,'Baremos actuales'!A:B,2,FALSE),
IFERROR(VLOOKUP(B360,'Baremos anteriores'!A:B,2,FALSE),
""))))</f>
        <v/>
      </c>
      <c r="E360" s="9"/>
      <c r="F360" s="89" t="str">
        <f>IF(D360="MATE",
IF(E360="","¿Unidades?",""),
IF(D360="",IF(E360="","","¿Código?"),
IF(E360="","¿Unidades?",
IF(D360="TARE",
IF(M360=$H$3,IFERROR(VLOOKUP(B360,'Baremos actuales'!A:C,3,FALSE),0),
IF(M360=$H$4,IFERROR(VLOOKUP(B360,'Baremos anteriores'!A:C,3,FALSE),0),0))))))</f>
        <v/>
      </c>
      <c r="G360" s="7"/>
      <c r="H360" s="8"/>
      <c r="I360" s="8"/>
      <c r="J360" s="78" t="str">
        <f>IF($D360="","",
IF($E360="","",
IF($D360="MATE","",
IF(VLOOKUP($B360,'Baremos actuales'!A:D,4,FALSE)=J$9,$E360*$F360,IF(VLOOKUP($B360,'Baremos anteriores'!A:D,4,FALSE)="Sin Definir",$E360*$F360,"")))))</f>
        <v/>
      </c>
      <c r="K360" s="79" t="str">
        <f>IF($D360="","",
IF($E360="","",
IF($D360="MATE","",
IF(VLOOKUP($B360,'Baremos actuales'!$A:$D,4,FALSE)=K$9,$E360*$F360,IF(VLOOKUP($B360,'Baremos anteriores'!$A:$D,4,FALSE)="Desmonte",$E360*$F360,"")))))</f>
        <v/>
      </c>
      <c r="L360" s="80" t="str">
        <f>IF($D360="","",
IF($E360="","",
IF($D360="MATE","",
IF(VLOOKUP($B360,'Baremos actuales'!$A:$D,4,FALSE)=L$9,$E360*$F360,""))))</f>
        <v/>
      </c>
      <c r="M360" s="91" t="str">
        <f t="shared" si="5"/>
        <v/>
      </c>
      <c r="N360" s="96"/>
      <c r="O360" s="95"/>
      <c r="P360" s="96"/>
      <c r="Q360" s="98"/>
    </row>
    <row r="361" spans="1:17" ht="15.75" x14ac:dyDescent="0.2">
      <c r="A361" s="17"/>
      <c r="B361" s="18"/>
      <c r="C361" s="87" t="str">
        <f>IF(B361="","",
IF(M361=$H$5,IFERROR(VLOOKUP(B361,'Baremos actuales'!A:E,5,FALSE),"No encontrado. Revisar código, fecha ejecución y/o contrato."),
IF(M361=$H$4,IFERROR(VLOOKUP(B361,'Baremos anteriores'!A:E,5,FALSE),"No encontrado. Revisar código, fecha ejecución y/o contrato."),
IF(M361=$H$3,IFERROR(VLOOKUP(B361,#REF!,5,FALSE),"No encontrado. Revisar código, fecha ejecución y/o contrato."),
IF(D361="","Código no encontrado",
IF(D361="ERROR","No encontrado. Revisar Código, fecha de ejecución y/o contrato.",
IF(D361="MATE",
IF(C360="DESCRIPCION","NO SE PUEDE COMENZAR SIN CÓDIGO DE TAREA",
IF(C360="","FALTA CÓDIGO DE TAREA",
CONCATENATE("          ",VLOOKUP(B361,'Maestro Materiales'!A:C,3,FALSE)))),IFERROR(VLOOKUP(B361,#REF!,5,FALSE),"No encontrado. Revisar código, fecha ejecución y/o contrato."))))))))</f>
        <v/>
      </c>
      <c r="D361" s="88" t="str">
        <f>IF(B361="","",
IFERROR(VLOOKUP(B361,'Maestro Materiales'!A:C,2,FALSE),
IFERROR(VLOOKUP(B361,'Baremos actuales'!A:B,2,FALSE),
IFERROR(VLOOKUP(B361,'Baremos anteriores'!A:B,2,FALSE),
""))))</f>
        <v/>
      </c>
      <c r="E361" s="9"/>
      <c r="F361" s="89" t="str">
        <f>IF(D361="MATE",
IF(E361="","¿Unidades?",""),
IF(D361="",IF(E361="","","¿Código?"),
IF(E361="","¿Unidades?",
IF(D361="TARE",
IF(M361=$H$3,IFERROR(VLOOKUP(B361,'Baremos actuales'!A:C,3,FALSE),0),
IF(M361=$H$4,IFERROR(VLOOKUP(B361,'Baremos anteriores'!A:C,3,FALSE),0),0))))))</f>
        <v/>
      </c>
      <c r="G361" s="7"/>
      <c r="H361" s="8"/>
      <c r="I361" s="8"/>
      <c r="J361" s="78" t="str">
        <f>IF($D361="","",
IF($E361="","",
IF($D361="MATE","",
IF(VLOOKUP($B361,'Baremos actuales'!A:D,4,FALSE)=J$9,$E361*$F361,IF(VLOOKUP($B361,'Baremos anteriores'!A:D,4,FALSE)="Sin Definir",$E361*$F361,"")))))</f>
        <v/>
      </c>
      <c r="K361" s="79" t="str">
        <f>IF($D361="","",
IF($E361="","",
IF($D361="MATE","",
IF(VLOOKUP($B361,'Baremos actuales'!$A:$D,4,FALSE)=K$9,$E361*$F361,IF(VLOOKUP($B361,'Baremos anteriores'!$A:$D,4,FALSE)="Desmonte",$E361*$F361,"")))))</f>
        <v/>
      </c>
      <c r="L361" s="80" t="str">
        <f>IF($D361="","",
IF($E361="","",
IF($D361="MATE","",
IF(VLOOKUP($B361,'Baremos actuales'!$A:$D,4,FALSE)=L$9,$E361*$F361,""))))</f>
        <v/>
      </c>
      <c r="M361" s="91" t="str">
        <f t="shared" si="5"/>
        <v/>
      </c>
      <c r="N361" s="96"/>
      <c r="O361" s="95"/>
      <c r="P361" s="96"/>
      <c r="Q361" s="98"/>
    </row>
    <row r="362" spans="1:17" ht="15.75" x14ac:dyDescent="0.2">
      <c r="A362" s="17"/>
      <c r="B362" s="18"/>
      <c r="C362" s="87" t="str">
        <f>IF(B362="","",
IF(M362=$H$5,IFERROR(VLOOKUP(B362,'Baremos actuales'!A:E,5,FALSE),"No encontrado. Revisar código, fecha ejecución y/o contrato."),
IF(M362=$H$4,IFERROR(VLOOKUP(B362,'Baremos anteriores'!A:E,5,FALSE),"No encontrado. Revisar código, fecha ejecución y/o contrato."),
IF(M362=$H$3,IFERROR(VLOOKUP(B362,#REF!,5,FALSE),"No encontrado. Revisar código, fecha ejecución y/o contrato."),
IF(D362="","Código no encontrado",
IF(D362="ERROR","No encontrado. Revisar Código, fecha de ejecución y/o contrato.",
IF(D362="MATE",
IF(C361="DESCRIPCION","NO SE PUEDE COMENZAR SIN CÓDIGO DE TAREA",
IF(C361="","FALTA CÓDIGO DE TAREA",
CONCATENATE("          ",VLOOKUP(B362,'Maestro Materiales'!A:C,3,FALSE)))),IFERROR(VLOOKUP(B362,#REF!,5,FALSE),"No encontrado. Revisar código, fecha ejecución y/o contrato."))))))))</f>
        <v/>
      </c>
      <c r="D362" s="88" t="str">
        <f>IF(B362="","",
IFERROR(VLOOKUP(B362,'Maestro Materiales'!A:C,2,FALSE),
IFERROR(VLOOKUP(B362,'Baremos actuales'!A:B,2,FALSE),
IFERROR(VLOOKUP(B362,'Baremos anteriores'!A:B,2,FALSE),
""))))</f>
        <v/>
      </c>
      <c r="E362" s="9"/>
      <c r="F362" s="89" t="str">
        <f>IF(D362="MATE",
IF(E362="","¿Unidades?",""),
IF(D362="",IF(E362="","","¿Código?"),
IF(E362="","¿Unidades?",
IF(D362="TARE",
IF(M362=$H$3,IFERROR(VLOOKUP(B362,'Baremos actuales'!A:C,3,FALSE),0),
IF(M362=$H$4,IFERROR(VLOOKUP(B362,'Baremos anteriores'!A:C,3,FALSE),0),0))))))</f>
        <v/>
      </c>
      <c r="G362" s="7"/>
      <c r="H362" s="8"/>
      <c r="I362" s="8"/>
      <c r="J362" s="78" t="str">
        <f>IF($D362="","",
IF($E362="","",
IF($D362="MATE","",
IF(VLOOKUP($B362,'Baremos actuales'!A:D,4,FALSE)=J$9,$E362*$F362,IF(VLOOKUP($B362,'Baremos anteriores'!A:D,4,FALSE)="Sin Definir",$E362*$F362,"")))))</f>
        <v/>
      </c>
      <c r="K362" s="79" t="str">
        <f>IF($D362="","",
IF($E362="","",
IF($D362="MATE","",
IF(VLOOKUP($B362,'Baremos actuales'!$A:$D,4,FALSE)=K$9,$E362*$F362,IF(VLOOKUP($B362,'Baremos anteriores'!$A:$D,4,FALSE)="Desmonte",$E362*$F362,"")))))</f>
        <v/>
      </c>
      <c r="L362" s="80" t="str">
        <f>IF($D362="","",
IF($E362="","",
IF($D362="MATE","",
IF(VLOOKUP($B362,'Baremos actuales'!$A:$D,4,FALSE)=L$9,$E362*$F362,""))))</f>
        <v/>
      </c>
      <c r="M362" s="91" t="str">
        <f t="shared" si="5"/>
        <v/>
      </c>
      <c r="N362" s="96"/>
      <c r="O362" s="95"/>
      <c r="P362" s="96"/>
      <c r="Q362" s="98"/>
    </row>
    <row r="363" spans="1:17" ht="15.75" x14ac:dyDescent="0.2">
      <c r="A363" s="17"/>
      <c r="B363" s="18"/>
      <c r="C363" s="87" t="str">
        <f>IF(B363="","",
IF(M363=$H$5,IFERROR(VLOOKUP(B363,'Baremos actuales'!A:E,5,FALSE),"No encontrado. Revisar código, fecha ejecución y/o contrato."),
IF(M363=$H$4,IFERROR(VLOOKUP(B363,'Baremos anteriores'!A:E,5,FALSE),"No encontrado. Revisar código, fecha ejecución y/o contrato."),
IF(M363=$H$3,IFERROR(VLOOKUP(B363,#REF!,5,FALSE),"No encontrado. Revisar código, fecha ejecución y/o contrato."),
IF(D363="","Código no encontrado",
IF(D363="ERROR","No encontrado. Revisar Código, fecha de ejecución y/o contrato.",
IF(D363="MATE",
IF(C362="DESCRIPCION","NO SE PUEDE COMENZAR SIN CÓDIGO DE TAREA",
IF(C362="","FALTA CÓDIGO DE TAREA",
CONCATENATE("          ",VLOOKUP(B363,'Maestro Materiales'!A:C,3,FALSE)))),IFERROR(VLOOKUP(B363,#REF!,5,FALSE),"No encontrado. Revisar código, fecha ejecución y/o contrato."))))))))</f>
        <v/>
      </c>
      <c r="D363" s="88" t="str">
        <f>IF(B363="","",
IFERROR(VLOOKUP(B363,'Maestro Materiales'!A:C,2,FALSE),
IFERROR(VLOOKUP(B363,'Baremos actuales'!A:B,2,FALSE),
IFERROR(VLOOKUP(B363,'Baremos anteriores'!A:B,2,FALSE),
""))))</f>
        <v/>
      </c>
      <c r="E363" s="9"/>
      <c r="F363" s="89" t="str">
        <f>IF(D363="MATE",
IF(E363="","¿Unidades?",""),
IF(D363="",IF(E363="","","¿Código?"),
IF(E363="","¿Unidades?",
IF(D363="TARE",
IF(M363=$H$3,IFERROR(VLOOKUP(B363,'Baremos actuales'!A:C,3,FALSE),0),
IF(M363=$H$4,IFERROR(VLOOKUP(B363,'Baremos anteriores'!A:C,3,FALSE),0),0))))))</f>
        <v/>
      </c>
      <c r="G363" s="7"/>
      <c r="H363" s="8"/>
      <c r="I363" s="8"/>
      <c r="J363" s="78" t="str">
        <f>IF($D363="","",
IF($E363="","",
IF($D363="MATE","",
IF(VLOOKUP($B363,'Baremos actuales'!A:D,4,FALSE)=J$9,$E363*$F363,IF(VLOOKUP($B363,'Baremos anteriores'!A:D,4,FALSE)="Sin Definir",$E363*$F363,"")))))</f>
        <v/>
      </c>
      <c r="K363" s="79" t="str">
        <f>IF($D363="","",
IF($E363="","",
IF($D363="MATE","",
IF(VLOOKUP($B363,'Baremos actuales'!$A:$D,4,FALSE)=K$9,$E363*$F363,IF(VLOOKUP($B363,'Baremos anteriores'!$A:$D,4,FALSE)="Desmonte",$E363*$F363,"")))))</f>
        <v/>
      </c>
      <c r="L363" s="80" t="str">
        <f>IF($D363="","",
IF($E363="","",
IF($D363="MATE","",
IF(VLOOKUP($B363,'Baremos actuales'!$A:$D,4,FALSE)=L$9,$E363*$F363,""))))</f>
        <v/>
      </c>
      <c r="M363" s="91" t="str">
        <f t="shared" si="5"/>
        <v/>
      </c>
      <c r="N363" s="96"/>
      <c r="O363" s="95"/>
      <c r="P363" s="96"/>
      <c r="Q363" s="98"/>
    </row>
    <row r="364" spans="1:17" ht="15.75" x14ac:dyDescent="0.2">
      <c r="A364" s="17"/>
      <c r="B364" s="18"/>
      <c r="C364" s="87" t="str">
        <f>IF(B364="","",
IF(M364=$H$5,IFERROR(VLOOKUP(B364,'Baremos actuales'!A:E,5,FALSE),"No encontrado. Revisar código, fecha ejecución y/o contrato."),
IF(M364=$H$4,IFERROR(VLOOKUP(B364,'Baremos anteriores'!A:E,5,FALSE),"No encontrado. Revisar código, fecha ejecución y/o contrato."),
IF(M364=$H$3,IFERROR(VLOOKUP(B364,#REF!,5,FALSE),"No encontrado. Revisar código, fecha ejecución y/o contrato."),
IF(D364="","Código no encontrado",
IF(D364="ERROR","No encontrado. Revisar Código, fecha de ejecución y/o contrato.",
IF(D364="MATE",
IF(C363="DESCRIPCION","NO SE PUEDE COMENZAR SIN CÓDIGO DE TAREA",
IF(C363="","FALTA CÓDIGO DE TAREA",
CONCATENATE("          ",VLOOKUP(B364,'Maestro Materiales'!A:C,3,FALSE)))),IFERROR(VLOOKUP(B364,#REF!,5,FALSE),"No encontrado. Revisar código, fecha ejecución y/o contrato."))))))))</f>
        <v/>
      </c>
      <c r="D364" s="88" t="str">
        <f>IF(B364="","",
IFERROR(VLOOKUP(B364,'Maestro Materiales'!A:C,2,FALSE),
IFERROR(VLOOKUP(B364,'Baremos actuales'!A:B,2,FALSE),
IFERROR(VLOOKUP(B364,'Baremos anteriores'!A:B,2,FALSE),
""))))</f>
        <v/>
      </c>
      <c r="E364" s="9"/>
      <c r="F364" s="89" t="str">
        <f>IF(D364="MATE",
IF(E364="","¿Unidades?",""),
IF(D364="",IF(E364="","","¿Código?"),
IF(E364="","¿Unidades?",
IF(D364="TARE",
IF(M364=$H$3,IFERROR(VLOOKUP(B364,'Baremos actuales'!A:C,3,FALSE),0),
IF(M364=$H$4,IFERROR(VLOOKUP(B364,'Baremos anteriores'!A:C,3,FALSE),0),0))))))</f>
        <v/>
      </c>
      <c r="G364" s="7"/>
      <c r="H364" s="8"/>
      <c r="I364" s="8"/>
      <c r="J364" s="78" t="str">
        <f>IF($D364="","",
IF($E364="","",
IF($D364="MATE","",
IF(VLOOKUP($B364,'Baremos actuales'!A:D,4,FALSE)=J$9,$E364*$F364,IF(VLOOKUP($B364,'Baremos anteriores'!A:D,4,FALSE)="Sin Definir",$E364*$F364,"")))))</f>
        <v/>
      </c>
      <c r="K364" s="79" t="str">
        <f>IF($D364="","",
IF($E364="","",
IF($D364="MATE","",
IF(VLOOKUP($B364,'Baremos actuales'!$A:$D,4,FALSE)=K$9,$E364*$F364,IF(VLOOKUP($B364,'Baremos anteriores'!$A:$D,4,FALSE)="Desmonte",$E364*$F364,"")))))</f>
        <v/>
      </c>
      <c r="L364" s="80" t="str">
        <f>IF($D364="","",
IF($E364="","",
IF($D364="MATE","",
IF(VLOOKUP($B364,'Baremos actuales'!$A:$D,4,FALSE)=L$9,$E364*$F364,""))))</f>
        <v/>
      </c>
      <c r="M364" s="91" t="str">
        <f t="shared" si="5"/>
        <v/>
      </c>
      <c r="N364" s="96"/>
      <c r="O364" s="95"/>
      <c r="P364" s="96"/>
      <c r="Q364" s="98"/>
    </row>
    <row r="365" spans="1:17" ht="15.75" x14ac:dyDescent="0.2">
      <c r="A365" s="17"/>
      <c r="B365" s="18"/>
      <c r="C365" s="87" t="str">
        <f>IF(B365="","",
IF(M365=$H$5,IFERROR(VLOOKUP(B365,'Baremos actuales'!A:E,5,FALSE),"No encontrado. Revisar código, fecha ejecución y/o contrato."),
IF(M365=$H$4,IFERROR(VLOOKUP(B365,'Baremos anteriores'!A:E,5,FALSE),"No encontrado. Revisar código, fecha ejecución y/o contrato."),
IF(M365=$H$3,IFERROR(VLOOKUP(B365,#REF!,5,FALSE),"No encontrado. Revisar código, fecha ejecución y/o contrato."),
IF(D365="","Código no encontrado",
IF(D365="ERROR","No encontrado. Revisar Código, fecha de ejecución y/o contrato.",
IF(D365="MATE",
IF(C364="DESCRIPCION","NO SE PUEDE COMENZAR SIN CÓDIGO DE TAREA",
IF(C364="","FALTA CÓDIGO DE TAREA",
CONCATENATE("          ",VLOOKUP(B365,'Maestro Materiales'!A:C,3,FALSE)))),IFERROR(VLOOKUP(B365,#REF!,5,FALSE),"No encontrado. Revisar código, fecha ejecución y/o contrato."))))))))</f>
        <v/>
      </c>
      <c r="D365" s="88" t="str">
        <f>IF(B365="","",
IFERROR(VLOOKUP(B365,'Maestro Materiales'!A:C,2,FALSE),
IFERROR(VLOOKUP(B365,'Baremos actuales'!A:B,2,FALSE),
IFERROR(VLOOKUP(B365,'Baremos anteriores'!A:B,2,FALSE),
""))))</f>
        <v/>
      </c>
      <c r="E365" s="9"/>
      <c r="F365" s="89" t="str">
        <f>IF(D365="MATE",
IF(E365="","¿Unidades?",""),
IF(D365="",IF(E365="","","¿Código?"),
IF(E365="","¿Unidades?",
IF(D365="TARE",
IF(M365=$H$3,IFERROR(VLOOKUP(B365,'Baremos actuales'!A:C,3,FALSE),0),
IF(M365=$H$4,IFERROR(VLOOKUP(B365,'Baremos anteriores'!A:C,3,FALSE),0),0))))))</f>
        <v/>
      </c>
      <c r="G365" s="7"/>
      <c r="H365" s="8"/>
      <c r="I365" s="8"/>
      <c r="J365" s="78" t="str">
        <f>IF($D365="","",
IF($E365="","",
IF($D365="MATE","",
IF(VLOOKUP($B365,'Baremos actuales'!A:D,4,FALSE)=J$9,$E365*$F365,IF(VLOOKUP($B365,'Baremos anteriores'!A:D,4,FALSE)="Sin Definir",$E365*$F365,"")))))</f>
        <v/>
      </c>
      <c r="K365" s="79" t="str">
        <f>IF($D365="","",
IF($E365="","",
IF($D365="MATE","",
IF(VLOOKUP($B365,'Baremos actuales'!$A:$D,4,FALSE)=K$9,$E365*$F365,IF(VLOOKUP($B365,'Baremos anteriores'!$A:$D,4,FALSE)="Desmonte",$E365*$F365,"")))))</f>
        <v/>
      </c>
      <c r="L365" s="80" t="str">
        <f>IF($D365="","",
IF($E365="","",
IF($D365="MATE","",
IF(VLOOKUP($B365,'Baremos actuales'!$A:$D,4,FALSE)=L$9,$E365*$F365,""))))</f>
        <v/>
      </c>
      <c r="M365" s="91" t="str">
        <f t="shared" si="5"/>
        <v/>
      </c>
      <c r="N365" s="96"/>
      <c r="O365" s="95"/>
      <c r="P365" s="96"/>
      <c r="Q365" s="98"/>
    </row>
    <row r="366" spans="1:17" ht="15.75" x14ac:dyDescent="0.2">
      <c r="A366" s="17"/>
      <c r="B366" s="18"/>
      <c r="C366" s="87" t="str">
        <f>IF(B366="","",
IF(M366=$H$5,IFERROR(VLOOKUP(B366,'Baremos actuales'!A:E,5,FALSE),"No encontrado. Revisar código, fecha ejecución y/o contrato."),
IF(M366=$H$4,IFERROR(VLOOKUP(B366,'Baremos anteriores'!A:E,5,FALSE),"No encontrado. Revisar código, fecha ejecución y/o contrato."),
IF(M366=$H$3,IFERROR(VLOOKUP(B366,#REF!,5,FALSE),"No encontrado. Revisar código, fecha ejecución y/o contrato."),
IF(D366="","Código no encontrado",
IF(D366="ERROR","No encontrado. Revisar Código, fecha de ejecución y/o contrato.",
IF(D366="MATE",
IF(C365="DESCRIPCION","NO SE PUEDE COMENZAR SIN CÓDIGO DE TAREA",
IF(C365="","FALTA CÓDIGO DE TAREA",
CONCATENATE("          ",VLOOKUP(B366,'Maestro Materiales'!A:C,3,FALSE)))),IFERROR(VLOOKUP(B366,#REF!,5,FALSE),"No encontrado. Revisar código, fecha ejecución y/o contrato."))))))))</f>
        <v/>
      </c>
      <c r="D366" s="88" t="str">
        <f>IF(B366="","",
IFERROR(VLOOKUP(B366,'Maestro Materiales'!A:C,2,FALSE),
IFERROR(VLOOKUP(B366,'Baremos actuales'!A:B,2,FALSE),
IFERROR(VLOOKUP(B366,'Baremos anteriores'!A:B,2,FALSE),
""))))</f>
        <v/>
      </c>
      <c r="E366" s="9"/>
      <c r="F366" s="89" t="str">
        <f>IF(D366="MATE",
IF(E366="","¿Unidades?",""),
IF(D366="",IF(E366="","","¿Código?"),
IF(E366="","¿Unidades?",
IF(D366="TARE",
IF(M366=$H$3,IFERROR(VLOOKUP(B366,'Baremos actuales'!A:C,3,FALSE),0),
IF(M366=$H$4,IFERROR(VLOOKUP(B366,'Baremos anteriores'!A:C,3,FALSE),0),0))))))</f>
        <v/>
      </c>
      <c r="G366" s="7"/>
      <c r="H366" s="8"/>
      <c r="I366" s="8"/>
      <c r="J366" s="78" t="str">
        <f>IF($D366="","",
IF($E366="","",
IF($D366="MATE","",
IF(VLOOKUP($B366,'Baremos actuales'!A:D,4,FALSE)=J$9,$E366*$F366,IF(VLOOKUP($B366,'Baremos anteriores'!A:D,4,FALSE)="Sin Definir",$E366*$F366,"")))))</f>
        <v/>
      </c>
      <c r="K366" s="79" t="str">
        <f>IF($D366="","",
IF($E366="","",
IF($D366="MATE","",
IF(VLOOKUP($B366,'Baremos actuales'!$A:$D,4,FALSE)=K$9,$E366*$F366,IF(VLOOKUP($B366,'Baremos anteriores'!$A:$D,4,FALSE)="Desmonte",$E366*$F366,"")))))</f>
        <v/>
      </c>
      <c r="L366" s="80" t="str">
        <f>IF($D366="","",
IF($E366="","",
IF($D366="MATE","",
IF(VLOOKUP($B366,'Baremos actuales'!$A:$D,4,FALSE)=L$9,$E366*$F366,""))))</f>
        <v/>
      </c>
      <c r="M366" s="91" t="str">
        <f t="shared" si="5"/>
        <v/>
      </c>
      <c r="N366" s="96"/>
      <c r="O366" s="95"/>
      <c r="P366" s="96"/>
      <c r="Q366" s="98"/>
    </row>
    <row r="367" spans="1:17" ht="15.75" x14ac:dyDescent="0.2">
      <c r="A367" s="17"/>
      <c r="B367" s="18"/>
      <c r="C367" s="87" t="str">
        <f>IF(B367="","",
IF(M367=$H$5,IFERROR(VLOOKUP(B367,'Baremos actuales'!A:E,5,FALSE),"No encontrado. Revisar código, fecha ejecución y/o contrato."),
IF(M367=$H$4,IFERROR(VLOOKUP(B367,'Baremos anteriores'!A:E,5,FALSE),"No encontrado. Revisar código, fecha ejecución y/o contrato."),
IF(M367=$H$3,IFERROR(VLOOKUP(B367,#REF!,5,FALSE),"No encontrado. Revisar código, fecha ejecución y/o contrato."),
IF(D367="","Código no encontrado",
IF(D367="ERROR","No encontrado. Revisar Código, fecha de ejecución y/o contrato.",
IF(D367="MATE",
IF(C366="DESCRIPCION","NO SE PUEDE COMENZAR SIN CÓDIGO DE TAREA",
IF(C366="","FALTA CÓDIGO DE TAREA",
CONCATENATE("          ",VLOOKUP(B367,'Maestro Materiales'!A:C,3,FALSE)))),IFERROR(VLOOKUP(B367,#REF!,5,FALSE),"No encontrado. Revisar código, fecha ejecución y/o contrato."))))))))</f>
        <v/>
      </c>
      <c r="D367" s="88" t="str">
        <f>IF(B367="","",
IFERROR(VLOOKUP(B367,'Maestro Materiales'!A:C,2,FALSE),
IFERROR(VLOOKUP(B367,'Baremos actuales'!A:B,2,FALSE),
IFERROR(VLOOKUP(B367,'Baremos anteriores'!A:B,2,FALSE),
""))))</f>
        <v/>
      </c>
      <c r="E367" s="9"/>
      <c r="F367" s="89" t="str">
        <f>IF(D367="MATE",
IF(E367="","¿Unidades?",""),
IF(D367="",IF(E367="","","¿Código?"),
IF(E367="","¿Unidades?",
IF(D367="TARE",
IF(M367=$H$3,IFERROR(VLOOKUP(B367,'Baremos actuales'!A:C,3,FALSE),0),
IF(M367=$H$4,IFERROR(VLOOKUP(B367,'Baremos anteriores'!A:C,3,FALSE),0),0))))))</f>
        <v/>
      </c>
      <c r="G367" s="7"/>
      <c r="H367" s="8"/>
      <c r="I367" s="8"/>
      <c r="J367" s="78" t="str">
        <f>IF($D367="","",
IF($E367="","",
IF($D367="MATE","",
IF(VLOOKUP($B367,'Baremos actuales'!A:D,4,FALSE)=J$9,$E367*$F367,IF(VLOOKUP($B367,'Baremos anteriores'!A:D,4,FALSE)="Sin Definir",$E367*$F367,"")))))</f>
        <v/>
      </c>
      <c r="K367" s="79" t="str">
        <f>IF($D367="","",
IF($E367="","",
IF($D367="MATE","",
IF(VLOOKUP($B367,'Baremos actuales'!$A:$D,4,FALSE)=K$9,$E367*$F367,IF(VLOOKUP($B367,'Baremos anteriores'!$A:$D,4,FALSE)="Desmonte",$E367*$F367,"")))))</f>
        <v/>
      </c>
      <c r="L367" s="80" t="str">
        <f>IF($D367="","",
IF($E367="","",
IF($D367="MATE","",
IF(VLOOKUP($B367,'Baremos actuales'!$A:$D,4,FALSE)=L$9,$E367*$F367,""))))</f>
        <v/>
      </c>
      <c r="M367" s="91" t="str">
        <f t="shared" si="5"/>
        <v/>
      </c>
      <c r="N367" s="96"/>
      <c r="O367" s="95"/>
      <c r="P367" s="96"/>
      <c r="Q367" s="98"/>
    </row>
    <row r="368" spans="1:17" ht="15.75" x14ac:dyDescent="0.2">
      <c r="A368" s="17"/>
      <c r="B368" s="18"/>
      <c r="C368" s="87" t="str">
        <f>IF(B368="","",
IF(M368=$H$5,IFERROR(VLOOKUP(B368,'Baremos actuales'!A:E,5,FALSE),"No encontrado. Revisar código, fecha ejecución y/o contrato."),
IF(M368=$H$4,IFERROR(VLOOKUP(B368,'Baremos anteriores'!A:E,5,FALSE),"No encontrado. Revisar código, fecha ejecución y/o contrato."),
IF(M368=$H$3,IFERROR(VLOOKUP(B368,#REF!,5,FALSE),"No encontrado. Revisar código, fecha ejecución y/o contrato."),
IF(D368="","Código no encontrado",
IF(D368="ERROR","No encontrado. Revisar Código, fecha de ejecución y/o contrato.",
IF(D368="MATE",
IF(C367="DESCRIPCION","NO SE PUEDE COMENZAR SIN CÓDIGO DE TAREA",
IF(C367="","FALTA CÓDIGO DE TAREA",
CONCATENATE("          ",VLOOKUP(B368,'Maestro Materiales'!A:C,3,FALSE)))),IFERROR(VLOOKUP(B368,#REF!,5,FALSE),"No encontrado. Revisar código, fecha ejecución y/o contrato."))))))))</f>
        <v/>
      </c>
      <c r="D368" s="88" t="str">
        <f>IF(B368="","",
IFERROR(VLOOKUP(B368,'Maestro Materiales'!A:C,2,FALSE),
IFERROR(VLOOKUP(B368,'Baremos actuales'!A:B,2,FALSE),
IFERROR(VLOOKUP(B368,'Baremos anteriores'!A:B,2,FALSE),
""))))</f>
        <v/>
      </c>
      <c r="E368" s="9"/>
      <c r="F368" s="89" t="str">
        <f>IF(D368="MATE",
IF(E368="","¿Unidades?",""),
IF(D368="",IF(E368="","","¿Código?"),
IF(E368="","¿Unidades?",
IF(D368="TARE",
IF(M368=$H$3,IFERROR(VLOOKUP(B368,'Baremos actuales'!A:C,3,FALSE),0),
IF(M368=$H$4,IFERROR(VLOOKUP(B368,'Baremos anteriores'!A:C,3,FALSE),0),0))))))</f>
        <v/>
      </c>
      <c r="G368" s="7"/>
      <c r="H368" s="8"/>
      <c r="I368" s="8"/>
      <c r="J368" s="78" t="str">
        <f>IF($D368="","",
IF($E368="","",
IF($D368="MATE","",
IF(VLOOKUP($B368,'Baremos actuales'!A:D,4,FALSE)=J$9,$E368*$F368,IF(VLOOKUP($B368,'Baremos anteriores'!A:D,4,FALSE)="Sin Definir",$E368*$F368,"")))))</f>
        <v/>
      </c>
      <c r="K368" s="79" t="str">
        <f>IF($D368="","",
IF($E368="","",
IF($D368="MATE","",
IF(VLOOKUP($B368,'Baremos actuales'!$A:$D,4,FALSE)=K$9,$E368*$F368,IF(VLOOKUP($B368,'Baremos anteriores'!$A:$D,4,FALSE)="Desmonte",$E368*$F368,"")))))</f>
        <v/>
      </c>
      <c r="L368" s="80" t="str">
        <f>IF($D368="","",
IF($E368="","",
IF($D368="MATE","",
IF(VLOOKUP($B368,'Baremos actuales'!$A:$D,4,FALSE)=L$9,$E368*$F368,""))))</f>
        <v/>
      </c>
      <c r="M368" s="91" t="str">
        <f t="shared" si="5"/>
        <v/>
      </c>
      <c r="N368" s="96"/>
      <c r="O368" s="95"/>
      <c r="P368" s="96"/>
      <c r="Q368" s="98"/>
    </row>
    <row r="369" spans="1:17" ht="15.75" x14ac:dyDescent="0.2">
      <c r="A369" s="17"/>
      <c r="B369" s="18"/>
      <c r="C369" s="87" t="str">
        <f>IF(B369="","",
IF(M369=$H$5,IFERROR(VLOOKUP(B369,'Baremos actuales'!A:E,5,FALSE),"No encontrado. Revisar código, fecha ejecución y/o contrato."),
IF(M369=$H$4,IFERROR(VLOOKUP(B369,'Baremos anteriores'!A:E,5,FALSE),"No encontrado. Revisar código, fecha ejecución y/o contrato."),
IF(M369=$H$3,IFERROR(VLOOKUP(B369,#REF!,5,FALSE),"No encontrado. Revisar código, fecha ejecución y/o contrato."),
IF(D369="","Código no encontrado",
IF(D369="ERROR","No encontrado. Revisar Código, fecha de ejecución y/o contrato.",
IF(D369="MATE",
IF(C368="DESCRIPCION","NO SE PUEDE COMENZAR SIN CÓDIGO DE TAREA",
IF(C368="","FALTA CÓDIGO DE TAREA",
CONCATENATE("          ",VLOOKUP(B369,'Maestro Materiales'!A:C,3,FALSE)))),IFERROR(VLOOKUP(B369,#REF!,5,FALSE),"No encontrado. Revisar código, fecha ejecución y/o contrato."))))))))</f>
        <v/>
      </c>
      <c r="D369" s="88" t="str">
        <f>IF(B369="","",
IFERROR(VLOOKUP(B369,'Maestro Materiales'!A:C,2,FALSE),
IFERROR(VLOOKUP(B369,'Baremos actuales'!A:B,2,FALSE),
IFERROR(VLOOKUP(B369,'Baremos anteriores'!A:B,2,FALSE),
""))))</f>
        <v/>
      </c>
      <c r="E369" s="9"/>
      <c r="F369" s="89" t="str">
        <f>IF(D369="MATE",
IF(E369="","¿Unidades?",""),
IF(D369="",IF(E369="","","¿Código?"),
IF(E369="","¿Unidades?",
IF(D369="TARE",
IF(M369=$H$3,IFERROR(VLOOKUP(B369,'Baremos actuales'!A:C,3,FALSE),0),
IF(M369=$H$4,IFERROR(VLOOKUP(B369,'Baremos anteriores'!A:C,3,FALSE),0),0))))))</f>
        <v/>
      </c>
      <c r="G369" s="7"/>
      <c r="H369" s="8"/>
      <c r="I369" s="8"/>
      <c r="J369" s="78" t="str">
        <f>IF($D369="","",
IF($E369="","",
IF($D369="MATE","",
IF(VLOOKUP($B369,'Baremos actuales'!A:D,4,FALSE)=J$9,$E369*$F369,IF(VLOOKUP($B369,'Baremos anteriores'!A:D,4,FALSE)="Sin Definir",$E369*$F369,"")))))</f>
        <v/>
      </c>
      <c r="K369" s="79" t="str">
        <f>IF($D369="","",
IF($E369="","",
IF($D369="MATE","",
IF(VLOOKUP($B369,'Baremos actuales'!$A:$D,4,FALSE)=K$9,$E369*$F369,IF(VLOOKUP($B369,'Baremos anteriores'!$A:$D,4,FALSE)="Desmonte",$E369*$F369,"")))))</f>
        <v/>
      </c>
      <c r="L369" s="80" t="str">
        <f>IF($D369="","",
IF($E369="","",
IF($D369="MATE","",
IF(VLOOKUP($B369,'Baremos actuales'!$A:$D,4,FALSE)=L$9,$E369*$F369,""))))</f>
        <v/>
      </c>
      <c r="M369" s="91" t="str">
        <f t="shared" si="5"/>
        <v/>
      </c>
      <c r="N369" s="96"/>
      <c r="O369" s="95"/>
      <c r="P369" s="96"/>
      <c r="Q369" s="98"/>
    </row>
    <row r="370" spans="1:17" ht="15.75" x14ac:dyDescent="0.2">
      <c r="A370" s="17"/>
      <c r="B370" s="18"/>
      <c r="C370" s="87" t="str">
        <f>IF(B370="","",
IF(M370=$H$5,IFERROR(VLOOKUP(B370,'Baremos actuales'!A:E,5,FALSE),"No encontrado. Revisar código, fecha ejecución y/o contrato."),
IF(M370=$H$4,IFERROR(VLOOKUP(B370,'Baremos anteriores'!A:E,5,FALSE),"No encontrado. Revisar código, fecha ejecución y/o contrato."),
IF(M370=$H$3,IFERROR(VLOOKUP(B370,#REF!,5,FALSE),"No encontrado. Revisar código, fecha ejecución y/o contrato."),
IF(D370="","Código no encontrado",
IF(D370="ERROR","No encontrado. Revisar Código, fecha de ejecución y/o contrato.",
IF(D370="MATE",
IF(C369="DESCRIPCION","NO SE PUEDE COMENZAR SIN CÓDIGO DE TAREA",
IF(C369="","FALTA CÓDIGO DE TAREA",
CONCATENATE("          ",VLOOKUP(B370,'Maestro Materiales'!A:C,3,FALSE)))),IFERROR(VLOOKUP(B370,#REF!,5,FALSE),"No encontrado. Revisar código, fecha ejecución y/o contrato."))))))))</f>
        <v/>
      </c>
      <c r="D370" s="88" t="str">
        <f>IF(B370="","",
IFERROR(VLOOKUP(B370,'Maestro Materiales'!A:C,2,FALSE),
IFERROR(VLOOKUP(B370,'Baremos actuales'!A:B,2,FALSE),
IFERROR(VLOOKUP(B370,'Baremos anteriores'!A:B,2,FALSE),
""))))</f>
        <v/>
      </c>
      <c r="E370" s="9"/>
      <c r="F370" s="89" t="str">
        <f>IF(D370="MATE",
IF(E370="","¿Unidades?",""),
IF(D370="",IF(E370="","","¿Código?"),
IF(E370="","¿Unidades?",
IF(D370="TARE",
IF(M370=$H$3,IFERROR(VLOOKUP(B370,'Baremos actuales'!A:C,3,FALSE),0),
IF(M370=$H$4,IFERROR(VLOOKUP(B370,'Baremos anteriores'!A:C,3,FALSE),0),0))))))</f>
        <v/>
      </c>
      <c r="G370" s="7"/>
      <c r="H370" s="8"/>
      <c r="I370" s="8"/>
      <c r="J370" s="78" t="str">
        <f>IF($D370="","",
IF($E370="","",
IF($D370="MATE","",
IF(VLOOKUP($B370,'Baremos actuales'!A:D,4,FALSE)=J$9,$E370*$F370,IF(VLOOKUP($B370,'Baremos anteriores'!A:D,4,FALSE)="Sin Definir",$E370*$F370,"")))))</f>
        <v/>
      </c>
      <c r="K370" s="79" t="str">
        <f>IF($D370="","",
IF($E370="","",
IF($D370="MATE","",
IF(VLOOKUP($B370,'Baremos actuales'!$A:$D,4,FALSE)=K$9,$E370*$F370,IF(VLOOKUP($B370,'Baremos anteriores'!$A:$D,4,FALSE)="Desmonte",$E370*$F370,"")))))</f>
        <v/>
      </c>
      <c r="L370" s="80" t="str">
        <f>IF($D370="","",
IF($E370="","",
IF($D370="MATE","",
IF(VLOOKUP($B370,'Baremos actuales'!$A:$D,4,FALSE)=L$9,$E370*$F370,""))))</f>
        <v/>
      </c>
      <c r="M370" s="91" t="str">
        <f t="shared" si="5"/>
        <v/>
      </c>
      <c r="N370" s="96"/>
      <c r="O370" s="95"/>
      <c r="P370" s="96"/>
      <c r="Q370" s="98"/>
    </row>
    <row r="371" spans="1:17" ht="15.75" x14ac:dyDescent="0.2">
      <c r="A371" s="17"/>
      <c r="B371" s="18"/>
      <c r="C371" s="87" t="str">
        <f>IF(B371="","",
IF(M371=$H$5,IFERROR(VLOOKUP(B371,'Baremos actuales'!A:E,5,FALSE),"No encontrado. Revisar código, fecha ejecución y/o contrato."),
IF(M371=$H$4,IFERROR(VLOOKUP(B371,'Baremos anteriores'!A:E,5,FALSE),"No encontrado. Revisar código, fecha ejecución y/o contrato."),
IF(M371=$H$3,IFERROR(VLOOKUP(B371,#REF!,5,FALSE),"No encontrado. Revisar código, fecha ejecución y/o contrato."),
IF(D371="","Código no encontrado",
IF(D371="ERROR","No encontrado. Revisar Código, fecha de ejecución y/o contrato.",
IF(D371="MATE",
IF(C370="DESCRIPCION","NO SE PUEDE COMENZAR SIN CÓDIGO DE TAREA",
IF(C370="","FALTA CÓDIGO DE TAREA",
CONCATENATE("          ",VLOOKUP(B371,'Maestro Materiales'!A:C,3,FALSE)))),IFERROR(VLOOKUP(B371,#REF!,5,FALSE),"No encontrado. Revisar código, fecha ejecución y/o contrato."))))))))</f>
        <v/>
      </c>
      <c r="D371" s="88" t="str">
        <f>IF(B371="","",
IFERROR(VLOOKUP(B371,'Maestro Materiales'!A:C,2,FALSE),
IFERROR(VLOOKUP(B371,'Baremos actuales'!A:B,2,FALSE),
IFERROR(VLOOKUP(B371,'Baremos anteriores'!A:B,2,FALSE),
""))))</f>
        <v/>
      </c>
      <c r="E371" s="9"/>
      <c r="F371" s="89" t="str">
        <f>IF(D371="MATE",
IF(E371="","¿Unidades?",""),
IF(D371="",IF(E371="","","¿Código?"),
IF(E371="","¿Unidades?",
IF(D371="TARE",
IF(M371=$H$3,IFERROR(VLOOKUP(B371,'Baremos actuales'!A:C,3,FALSE),0),
IF(M371=$H$4,IFERROR(VLOOKUP(B371,'Baremos anteriores'!A:C,3,FALSE),0),0))))))</f>
        <v/>
      </c>
      <c r="G371" s="7"/>
      <c r="H371" s="8"/>
      <c r="I371" s="8"/>
      <c r="J371" s="78" t="str">
        <f>IF($D371="","",
IF($E371="","",
IF($D371="MATE","",
IF(VLOOKUP($B371,'Baremos actuales'!A:D,4,FALSE)=J$9,$E371*$F371,IF(VLOOKUP($B371,'Baremos anteriores'!A:D,4,FALSE)="Sin Definir",$E371*$F371,"")))))</f>
        <v/>
      </c>
      <c r="K371" s="79" t="str">
        <f>IF($D371="","",
IF($E371="","",
IF($D371="MATE","",
IF(VLOOKUP($B371,'Baremos actuales'!$A:$D,4,FALSE)=K$9,$E371*$F371,IF(VLOOKUP($B371,'Baremos anteriores'!$A:$D,4,FALSE)="Desmonte",$E371*$F371,"")))))</f>
        <v/>
      </c>
      <c r="L371" s="80" t="str">
        <f>IF($D371="","",
IF($E371="","",
IF($D371="MATE","",
IF(VLOOKUP($B371,'Baremos actuales'!$A:$D,4,FALSE)=L$9,$E371*$F371,""))))</f>
        <v/>
      </c>
      <c r="M371" s="91" t="str">
        <f t="shared" si="5"/>
        <v/>
      </c>
      <c r="N371" s="96"/>
      <c r="O371" s="95"/>
      <c r="P371" s="96"/>
      <c r="Q371" s="98"/>
    </row>
    <row r="372" spans="1:17" ht="15.75" x14ac:dyDescent="0.2">
      <c r="A372" s="17"/>
      <c r="B372" s="18"/>
      <c r="C372" s="87" t="str">
        <f>IF(B372="","",
IF(M372=$H$5,IFERROR(VLOOKUP(B372,'Baremos actuales'!A:E,5,FALSE),"No encontrado. Revisar código, fecha ejecución y/o contrato."),
IF(M372=$H$4,IFERROR(VLOOKUP(B372,'Baremos anteriores'!A:E,5,FALSE),"No encontrado. Revisar código, fecha ejecución y/o contrato."),
IF(M372=$H$3,IFERROR(VLOOKUP(B372,#REF!,5,FALSE),"No encontrado. Revisar código, fecha ejecución y/o contrato."),
IF(D372="","Código no encontrado",
IF(D372="ERROR","No encontrado. Revisar Código, fecha de ejecución y/o contrato.",
IF(D372="MATE",
IF(C371="DESCRIPCION","NO SE PUEDE COMENZAR SIN CÓDIGO DE TAREA",
IF(C371="","FALTA CÓDIGO DE TAREA",
CONCATENATE("          ",VLOOKUP(B372,'Maestro Materiales'!A:C,3,FALSE)))),IFERROR(VLOOKUP(B372,#REF!,5,FALSE),"No encontrado. Revisar código, fecha ejecución y/o contrato."))))))))</f>
        <v/>
      </c>
      <c r="D372" s="88" t="str">
        <f>IF(B372="","",
IFERROR(VLOOKUP(B372,'Maestro Materiales'!A:C,2,FALSE),
IFERROR(VLOOKUP(B372,'Baremos actuales'!A:B,2,FALSE),
IFERROR(VLOOKUP(B372,'Baremos anteriores'!A:B,2,FALSE),
""))))</f>
        <v/>
      </c>
      <c r="E372" s="9"/>
      <c r="F372" s="89" t="str">
        <f>IF(D372="MATE",
IF(E372="","¿Unidades?",""),
IF(D372="",IF(E372="","","¿Código?"),
IF(E372="","¿Unidades?",
IF(D372="TARE",
IF(M372=$H$3,IFERROR(VLOOKUP(B372,'Baremos actuales'!A:C,3,FALSE),0),
IF(M372=$H$4,IFERROR(VLOOKUP(B372,'Baremos anteriores'!A:C,3,FALSE),0),0))))))</f>
        <v/>
      </c>
      <c r="G372" s="7"/>
      <c r="H372" s="8"/>
      <c r="I372" s="8"/>
      <c r="J372" s="78" t="str">
        <f>IF($D372="","",
IF($E372="","",
IF($D372="MATE","",
IF(VLOOKUP($B372,'Baremos actuales'!A:D,4,FALSE)=J$9,$E372*$F372,IF(VLOOKUP($B372,'Baremos anteriores'!A:D,4,FALSE)="Sin Definir",$E372*$F372,"")))))</f>
        <v/>
      </c>
      <c r="K372" s="79" t="str">
        <f>IF($D372="","",
IF($E372="","",
IF($D372="MATE","",
IF(VLOOKUP($B372,'Baremos actuales'!$A:$D,4,FALSE)=K$9,$E372*$F372,IF(VLOOKUP($B372,'Baremos anteriores'!$A:$D,4,FALSE)="Desmonte",$E372*$F372,"")))))</f>
        <v/>
      </c>
      <c r="L372" s="80" t="str">
        <f>IF($D372="","",
IF($E372="","",
IF($D372="MATE","",
IF(VLOOKUP($B372,'Baremos actuales'!$A:$D,4,FALSE)=L$9,$E372*$F372,""))))</f>
        <v/>
      </c>
      <c r="M372" s="91" t="str">
        <f t="shared" si="5"/>
        <v/>
      </c>
      <c r="N372" s="96"/>
      <c r="O372" s="95"/>
      <c r="P372" s="96"/>
      <c r="Q372" s="98"/>
    </row>
    <row r="373" spans="1:17" ht="15.75" x14ac:dyDescent="0.2">
      <c r="A373" s="17"/>
      <c r="B373" s="18"/>
      <c r="C373" s="87" t="str">
        <f>IF(B373="","",
IF(M373=$H$5,IFERROR(VLOOKUP(B373,'Baremos actuales'!A:E,5,FALSE),"No encontrado. Revisar código, fecha ejecución y/o contrato."),
IF(M373=$H$4,IFERROR(VLOOKUP(B373,'Baremos anteriores'!A:E,5,FALSE),"No encontrado. Revisar código, fecha ejecución y/o contrato."),
IF(M373=$H$3,IFERROR(VLOOKUP(B373,#REF!,5,FALSE),"No encontrado. Revisar código, fecha ejecución y/o contrato."),
IF(D373="","Código no encontrado",
IF(D373="ERROR","No encontrado. Revisar Código, fecha de ejecución y/o contrato.",
IF(D373="MATE",
IF(C372="DESCRIPCION","NO SE PUEDE COMENZAR SIN CÓDIGO DE TAREA",
IF(C372="","FALTA CÓDIGO DE TAREA",
CONCATENATE("          ",VLOOKUP(B373,'Maestro Materiales'!A:C,3,FALSE)))),IFERROR(VLOOKUP(B373,#REF!,5,FALSE),"No encontrado. Revisar código, fecha ejecución y/o contrato."))))))))</f>
        <v/>
      </c>
      <c r="D373" s="88" t="str">
        <f>IF(B373="","",
IFERROR(VLOOKUP(B373,'Maestro Materiales'!A:C,2,FALSE),
IFERROR(VLOOKUP(B373,'Baremos actuales'!A:B,2,FALSE),
IFERROR(VLOOKUP(B373,'Baremos anteriores'!A:B,2,FALSE),
""))))</f>
        <v/>
      </c>
      <c r="E373" s="9"/>
      <c r="F373" s="89" t="str">
        <f>IF(D373="MATE",
IF(E373="","¿Unidades?",""),
IF(D373="",IF(E373="","","¿Código?"),
IF(E373="","¿Unidades?",
IF(D373="TARE",
IF(M373=$H$3,IFERROR(VLOOKUP(B373,'Baremos actuales'!A:C,3,FALSE),0),
IF(M373=$H$4,IFERROR(VLOOKUP(B373,'Baremos anteriores'!A:C,3,FALSE),0),0))))))</f>
        <v/>
      </c>
      <c r="G373" s="7"/>
      <c r="H373" s="8"/>
      <c r="I373" s="8"/>
      <c r="J373" s="78" t="str">
        <f>IF($D373="","",
IF($E373="","",
IF($D373="MATE","",
IF(VLOOKUP($B373,'Baremos actuales'!A:D,4,FALSE)=J$9,$E373*$F373,IF(VLOOKUP($B373,'Baremos anteriores'!A:D,4,FALSE)="Sin Definir",$E373*$F373,"")))))</f>
        <v/>
      </c>
      <c r="K373" s="79" t="str">
        <f>IF($D373="","",
IF($E373="","",
IF($D373="MATE","",
IF(VLOOKUP($B373,'Baremos actuales'!$A:$D,4,FALSE)=K$9,$E373*$F373,IF(VLOOKUP($B373,'Baremos anteriores'!$A:$D,4,FALSE)="Desmonte",$E373*$F373,"")))))</f>
        <v/>
      </c>
      <c r="L373" s="80" t="str">
        <f>IF($D373="","",
IF($E373="","",
IF($D373="MATE","",
IF(VLOOKUP($B373,'Baremos actuales'!$A:$D,4,FALSE)=L$9,$E373*$F373,""))))</f>
        <v/>
      </c>
      <c r="M373" s="91" t="str">
        <f t="shared" si="5"/>
        <v/>
      </c>
      <c r="N373" s="96"/>
      <c r="O373" s="95"/>
      <c r="P373" s="96"/>
      <c r="Q373" s="98"/>
    </row>
    <row r="374" spans="1:17" ht="15.75" x14ac:dyDescent="0.2">
      <c r="A374" s="17"/>
      <c r="B374" s="18"/>
      <c r="C374" s="87" t="str">
        <f>IF(B374="","",
IF(M374=$H$5,IFERROR(VLOOKUP(B374,'Baremos actuales'!A:E,5,FALSE),"No encontrado. Revisar código, fecha ejecución y/o contrato."),
IF(M374=$H$4,IFERROR(VLOOKUP(B374,'Baremos anteriores'!A:E,5,FALSE),"No encontrado. Revisar código, fecha ejecución y/o contrato."),
IF(M374=$H$3,IFERROR(VLOOKUP(B374,#REF!,5,FALSE),"No encontrado. Revisar código, fecha ejecución y/o contrato."),
IF(D374="","Código no encontrado",
IF(D374="ERROR","No encontrado. Revisar Código, fecha de ejecución y/o contrato.",
IF(D374="MATE",
IF(C373="DESCRIPCION","NO SE PUEDE COMENZAR SIN CÓDIGO DE TAREA",
IF(C373="","FALTA CÓDIGO DE TAREA",
CONCATENATE("          ",VLOOKUP(B374,'Maestro Materiales'!A:C,3,FALSE)))),IFERROR(VLOOKUP(B374,#REF!,5,FALSE),"No encontrado. Revisar código, fecha ejecución y/o contrato."))))))))</f>
        <v/>
      </c>
      <c r="D374" s="88" t="str">
        <f>IF(B374="","",
IFERROR(VLOOKUP(B374,'Maestro Materiales'!A:C,2,FALSE),
IFERROR(VLOOKUP(B374,'Baremos actuales'!A:B,2,FALSE),
IFERROR(VLOOKUP(B374,'Baremos anteriores'!A:B,2,FALSE),
""))))</f>
        <v/>
      </c>
      <c r="E374" s="9"/>
      <c r="F374" s="89" t="str">
        <f>IF(D374="MATE",
IF(E374="","¿Unidades?",""),
IF(D374="",IF(E374="","","¿Código?"),
IF(E374="","¿Unidades?",
IF(D374="TARE",
IF(M374=$H$3,IFERROR(VLOOKUP(B374,'Baremos actuales'!A:C,3,FALSE),0),
IF(M374=$H$4,IFERROR(VLOOKUP(B374,'Baremos anteriores'!A:C,3,FALSE),0),0))))))</f>
        <v/>
      </c>
      <c r="G374" s="7"/>
      <c r="H374" s="8"/>
      <c r="I374" s="8"/>
      <c r="J374" s="78" t="str">
        <f>IF($D374="","",
IF($E374="","",
IF($D374="MATE","",
IF(VLOOKUP($B374,'Baremos actuales'!A:D,4,FALSE)=J$9,$E374*$F374,IF(VLOOKUP($B374,'Baremos anteriores'!A:D,4,FALSE)="Sin Definir",$E374*$F374,"")))))</f>
        <v/>
      </c>
      <c r="K374" s="79" t="str">
        <f>IF($D374="","",
IF($E374="","",
IF($D374="MATE","",
IF(VLOOKUP($B374,'Baremos actuales'!$A:$D,4,FALSE)=K$9,$E374*$F374,IF(VLOOKUP($B374,'Baremos anteriores'!$A:$D,4,FALSE)="Desmonte",$E374*$F374,"")))))</f>
        <v/>
      </c>
      <c r="L374" s="80" t="str">
        <f>IF($D374="","",
IF($E374="","",
IF($D374="MATE","",
IF(VLOOKUP($B374,'Baremos actuales'!$A:$D,4,FALSE)=L$9,$E374*$F374,""))))</f>
        <v/>
      </c>
      <c r="M374" s="91" t="str">
        <f t="shared" si="5"/>
        <v/>
      </c>
      <c r="N374" s="96"/>
      <c r="O374" s="95"/>
      <c r="P374" s="96"/>
      <c r="Q374" s="98"/>
    </row>
    <row r="375" spans="1:17" ht="15.75" x14ac:dyDescent="0.2">
      <c r="A375" s="17"/>
      <c r="B375" s="18"/>
      <c r="C375" s="87" t="str">
        <f>IF(B375="","",
IF(M375=$H$5,IFERROR(VLOOKUP(B375,'Baremos actuales'!A:E,5,FALSE),"No encontrado. Revisar código, fecha ejecución y/o contrato."),
IF(M375=$H$4,IFERROR(VLOOKUP(B375,'Baremos anteriores'!A:E,5,FALSE),"No encontrado. Revisar código, fecha ejecución y/o contrato."),
IF(M375=$H$3,IFERROR(VLOOKUP(B375,#REF!,5,FALSE),"No encontrado. Revisar código, fecha ejecución y/o contrato."),
IF(D375="","Código no encontrado",
IF(D375="ERROR","No encontrado. Revisar Código, fecha de ejecución y/o contrato.",
IF(D375="MATE",
IF(C374="DESCRIPCION","NO SE PUEDE COMENZAR SIN CÓDIGO DE TAREA",
IF(C374="","FALTA CÓDIGO DE TAREA",
CONCATENATE("          ",VLOOKUP(B375,'Maestro Materiales'!A:C,3,FALSE)))),IFERROR(VLOOKUP(B375,#REF!,5,FALSE),"No encontrado. Revisar código, fecha ejecución y/o contrato."))))))))</f>
        <v/>
      </c>
      <c r="D375" s="88" t="str">
        <f>IF(B375="","",
IFERROR(VLOOKUP(B375,'Maestro Materiales'!A:C,2,FALSE),
IFERROR(VLOOKUP(B375,'Baremos actuales'!A:B,2,FALSE),
IFERROR(VLOOKUP(B375,'Baremos anteriores'!A:B,2,FALSE),
""))))</f>
        <v/>
      </c>
      <c r="E375" s="9"/>
      <c r="F375" s="89" t="str">
        <f>IF(D375="MATE",
IF(E375="","¿Unidades?",""),
IF(D375="",IF(E375="","","¿Código?"),
IF(E375="","¿Unidades?",
IF(D375="TARE",
IF(M375=$H$3,IFERROR(VLOOKUP(B375,'Baremos actuales'!A:C,3,FALSE),0),
IF(M375=$H$4,IFERROR(VLOOKUP(B375,'Baremos anteriores'!A:C,3,FALSE),0),0))))))</f>
        <v/>
      </c>
      <c r="G375" s="7"/>
      <c r="H375" s="8"/>
      <c r="I375" s="8"/>
      <c r="J375" s="78" t="str">
        <f>IF($D375="","",
IF($E375="","",
IF($D375="MATE","",
IF(VLOOKUP($B375,'Baremos actuales'!A:D,4,FALSE)=J$9,$E375*$F375,IF(VLOOKUP($B375,'Baremos anteriores'!A:D,4,FALSE)="Sin Definir",$E375*$F375,"")))))</f>
        <v/>
      </c>
      <c r="K375" s="79" t="str">
        <f>IF($D375="","",
IF($E375="","",
IF($D375="MATE","",
IF(VLOOKUP($B375,'Baremos actuales'!$A:$D,4,FALSE)=K$9,$E375*$F375,IF(VLOOKUP($B375,'Baremos anteriores'!$A:$D,4,FALSE)="Desmonte",$E375*$F375,"")))))</f>
        <v/>
      </c>
      <c r="L375" s="80" t="str">
        <f>IF($D375="","",
IF($E375="","",
IF($D375="MATE","",
IF(VLOOKUP($B375,'Baremos actuales'!$A:$D,4,FALSE)=L$9,$E375*$F375,""))))</f>
        <v/>
      </c>
      <c r="M375" s="91" t="str">
        <f t="shared" si="5"/>
        <v/>
      </c>
      <c r="N375" s="96"/>
      <c r="O375" s="95"/>
      <c r="P375" s="96"/>
      <c r="Q375" s="98"/>
    </row>
    <row r="376" spans="1:17" ht="15.75" x14ac:dyDescent="0.2">
      <c r="A376" s="17"/>
      <c r="B376" s="18"/>
      <c r="C376" s="87" t="str">
        <f>IF(B376="","",
IF(M376=$H$5,IFERROR(VLOOKUP(B376,'Baremos actuales'!A:E,5,FALSE),"No encontrado. Revisar código, fecha ejecución y/o contrato."),
IF(M376=$H$4,IFERROR(VLOOKUP(B376,'Baremos anteriores'!A:E,5,FALSE),"No encontrado. Revisar código, fecha ejecución y/o contrato."),
IF(M376=$H$3,IFERROR(VLOOKUP(B376,#REF!,5,FALSE),"No encontrado. Revisar código, fecha ejecución y/o contrato."),
IF(D376="","Código no encontrado",
IF(D376="ERROR","No encontrado. Revisar Código, fecha de ejecución y/o contrato.",
IF(D376="MATE",
IF(C375="DESCRIPCION","NO SE PUEDE COMENZAR SIN CÓDIGO DE TAREA",
IF(C375="","FALTA CÓDIGO DE TAREA",
CONCATENATE("          ",VLOOKUP(B376,'Maestro Materiales'!A:C,3,FALSE)))),IFERROR(VLOOKUP(B376,#REF!,5,FALSE),"No encontrado. Revisar código, fecha ejecución y/o contrato."))))))))</f>
        <v/>
      </c>
      <c r="D376" s="88" t="str">
        <f>IF(B376="","",
IFERROR(VLOOKUP(B376,'Maestro Materiales'!A:C,2,FALSE),
IFERROR(VLOOKUP(B376,'Baremos actuales'!A:B,2,FALSE),
IFERROR(VLOOKUP(B376,'Baremos anteriores'!A:B,2,FALSE),
""))))</f>
        <v/>
      </c>
      <c r="E376" s="9"/>
      <c r="F376" s="89" t="str">
        <f>IF(D376="MATE",
IF(E376="","¿Unidades?",""),
IF(D376="",IF(E376="","","¿Código?"),
IF(E376="","¿Unidades?",
IF(D376="TARE",
IF(M376=$H$3,IFERROR(VLOOKUP(B376,'Baremos actuales'!A:C,3,FALSE),0),
IF(M376=$H$4,IFERROR(VLOOKUP(B376,'Baremos anteriores'!A:C,3,FALSE),0),0))))))</f>
        <v/>
      </c>
      <c r="G376" s="7"/>
      <c r="H376" s="8"/>
      <c r="I376" s="8"/>
      <c r="J376" s="78" t="str">
        <f>IF($D376="","",
IF($E376="","",
IF($D376="MATE","",
IF(VLOOKUP($B376,'Baremos actuales'!A:D,4,FALSE)=J$9,$E376*$F376,IF(VLOOKUP($B376,'Baremos anteriores'!A:D,4,FALSE)="Sin Definir",$E376*$F376,"")))))</f>
        <v/>
      </c>
      <c r="K376" s="79" t="str">
        <f>IF($D376="","",
IF($E376="","",
IF($D376="MATE","",
IF(VLOOKUP($B376,'Baremos actuales'!$A:$D,4,FALSE)=K$9,$E376*$F376,IF(VLOOKUP($B376,'Baremos anteriores'!$A:$D,4,FALSE)="Desmonte",$E376*$F376,"")))))</f>
        <v/>
      </c>
      <c r="L376" s="80" t="str">
        <f>IF($D376="","",
IF($E376="","",
IF($D376="MATE","",
IF(VLOOKUP($B376,'Baremos actuales'!$A:$D,4,FALSE)=L$9,$E376*$F376,""))))</f>
        <v/>
      </c>
      <c r="M376" s="91" t="str">
        <f t="shared" si="5"/>
        <v/>
      </c>
      <c r="N376" s="96"/>
      <c r="O376" s="95"/>
      <c r="P376" s="96"/>
      <c r="Q376" s="98"/>
    </row>
    <row r="377" spans="1:17" ht="15.75" x14ac:dyDescent="0.2">
      <c r="A377" s="17"/>
      <c r="B377" s="18"/>
      <c r="C377" s="87" t="str">
        <f>IF(B377="","",
IF(M377=$H$5,IFERROR(VLOOKUP(B377,'Baremos actuales'!A:E,5,FALSE),"No encontrado. Revisar código, fecha ejecución y/o contrato."),
IF(M377=$H$4,IFERROR(VLOOKUP(B377,'Baremos anteriores'!A:E,5,FALSE),"No encontrado. Revisar código, fecha ejecución y/o contrato."),
IF(M377=$H$3,IFERROR(VLOOKUP(B377,#REF!,5,FALSE),"No encontrado. Revisar código, fecha ejecución y/o contrato."),
IF(D377="","Código no encontrado",
IF(D377="ERROR","No encontrado. Revisar Código, fecha de ejecución y/o contrato.",
IF(D377="MATE",
IF(C376="DESCRIPCION","NO SE PUEDE COMENZAR SIN CÓDIGO DE TAREA",
IF(C376="","FALTA CÓDIGO DE TAREA",
CONCATENATE("          ",VLOOKUP(B377,'Maestro Materiales'!A:C,3,FALSE)))),IFERROR(VLOOKUP(B377,#REF!,5,FALSE),"No encontrado. Revisar código, fecha ejecución y/o contrato."))))))))</f>
        <v/>
      </c>
      <c r="D377" s="88" t="str">
        <f>IF(B377="","",
IFERROR(VLOOKUP(B377,'Maestro Materiales'!A:C,2,FALSE),
IFERROR(VLOOKUP(B377,'Baremos actuales'!A:B,2,FALSE),
IFERROR(VLOOKUP(B377,'Baremos anteriores'!A:B,2,FALSE),
""))))</f>
        <v/>
      </c>
      <c r="E377" s="9"/>
      <c r="F377" s="89" t="str">
        <f>IF(D377="MATE",
IF(E377="","¿Unidades?",""),
IF(D377="",IF(E377="","","¿Código?"),
IF(E377="","¿Unidades?",
IF(D377="TARE",
IF(M377=$H$3,IFERROR(VLOOKUP(B377,'Baremos actuales'!A:C,3,FALSE),0),
IF(M377=$H$4,IFERROR(VLOOKUP(B377,'Baremos anteriores'!A:C,3,FALSE),0),0))))))</f>
        <v/>
      </c>
      <c r="G377" s="7"/>
      <c r="H377" s="8"/>
      <c r="I377" s="8"/>
      <c r="J377" s="78" t="str">
        <f>IF($D377="","",
IF($E377="","",
IF($D377="MATE","",
IF(VLOOKUP($B377,'Baremos actuales'!A:D,4,FALSE)=J$9,$E377*$F377,IF(VLOOKUP($B377,'Baremos anteriores'!A:D,4,FALSE)="Sin Definir",$E377*$F377,"")))))</f>
        <v/>
      </c>
      <c r="K377" s="79" t="str">
        <f>IF($D377="","",
IF($E377="","",
IF($D377="MATE","",
IF(VLOOKUP($B377,'Baremos actuales'!$A:$D,4,FALSE)=K$9,$E377*$F377,IF(VLOOKUP($B377,'Baremos anteriores'!$A:$D,4,FALSE)="Desmonte",$E377*$F377,"")))))</f>
        <v/>
      </c>
      <c r="L377" s="80" t="str">
        <f>IF($D377="","",
IF($E377="","",
IF($D377="MATE","",
IF(VLOOKUP($B377,'Baremos actuales'!$A:$D,4,FALSE)=L$9,$E377*$F377,""))))</f>
        <v/>
      </c>
      <c r="M377" s="91" t="str">
        <f t="shared" si="5"/>
        <v/>
      </c>
      <c r="N377" s="96"/>
      <c r="O377" s="95"/>
      <c r="P377" s="96"/>
      <c r="Q377" s="98"/>
    </row>
    <row r="378" spans="1:17" ht="15.75" x14ac:dyDescent="0.2">
      <c r="A378" s="17"/>
      <c r="B378" s="18"/>
      <c r="C378" s="87" t="str">
        <f>IF(B378="","",
IF(M378=$H$5,IFERROR(VLOOKUP(B378,'Baremos actuales'!A:E,5,FALSE),"No encontrado. Revisar código, fecha ejecución y/o contrato."),
IF(M378=$H$4,IFERROR(VLOOKUP(B378,'Baremos anteriores'!A:E,5,FALSE),"No encontrado. Revisar código, fecha ejecución y/o contrato."),
IF(M378=$H$3,IFERROR(VLOOKUP(B378,#REF!,5,FALSE),"No encontrado. Revisar código, fecha ejecución y/o contrato."),
IF(D378="","Código no encontrado",
IF(D378="ERROR","No encontrado. Revisar Código, fecha de ejecución y/o contrato.",
IF(D378="MATE",
IF(C377="DESCRIPCION","NO SE PUEDE COMENZAR SIN CÓDIGO DE TAREA",
IF(C377="","FALTA CÓDIGO DE TAREA",
CONCATENATE("          ",VLOOKUP(B378,'Maestro Materiales'!A:C,3,FALSE)))),IFERROR(VLOOKUP(B378,#REF!,5,FALSE),"No encontrado. Revisar código, fecha ejecución y/o contrato."))))))))</f>
        <v/>
      </c>
      <c r="D378" s="88" t="str">
        <f>IF(B378="","",
IFERROR(VLOOKUP(B378,'Maestro Materiales'!A:C,2,FALSE),
IFERROR(VLOOKUP(B378,'Baremos actuales'!A:B,2,FALSE),
IFERROR(VLOOKUP(B378,'Baremos anteriores'!A:B,2,FALSE),
""))))</f>
        <v/>
      </c>
      <c r="E378" s="9"/>
      <c r="F378" s="89" t="str">
        <f>IF(D378="MATE",
IF(E378="","¿Unidades?",""),
IF(D378="",IF(E378="","","¿Código?"),
IF(E378="","¿Unidades?",
IF(D378="TARE",
IF(M378=$H$3,IFERROR(VLOOKUP(B378,'Baremos actuales'!A:C,3,FALSE),0),
IF(M378=$H$4,IFERROR(VLOOKUP(B378,'Baremos anteriores'!A:C,3,FALSE),0),0))))))</f>
        <v/>
      </c>
      <c r="G378" s="7"/>
      <c r="H378" s="8"/>
      <c r="I378" s="8"/>
      <c r="J378" s="78" t="str">
        <f>IF($D378="","",
IF($E378="","",
IF($D378="MATE","",
IF(VLOOKUP($B378,'Baremos actuales'!A:D,4,FALSE)=J$9,$E378*$F378,IF(VLOOKUP($B378,'Baremos anteriores'!A:D,4,FALSE)="Sin Definir",$E378*$F378,"")))))</f>
        <v/>
      </c>
      <c r="K378" s="79" t="str">
        <f>IF($D378="","",
IF($E378="","",
IF($D378="MATE","",
IF(VLOOKUP($B378,'Baremos actuales'!$A:$D,4,FALSE)=K$9,$E378*$F378,IF(VLOOKUP($B378,'Baremos anteriores'!$A:$D,4,FALSE)="Desmonte",$E378*$F378,"")))))</f>
        <v/>
      </c>
      <c r="L378" s="80" t="str">
        <f>IF($D378="","",
IF($E378="","",
IF($D378="MATE","",
IF(VLOOKUP($B378,'Baremos actuales'!$A:$D,4,FALSE)=L$9,$E378*$F378,""))))</f>
        <v/>
      </c>
      <c r="M378" s="91" t="str">
        <f t="shared" si="5"/>
        <v/>
      </c>
      <c r="N378" s="96"/>
      <c r="O378" s="95"/>
      <c r="P378" s="96"/>
      <c r="Q378" s="98"/>
    </row>
    <row r="379" spans="1:17" ht="15.75" x14ac:dyDescent="0.2">
      <c r="A379" s="17"/>
      <c r="B379" s="18"/>
      <c r="C379" s="87" t="str">
        <f>IF(B379="","",
IF(M379=$H$5,IFERROR(VLOOKUP(B379,'Baremos actuales'!A:E,5,FALSE),"No encontrado. Revisar código, fecha ejecución y/o contrato."),
IF(M379=$H$4,IFERROR(VLOOKUP(B379,'Baremos anteriores'!A:E,5,FALSE),"No encontrado. Revisar código, fecha ejecución y/o contrato."),
IF(M379=$H$3,IFERROR(VLOOKUP(B379,#REF!,5,FALSE),"No encontrado. Revisar código, fecha ejecución y/o contrato."),
IF(D379="","Código no encontrado",
IF(D379="ERROR","No encontrado. Revisar Código, fecha de ejecución y/o contrato.",
IF(D379="MATE",
IF(C378="DESCRIPCION","NO SE PUEDE COMENZAR SIN CÓDIGO DE TAREA",
IF(C378="","FALTA CÓDIGO DE TAREA",
CONCATENATE("          ",VLOOKUP(B379,'Maestro Materiales'!A:C,3,FALSE)))),IFERROR(VLOOKUP(B379,#REF!,5,FALSE),"No encontrado. Revisar código, fecha ejecución y/o contrato."))))))))</f>
        <v/>
      </c>
      <c r="D379" s="88" t="str">
        <f>IF(B379="","",
IFERROR(VLOOKUP(B379,'Maestro Materiales'!A:C,2,FALSE),
IFERROR(VLOOKUP(B379,'Baremos actuales'!A:B,2,FALSE),
IFERROR(VLOOKUP(B379,'Baremos anteriores'!A:B,2,FALSE),
""))))</f>
        <v/>
      </c>
      <c r="E379" s="9"/>
      <c r="F379" s="89" t="str">
        <f>IF(D379="MATE",
IF(E379="","¿Unidades?",""),
IF(D379="",IF(E379="","","¿Código?"),
IF(E379="","¿Unidades?",
IF(D379="TARE",
IF(M379=$H$3,IFERROR(VLOOKUP(B379,'Baremos actuales'!A:C,3,FALSE),0),
IF(M379=$H$4,IFERROR(VLOOKUP(B379,'Baremos anteriores'!A:C,3,FALSE),0),0))))))</f>
        <v/>
      </c>
      <c r="G379" s="7"/>
      <c r="H379" s="8"/>
      <c r="I379" s="8"/>
      <c r="J379" s="78" t="str">
        <f>IF($D379="","",
IF($E379="","",
IF($D379="MATE","",
IF(VLOOKUP($B379,'Baremos actuales'!A:D,4,FALSE)=J$9,$E379*$F379,IF(VLOOKUP($B379,'Baremos anteriores'!A:D,4,FALSE)="Sin Definir",$E379*$F379,"")))))</f>
        <v/>
      </c>
      <c r="K379" s="79" t="str">
        <f>IF($D379="","",
IF($E379="","",
IF($D379="MATE","",
IF(VLOOKUP($B379,'Baremos actuales'!$A:$D,4,FALSE)=K$9,$E379*$F379,IF(VLOOKUP($B379,'Baremos anteriores'!$A:$D,4,FALSE)="Desmonte",$E379*$F379,"")))))</f>
        <v/>
      </c>
      <c r="L379" s="80" t="str">
        <f>IF($D379="","",
IF($E379="","",
IF($D379="MATE","",
IF(VLOOKUP($B379,'Baremos actuales'!$A:$D,4,FALSE)=L$9,$E379*$F379,""))))</f>
        <v/>
      </c>
      <c r="M379" s="91" t="str">
        <f t="shared" si="5"/>
        <v/>
      </c>
      <c r="N379" s="96"/>
      <c r="O379" s="95"/>
      <c r="P379" s="96"/>
      <c r="Q379" s="98"/>
    </row>
    <row r="380" spans="1:17" ht="15.75" x14ac:dyDescent="0.2">
      <c r="A380" s="17"/>
      <c r="B380" s="18"/>
      <c r="C380" s="87" t="str">
        <f>IF(B380="","",
IF(M380=$H$5,IFERROR(VLOOKUP(B380,'Baremos actuales'!A:E,5,FALSE),"No encontrado. Revisar código, fecha ejecución y/o contrato."),
IF(M380=$H$4,IFERROR(VLOOKUP(B380,'Baremos anteriores'!A:E,5,FALSE),"No encontrado. Revisar código, fecha ejecución y/o contrato."),
IF(M380=$H$3,IFERROR(VLOOKUP(B380,#REF!,5,FALSE),"No encontrado. Revisar código, fecha ejecución y/o contrato."),
IF(D380="","Código no encontrado",
IF(D380="ERROR","No encontrado. Revisar Código, fecha de ejecución y/o contrato.",
IF(D380="MATE",
IF(C379="DESCRIPCION","NO SE PUEDE COMENZAR SIN CÓDIGO DE TAREA",
IF(C379="","FALTA CÓDIGO DE TAREA",
CONCATENATE("          ",VLOOKUP(B380,'Maestro Materiales'!A:C,3,FALSE)))),IFERROR(VLOOKUP(B380,#REF!,5,FALSE),"No encontrado. Revisar código, fecha ejecución y/o contrato."))))))))</f>
        <v/>
      </c>
      <c r="D380" s="88" t="str">
        <f>IF(B380="","",
IFERROR(VLOOKUP(B380,'Maestro Materiales'!A:C,2,FALSE),
IFERROR(VLOOKUP(B380,'Baremos actuales'!A:B,2,FALSE),
IFERROR(VLOOKUP(B380,'Baremos anteriores'!A:B,2,FALSE),
""))))</f>
        <v/>
      </c>
      <c r="E380" s="9"/>
      <c r="F380" s="89" t="str">
        <f>IF(D380="MATE",
IF(E380="","¿Unidades?",""),
IF(D380="",IF(E380="","","¿Código?"),
IF(E380="","¿Unidades?",
IF(D380="TARE",
IF(M380=$H$3,IFERROR(VLOOKUP(B380,'Baremos actuales'!A:C,3,FALSE),0),
IF(M380=$H$4,IFERROR(VLOOKUP(B380,'Baremos anteriores'!A:C,3,FALSE),0),0))))))</f>
        <v/>
      </c>
      <c r="G380" s="7"/>
      <c r="H380" s="8"/>
      <c r="I380" s="8"/>
      <c r="J380" s="78" t="str">
        <f>IF($D380="","",
IF($E380="","",
IF($D380="MATE","",
IF(VLOOKUP($B380,'Baremos actuales'!A:D,4,FALSE)=J$9,$E380*$F380,IF(VLOOKUP($B380,'Baremos anteriores'!A:D,4,FALSE)="Sin Definir",$E380*$F380,"")))))</f>
        <v/>
      </c>
      <c r="K380" s="79" t="str">
        <f>IF($D380="","",
IF($E380="","",
IF($D380="MATE","",
IF(VLOOKUP($B380,'Baremos actuales'!$A:$D,4,FALSE)=K$9,$E380*$F380,IF(VLOOKUP($B380,'Baremos anteriores'!$A:$D,4,FALSE)="Desmonte",$E380*$F380,"")))))</f>
        <v/>
      </c>
      <c r="L380" s="80" t="str">
        <f>IF($D380="","",
IF($E380="","",
IF($D380="MATE","",
IF(VLOOKUP($B380,'Baremos actuales'!$A:$D,4,FALSE)=L$9,$E380*$F380,""))))</f>
        <v/>
      </c>
      <c r="M380" s="91" t="str">
        <f t="shared" si="5"/>
        <v/>
      </c>
      <c r="N380" s="96"/>
      <c r="O380" s="95"/>
      <c r="P380" s="96"/>
      <c r="Q380" s="98"/>
    </row>
    <row r="381" spans="1:17" ht="15.75" x14ac:dyDescent="0.2">
      <c r="A381" s="17"/>
      <c r="B381" s="18"/>
      <c r="C381" s="87" t="str">
        <f>IF(B381="","",
IF(M381=$H$5,IFERROR(VLOOKUP(B381,'Baremos actuales'!A:E,5,FALSE),"No encontrado. Revisar código, fecha ejecución y/o contrato."),
IF(M381=$H$4,IFERROR(VLOOKUP(B381,'Baremos anteriores'!A:E,5,FALSE),"No encontrado. Revisar código, fecha ejecución y/o contrato."),
IF(M381=$H$3,IFERROR(VLOOKUP(B381,#REF!,5,FALSE),"No encontrado. Revisar código, fecha ejecución y/o contrato."),
IF(D381="","Código no encontrado",
IF(D381="ERROR","No encontrado. Revisar Código, fecha de ejecución y/o contrato.",
IF(D381="MATE",
IF(C380="DESCRIPCION","NO SE PUEDE COMENZAR SIN CÓDIGO DE TAREA",
IF(C380="","FALTA CÓDIGO DE TAREA",
CONCATENATE("          ",VLOOKUP(B381,'Maestro Materiales'!A:C,3,FALSE)))),IFERROR(VLOOKUP(B381,#REF!,5,FALSE),"No encontrado. Revisar código, fecha ejecución y/o contrato."))))))))</f>
        <v/>
      </c>
      <c r="D381" s="88" t="str">
        <f>IF(B381="","",
IFERROR(VLOOKUP(B381,'Maestro Materiales'!A:C,2,FALSE),
IFERROR(VLOOKUP(B381,'Baremos actuales'!A:B,2,FALSE),
IFERROR(VLOOKUP(B381,'Baremos anteriores'!A:B,2,FALSE),
""))))</f>
        <v/>
      </c>
      <c r="E381" s="9"/>
      <c r="F381" s="89" t="str">
        <f>IF(D381="MATE",
IF(E381="","¿Unidades?",""),
IF(D381="",IF(E381="","","¿Código?"),
IF(E381="","¿Unidades?",
IF(D381="TARE",
IF(M381=$H$3,IFERROR(VLOOKUP(B381,'Baremos actuales'!A:C,3,FALSE),0),
IF(M381=$H$4,IFERROR(VLOOKUP(B381,'Baremos anteriores'!A:C,3,FALSE),0),0))))))</f>
        <v/>
      </c>
      <c r="G381" s="7"/>
      <c r="H381" s="8"/>
      <c r="I381" s="8"/>
      <c r="J381" s="78" t="str">
        <f>IF($D381="","",
IF($E381="","",
IF($D381="MATE","",
IF(VLOOKUP($B381,'Baremos actuales'!A:D,4,FALSE)=J$9,$E381*$F381,IF(VLOOKUP($B381,'Baremos anteriores'!A:D,4,FALSE)="Sin Definir",$E381*$F381,"")))))</f>
        <v/>
      </c>
      <c r="K381" s="79" t="str">
        <f>IF($D381="","",
IF($E381="","",
IF($D381="MATE","",
IF(VLOOKUP($B381,'Baremos actuales'!$A:$D,4,FALSE)=K$9,$E381*$F381,IF(VLOOKUP($B381,'Baremos anteriores'!$A:$D,4,FALSE)="Desmonte",$E381*$F381,"")))))</f>
        <v/>
      </c>
      <c r="L381" s="80" t="str">
        <f>IF($D381="","",
IF($E381="","",
IF($D381="MATE","",
IF(VLOOKUP($B381,'Baremos actuales'!$A:$D,4,FALSE)=L$9,$E381*$F381,""))))</f>
        <v/>
      </c>
      <c r="M381" s="91" t="str">
        <f t="shared" si="5"/>
        <v/>
      </c>
      <c r="N381" s="96"/>
      <c r="O381" s="95"/>
      <c r="P381" s="96"/>
      <c r="Q381" s="98"/>
    </row>
    <row r="382" spans="1:17" ht="15.75" x14ac:dyDescent="0.2">
      <c r="A382" s="17"/>
      <c r="B382" s="18"/>
      <c r="C382" s="87" t="str">
        <f>IF(B382="","",
IF(M382=$H$5,IFERROR(VLOOKUP(B382,'Baremos actuales'!A:E,5,FALSE),"No encontrado. Revisar código, fecha ejecución y/o contrato."),
IF(M382=$H$4,IFERROR(VLOOKUP(B382,'Baremos anteriores'!A:E,5,FALSE),"No encontrado. Revisar código, fecha ejecución y/o contrato."),
IF(M382=$H$3,IFERROR(VLOOKUP(B382,#REF!,5,FALSE),"No encontrado. Revisar código, fecha ejecución y/o contrato."),
IF(D382="","Código no encontrado",
IF(D382="ERROR","No encontrado. Revisar Código, fecha de ejecución y/o contrato.",
IF(D382="MATE",
IF(C381="DESCRIPCION","NO SE PUEDE COMENZAR SIN CÓDIGO DE TAREA",
IF(C381="","FALTA CÓDIGO DE TAREA",
CONCATENATE("          ",VLOOKUP(B382,'Maestro Materiales'!A:C,3,FALSE)))),IFERROR(VLOOKUP(B382,#REF!,5,FALSE),"No encontrado. Revisar código, fecha ejecución y/o contrato."))))))))</f>
        <v/>
      </c>
      <c r="D382" s="88" t="str">
        <f>IF(B382="","",
IFERROR(VLOOKUP(B382,'Maestro Materiales'!A:C,2,FALSE),
IFERROR(VLOOKUP(B382,'Baremos actuales'!A:B,2,FALSE),
IFERROR(VLOOKUP(B382,'Baremos anteriores'!A:B,2,FALSE),
""))))</f>
        <v/>
      </c>
      <c r="E382" s="9"/>
      <c r="F382" s="89" t="str">
        <f>IF(D382="MATE",
IF(E382="","¿Unidades?",""),
IF(D382="",IF(E382="","","¿Código?"),
IF(E382="","¿Unidades?",
IF(D382="TARE",
IF(M382=$H$3,IFERROR(VLOOKUP(B382,'Baremos actuales'!A:C,3,FALSE),0),
IF(M382=$H$4,IFERROR(VLOOKUP(B382,'Baremos anteriores'!A:C,3,FALSE),0),0))))))</f>
        <v/>
      </c>
      <c r="G382" s="7"/>
      <c r="H382" s="8"/>
      <c r="I382" s="8"/>
      <c r="J382" s="78" t="str">
        <f>IF($D382="","",
IF($E382="","",
IF($D382="MATE","",
IF(VLOOKUP($B382,'Baremos actuales'!A:D,4,FALSE)=J$9,$E382*$F382,IF(VLOOKUP($B382,'Baremos anteriores'!A:D,4,FALSE)="Sin Definir",$E382*$F382,"")))))</f>
        <v/>
      </c>
      <c r="K382" s="79" t="str">
        <f>IF($D382="","",
IF($E382="","",
IF($D382="MATE","",
IF(VLOOKUP($B382,'Baremos actuales'!$A:$D,4,FALSE)=K$9,$E382*$F382,IF(VLOOKUP($B382,'Baremos anteriores'!$A:$D,4,FALSE)="Desmonte",$E382*$F382,"")))))</f>
        <v/>
      </c>
      <c r="L382" s="80" t="str">
        <f>IF($D382="","",
IF($E382="","",
IF($D382="MATE","",
IF(VLOOKUP($B382,'Baremos actuales'!$A:$D,4,FALSE)=L$9,$E382*$F382,""))))</f>
        <v/>
      </c>
      <c r="M382" s="91" t="str">
        <f t="shared" si="5"/>
        <v/>
      </c>
      <c r="N382" s="96"/>
      <c r="O382" s="95"/>
      <c r="P382" s="96"/>
      <c r="Q382" s="98"/>
    </row>
    <row r="383" spans="1:17" ht="15.75" x14ac:dyDescent="0.2">
      <c r="A383" s="17"/>
      <c r="B383" s="18"/>
      <c r="C383" s="87" t="str">
        <f>IF(B383="","",
IF(M383=$H$5,IFERROR(VLOOKUP(B383,'Baremos actuales'!A:E,5,FALSE),"No encontrado. Revisar código, fecha ejecución y/o contrato."),
IF(M383=$H$4,IFERROR(VLOOKUP(B383,'Baremos anteriores'!A:E,5,FALSE),"No encontrado. Revisar código, fecha ejecución y/o contrato."),
IF(M383=$H$3,IFERROR(VLOOKUP(B383,#REF!,5,FALSE),"No encontrado. Revisar código, fecha ejecución y/o contrato."),
IF(D383="","Código no encontrado",
IF(D383="ERROR","No encontrado. Revisar Código, fecha de ejecución y/o contrato.",
IF(D383="MATE",
IF(C382="DESCRIPCION","NO SE PUEDE COMENZAR SIN CÓDIGO DE TAREA",
IF(C382="","FALTA CÓDIGO DE TAREA",
CONCATENATE("          ",VLOOKUP(B383,'Maestro Materiales'!A:C,3,FALSE)))),IFERROR(VLOOKUP(B383,#REF!,5,FALSE),"No encontrado. Revisar código, fecha ejecución y/o contrato."))))))))</f>
        <v/>
      </c>
      <c r="D383" s="88" t="str">
        <f>IF(B383="","",
IFERROR(VLOOKUP(B383,'Maestro Materiales'!A:C,2,FALSE),
IFERROR(VLOOKUP(B383,'Baremos actuales'!A:B,2,FALSE),
IFERROR(VLOOKUP(B383,'Baremos anteriores'!A:B,2,FALSE),
""))))</f>
        <v/>
      </c>
      <c r="E383" s="9"/>
      <c r="F383" s="89" t="str">
        <f>IF(D383="MATE",
IF(E383="","¿Unidades?",""),
IF(D383="",IF(E383="","","¿Código?"),
IF(E383="","¿Unidades?",
IF(D383="TARE",
IF(M383=$H$3,IFERROR(VLOOKUP(B383,'Baremos actuales'!A:C,3,FALSE),0),
IF(M383=$H$4,IFERROR(VLOOKUP(B383,'Baremos anteriores'!A:C,3,FALSE),0),0))))))</f>
        <v/>
      </c>
      <c r="G383" s="7"/>
      <c r="H383" s="8"/>
      <c r="I383" s="8"/>
      <c r="J383" s="78" t="str">
        <f>IF($D383="","",
IF($E383="","",
IF($D383="MATE","",
IF(VLOOKUP($B383,'Baremos actuales'!A:D,4,FALSE)=J$9,$E383*$F383,IF(VLOOKUP($B383,'Baremos anteriores'!A:D,4,FALSE)="Sin Definir",$E383*$F383,"")))))</f>
        <v/>
      </c>
      <c r="K383" s="79" t="str">
        <f>IF($D383="","",
IF($E383="","",
IF($D383="MATE","",
IF(VLOOKUP($B383,'Baremos actuales'!$A:$D,4,FALSE)=K$9,$E383*$F383,IF(VLOOKUP($B383,'Baremos anteriores'!$A:$D,4,FALSE)="Desmonte",$E383*$F383,"")))))</f>
        <v/>
      </c>
      <c r="L383" s="80" t="str">
        <f>IF($D383="","",
IF($E383="","",
IF($D383="MATE","",
IF(VLOOKUP($B383,'Baremos actuales'!$A:$D,4,FALSE)=L$9,$E383*$F383,""))))</f>
        <v/>
      </c>
      <c r="M383" s="91" t="str">
        <f t="shared" si="5"/>
        <v/>
      </c>
      <c r="N383" s="96"/>
      <c r="O383" s="95"/>
      <c r="P383" s="96"/>
      <c r="Q383" s="98"/>
    </row>
    <row r="384" spans="1:17" ht="15.75" x14ac:dyDescent="0.2">
      <c r="A384" s="17"/>
      <c r="B384" s="18"/>
      <c r="C384" s="87" t="str">
        <f>IF(B384="","",
IF(M384=$H$5,IFERROR(VLOOKUP(B384,'Baremos actuales'!A:E,5,FALSE),"No encontrado. Revisar código, fecha ejecución y/o contrato."),
IF(M384=$H$4,IFERROR(VLOOKUP(B384,'Baremos anteriores'!A:E,5,FALSE),"No encontrado. Revisar código, fecha ejecución y/o contrato."),
IF(M384=$H$3,IFERROR(VLOOKUP(B384,#REF!,5,FALSE),"No encontrado. Revisar código, fecha ejecución y/o contrato."),
IF(D384="","Código no encontrado",
IF(D384="ERROR","No encontrado. Revisar Código, fecha de ejecución y/o contrato.",
IF(D384="MATE",
IF(C383="DESCRIPCION","NO SE PUEDE COMENZAR SIN CÓDIGO DE TAREA",
IF(C383="","FALTA CÓDIGO DE TAREA",
CONCATENATE("          ",VLOOKUP(B384,'Maestro Materiales'!A:C,3,FALSE)))),IFERROR(VLOOKUP(B384,#REF!,5,FALSE),"No encontrado. Revisar código, fecha ejecución y/o contrato."))))))))</f>
        <v/>
      </c>
      <c r="D384" s="88" t="str">
        <f>IF(B384="","",
IFERROR(VLOOKUP(B384,'Maestro Materiales'!A:C,2,FALSE),
IFERROR(VLOOKUP(B384,'Baremos actuales'!A:B,2,FALSE),
IFERROR(VLOOKUP(B384,'Baremos anteriores'!A:B,2,FALSE),
""))))</f>
        <v/>
      </c>
      <c r="E384" s="9"/>
      <c r="F384" s="89" t="str">
        <f>IF(D384="MATE",
IF(E384="","¿Unidades?",""),
IF(D384="",IF(E384="","","¿Código?"),
IF(E384="","¿Unidades?",
IF(D384="TARE",
IF(M384=$H$3,IFERROR(VLOOKUP(B384,'Baremos actuales'!A:C,3,FALSE),0),
IF(M384=$H$4,IFERROR(VLOOKUP(B384,'Baremos anteriores'!A:C,3,FALSE),0),0))))))</f>
        <v/>
      </c>
      <c r="G384" s="7"/>
      <c r="H384" s="8"/>
      <c r="I384" s="8"/>
      <c r="J384" s="78" t="str">
        <f>IF($D384="","",
IF($E384="","",
IF($D384="MATE","",
IF(VLOOKUP($B384,'Baremos actuales'!A:D,4,FALSE)=J$9,$E384*$F384,IF(VLOOKUP($B384,'Baremos anteriores'!A:D,4,FALSE)="Sin Definir",$E384*$F384,"")))))</f>
        <v/>
      </c>
      <c r="K384" s="79" t="str">
        <f>IF($D384="","",
IF($E384="","",
IF($D384="MATE","",
IF(VLOOKUP($B384,'Baremos actuales'!$A:$D,4,FALSE)=K$9,$E384*$F384,IF(VLOOKUP($B384,'Baremos anteriores'!$A:$D,4,FALSE)="Desmonte",$E384*$F384,"")))))</f>
        <v/>
      </c>
      <c r="L384" s="80" t="str">
        <f>IF($D384="","",
IF($E384="","",
IF($D384="MATE","",
IF(VLOOKUP($B384,'Baremos actuales'!$A:$D,4,FALSE)=L$9,$E384*$F384,""))))</f>
        <v/>
      </c>
      <c r="M384" s="91" t="str">
        <f t="shared" si="5"/>
        <v/>
      </c>
      <c r="N384" s="96"/>
      <c r="O384" s="95"/>
      <c r="P384" s="96"/>
      <c r="Q384" s="98"/>
    </row>
    <row r="385" spans="1:17" ht="15.75" x14ac:dyDescent="0.2">
      <c r="A385" s="17"/>
      <c r="B385" s="18"/>
      <c r="C385" s="87" t="str">
        <f>IF(B385="","",
IF(M385=$H$5,IFERROR(VLOOKUP(B385,'Baremos actuales'!A:E,5,FALSE),"No encontrado. Revisar código, fecha ejecución y/o contrato."),
IF(M385=$H$4,IFERROR(VLOOKUP(B385,'Baremos anteriores'!A:E,5,FALSE),"No encontrado. Revisar código, fecha ejecución y/o contrato."),
IF(M385=$H$3,IFERROR(VLOOKUP(B385,#REF!,5,FALSE),"No encontrado. Revisar código, fecha ejecución y/o contrato."),
IF(D385="","Código no encontrado",
IF(D385="ERROR","No encontrado. Revisar Código, fecha de ejecución y/o contrato.",
IF(D385="MATE",
IF(C384="DESCRIPCION","NO SE PUEDE COMENZAR SIN CÓDIGO DE TAREA",
IF(C384="","FALTA CÓDIGO DE TAREA",
CONCATENATE("          ",VLOOKUP(B385,'Maestro Materiales'!A:C,3,FALSE)))),IFERROR(VLOOKUP(B385,#REF!,5,FALSE),"No encontrado. Revisar código, fecha ejecución y/o contrato."))))))))</f>
        <v/>
      </c>
      <c r="D385" s="88" t="str">
        <f>IF(B385="","",
IFERROR(VLOOKUP(B385,'Maestro Materiales'!A:C,2,FALSE),
IFERROR(VLOOKUP(B385,'Baremos actuales'!A:B,2,FALSE),
IFERROR(VLOOKUP(B385,'Baremos anteriores'!A:B,2,FALSE),
""))))</f>
        <v/>
      </c>
      <c r="E385" s="9"/>
      <c r="F385" s="89" t="str">
        <f>IF(D385="MATE",
IF(E385="","¿Unidades?",""),
IF(D385="",IF(E385="","","¿Código?"),
IF(E385="","¿Unidades?",
IF(D385="TARE",
IF(M385=$H$3,IFERROR(VLOOKUP(B385,'Baremos actuales'!A:C,3,FALSE),0),
IF(M385=$H$4,IFERROR(VLOOKUP(B385,'Baremos anteriores'!A:C,3,FALSE),0),0))))))</f>
        <v/>
      </c>
      <c r="G385" s="7"/>
      <c r="H385" s="8"/>
      <c r="I385" s="8"/>
      <c r="J385" s="78" t="str">
        <f>IF($D385="","",
IF($E385="","",
IF($D385="MATE","",
IF(VLOOKUP($B385,'Baremos actuales'!A:D,4,FALSE)=J$9,$E385*$F385,IF(VLOOKUP($B385,'Baremos anteriores'!A:D,4,FALSE)="Sin Definir",$E385*$F385,"")))))</f>
        <v/>
      </c>
      <c r="K385" s="79" t="str">
        <f>IF($D385="","",
IF($E385="","",
IF($D385="MATE","",
IF(VLOOKUP($B385,'Baremos actuales'!$A:$D,4,FALSE)=K$9,$E385*$F385,IF(VLOOKUP($B385,'Baremos anteriores'!$A:$D,4,FALSE)="Desmonte",$E385*$F385,"")))))</f>
        <v/>
      </c>
      <c r="L385" s="80" t="str">
        <f>IF($D385="","",
IF($E385="","",
IF($D385="MATE","",
IF(VLOOKUP($B385,'Baremos actuales'!$A:$D,4,FALSE)=L$9,$E385*$F385,""))))</f>
        <v/>
      </c>
      <c r="M385" s="91" t="str">
        <f t="shared" si="5"/>
        <v/>
      </c>
      <c r="N385" s="96"/>
      <c r="O385" s="95"/>
      <c r="P385" s="96"/>
      <c r="Q385" s="98"/>
    </row>
    <row r="386" spans="1:17" ht="15.75" x14ac:dyDescent="0.2">
      <c r="A386" s="17"/>
      <c r="B386" s="18"/>
      <c r="C386" s="87" t="str">
        <f>IF(B386="","",
IF(M386=$H$5,IFERROR(VLOOKUP(B386,'Baremos actuales'!A:E,5,FALSE),"No encontrado. Revisar código, fecha ejecución y/o contrato."),
IF(M386=$H$4,IFERROR(VLOOKUP(B386,'Baremos anteriores'!A:E,5,FALSE),"No encontrado. Revisar código, fecha ejecución y/o contrato."),
IF(M386=$H$3,IFERROR(VLOOKUP(B386,#REF!,5,FALSE),"No encontrado. Revisar código, fecha ejecución y/o contrato."),
IF(D386="","Código no encontrado",
IF(D386="ERROR","No encontrado. Revisar Código, fecha de ejecución y/o contrato.",
IF(D386="MATE",
IF(C385="DESCRIPCION","NO SE PUEDE COMENZAR SIN CÓDIGO DE TAREA",
IF(C385="","FALTA CÓDIGO DE TAREA",
CONCATENATE("          ",VLOOKUP(B386,'Maestro Materiales'!A:C,3,FALSE)))),IFERROR(VLOOKUP(B386,#REF!,5,FALSE),"No encontrado. Revisar código, fecha ejecución y/o contrato."))))))))</f>
        <v/>
      </c>
      <c r="D386" s="88" t="str">
        <f>IF(B386="","",
IFERROR(VLOOKUP(B386,'Maestro Materiales'!A:C,2,FALSE),
IFERROR(VLOOKUP(B386,'Baremos actuales'!A:B,2,FALSE),
IFERROR(VLOOKUP(B386,'Baremos anteriores'!A:B,2,FALSE),
""))))</f>
        <v/>
      </c>
      <c r="E386" s="9"/>
      <c r="F386" s="89" t="str">
        <f>IF(D386="MATE",
IF(E386="","¿Unidades?",""),
IF(D386="",IF(E386="","","¿Código?"),
IF(E386="","¿Unidades?",
IF(D386="TARE",
IF(M386=$H$3,IFERROR(VLOOKUP(B386,'Baremos actuales'!A:C,3,FALSE),0),
IF(M386=$H$4,IFERROR(VLOOKUP(B386,'Baremos anteriores'!A:C,3,FALSE),0),0))))))</f>
        <v/>
      </c>
      <c r="G386" s="7"/>
      <c r="H386" s="8"/>
      <c r="I386" s="8"/>
      <c r="J386" s="78" t="str">
        <f>IF($D386="","",
IF($E386="","",
IF($D386="MATE","",
IF(VLOOKUP($B386,'Baremos actuales'!A:D,4,FALSE)=J$9,$E386*$F386,IF(VLOOKUP($B386,'Baremos anteriores'!A:D,4,FALSE)="Sin Definir",$E386*$F386,"")))))</f>
        <v/>
      </c>
      <c r="K386" s="79" t="str">
        <f>IF($D386="","",
IF($E386="","",
IF($D386="MATE","",
IF(VLOOKUP($B386,'Baremos actuales'!$A:$D,4,FALSE)=K$9,$E386*$F386,IF(VLOOKUP($B386,'Baremos anteriores'!$A:$D,4,FALSE)="Desmonte",$E386*$F386,"")))))</f>
        <v/>
      </c>
      <c r="L386" s="80" t="str">
        <f>IF($D386="","",
IF($E386="","",
IF($D386="MATE","",
IF(VLOOKUP($B386,'Baremos actuales'!$A:$D,4,FALSE)=L$9,$E386*$F386,""))))</f>
        <v/>
      </c>
      <c r="M386" s="91" t="str">
        <f t="shared" si="5"/>
        <v/>
      </c>
      <c r="N386" s="96"/>
      <c r="O386" s="95"/>
      <c r="P386" s="96"/>
      <c r="Q386" s="98"/>
    </row>
    <row r="387" spans="1:17" ht="15.75" x14ac:dyDescent="0.2">
      <c r="A387" s="17"/>
      <c r="B387" s="18"/>
      <c r="C387" s="87" t="str">
        <f>IF(B387="","",
IF(M387=$H$5,IFERROR(VLOOKUP(B387,'Baremos actuales'!A:E,5,FALSE),"No encontrado. Revisar código, fecha ejecución y/o contrato."),
IF(M387=$H$4,IFERROR(VLOOKUP(B387,'Baremos anteriores'!A:E,5,FALSE),"No encontrado. Revisar código, fecha ejecución y/o contrato."),
IF(M387=$H$3,IFERROR(VLOOKUP(B387,#REF!,5,FALSE),"No encontrado. Revisar código, fecha ejecución y/o contrato."),
IF(D387="","Código no encontrado",
IF(D387="ERROR","No encontrado. Revisar Código, fecha de ejecución y/o contrato.",
IF(D387="MATE",
IF(C386="DESCRIPCION","NO SE PUEDE COMENZAR SIN CÓDIGO DE TAREA",
IF(C386="","FALTA CÓDIGO DE TAREA",
CONCATENATE("          ",VLOOKUP(B387,'Maestro Materiales'!A:C,3,FALSE)))),IFERROR(VLOOKUP(B387,#REF!,5,FALSE),"No encontrado. Revisar código, fecha ejecución y/o contrato."))))))))</f>
        <v/>
      </c>
      <c r="D387" s="88" t="str">
        <f>IF(B387="","",
IFERROR(VLOOKUP(B387,'Maestro Materiales'!A:C,2,FALSE),
IFERROR(VLOOKUP(B387,'Baremos actuales'!A:B,2,FALSE),
IFERROR(VLOOKUP(B387,'Baremos anteriores'!A:B,2,FALSE),
""))))</f>
        <v/>
      </c>
      <c r="E387" s="9"/>
      <c r="F387" s="89" t="str">
        <f>IF(D387="MATE",
IF(E387="","¿Unidades?",""),
IF(D387="",IF(E387="","","¿Código?"),
IF(E387="","¿Unidades?",
IF(D387="TARE",
IF(M387=$H$3,IFERROR(VLOOKUP(B387,'Baremos actuales'!A:C,3,FALSE),0),
IF(M387=$H$4,IFERROR(VLOOKUP(B387,'Baremos anteriores'!A:C,3,FALSE),0),0))))))</f>
        <v/>
      </c>
      <c r="G387" s="7"/>
      <c r="H387" s="8"/>
      <c r="I387" s="8"/>
      <c r="J387" s="78" t="str">
        <f>IF($D387="","",
IF($E387="","",
IF($D387="MATE","",
IF(VLOOKUP($B387,'Baremos actuales'!A:D,4,FALSE)=J$9,$E387*$F387,IF(VLOOKUP($B387,'Baremos anteriores'!A:D,4,FALSE)="Sin Definir",$E387*$F387,"")))))</f>
        <v/>
      </c>
      <c r="K387" s="79" t="str">
        <f>IF($D387="","",
IF($E387="","",
IF($D387="MATE","",
IF(VLOOKUP($B387,'Baremos actuales'!$A:$D,4,FALSE)=K$9,$E387*$F387,IF(VLOOKUP($B387,'Baremos anteriores'!$A:$D,4,FALSE)="Desmonte",$E387*$F387,"")))))</f>
        <v/>
      </c>
      <c r="L387" s="80" t="str">
        <f>IF($D387="","",
IF($E387="","",
IF($D387="MATE","",
IF(VLOOKUP($B387,'Baremos actuales'!$A:$D,4,FALSE)=L$9,$E387*$F387,""))))</f>
        <v/>
      </c>
      <c r="M387" s="91" t="str">
        <f t="shared" si="5"/>
        <v/>
      </c>
      <c r="N387" s="96"/>
      <c r="O387" s="95"/>
      <c r="P387" s="96"/>
      <c r="Q387" s="98"/>
    </row>
    <row r="388" spans="1:17" ht="15.75" x14ac:dyDescent="0.2">
      <c r="A388" s="17"/>
      <c r="B388" s="18"/>
      <c r="C388" s="87" t="str">
        <f>IF(B388="","",
IF(M388=$H$5,IFERROR(VLOOKUP(B388,'Baremos actuales'!A:E,5,FALSE),"No encontrado. Revisar código, fecha ejecución y/o contrato."),
IF(M388=$H$4,IFERROR(VLOOKUP(B388,'Baremos anteriores'!A:E,5,FALSE),"No encontrado. Revisar código, fecha ejecución y/o contrato."),
IF(M388=$H$3,IFERROR(VLOOKUP(B388,#REF!,5,FALSE),"No encontrado. Revisar código, fecha ejecución y/o contrato."),
IF(D388="","Código no encontrado",
IF(D388="ERROR","No encontrado. Revisar Código, fecha de ejecución y/o contrato.",
IF(D388="MATE",
IF(C387="DESCRIPCION","NO SE PUEDE COMENZAR SIN CÓDIGO DE TAREA",
IF(C387="","FALTA CÓDIGO DE TAREA",
CONCATENATE("          ",VLOOKUP(B388,'Maestro Materiales'!A:C,3,FALSE)))),IFERROR(VLOOKUP(B388,#REF!,5,FALSE),"No encontrado. Revisar código, fecha ejecución y/o contrato."))))))))</f>
        <v/>
      </c>
      <c r="D388" s="88" t="str">
        <f>IF(B388="","",
IFERROR(VLOOKUP(B388,'Maestro Materiales'!A:C,2,FALSE),
IFERROR(VLOOKUP(B388,'Baremos actuales'!A:B,2,FALSE),
IFERROR(VLOOKUP(B388,'Baremos anteriores'!A:B,2,FALSE),
""))))</f>
        <v/>
      </c>
      <c r="E388" s="9"/>
      <c r="F388" s="89" t="str">
        <f>IF(D388="MATE",
IF(E388="","¿Unidades?",""),
IF(D388="",IF(E388="","","¿Código?"),
IF(E388="","¿Unidades?",
IF(D388="TARE",
IF(M388=$H$3,IFERROR(VLOOKUP(B388,'Baremos actuales'!A:C,3,FALSE),0),
IF(M388=$H$4,IFERROR(VLOOKUP(B388,'Baremos anteriores'!A:C,3,FALSE),0),0))))))</f>
        <v/>
      </c>
      <c r="G388" s="7"/>
      <c r="H388" s="8"/>
      <c r="I388" s="8"/>
      <c r="J388" s="78" t="str">
        <f>IF($D388="","",
IF($E388="","",
IF($D388="MATE","",
IF(VLOOKUP($B388,'Baremos actuales'!A:D,4,FALSE)=J$9,$E388*$F388,IF(VLOOKUP($B388,'Baremos anteriores'!A:D,4,FALSE)="Sin Definir",$E388*$F388,"")))))</f>
        <v/>
      </c>
      <c r="K388" s="79" t="str">
        <f>IF($D388="","",
IF($E388="","",
IF($D388="MATE","",
IF(VLOOKUP($B388,'Baremos actuales'!$A:$D,4,FALSE)=K$9,$E388*$F388,IF(VLOOKUP($B388,'Baremos anteriores'!$A:$D,4,FALSE)="Desmonte",$E388*$F388,"")))))</f>
        <v/>
      </c>
      <c r="L388" s="80" t="str">
        <f>IF($D388="","",
IF($E388="","",
IF($D388="MATE","",
IF(VLOOKUP($B388,'Baremos actuales'!$A:$D,4,FALSE)=L$9,$E388*$F388,""))))</f>
        <v/>
      </c>
      <c r="M388" s="91" t="str">
        <f t="shared" si="5"/>
        <v/>
      </c>
      <c r="N388" s="96"/>
      <c r="O388" s="95"/>
      <c r="P388" s="96"/>
      <c r="Q388" s="98"/>
    </row>
    <row r="389" spans="1:17" ht="15.75" x14ac:dyDescent="0.2">
      <c r="A389" s="17"/>
      <c r="B389" s="18"/>
      <c r="C389" s="87" t="str">
        <f>IF(B389="","",
IF(M389=$H$5,IFERROR(VLOOKUP(B389,'Baremos actuales'!A:E,5,FALSE),"No encontrado. Revisar código, fecha ejecución y/o contrato."),
IF(M389=$H$4,IFERROR(VLOOKUP(B389,'Baremos anteriores'!A:E,5,FALSE),"No encontrado. Revisar código, fecha ejecución y/o contrato."),
IF(M389=$H$3,IFERROR(VLOOKUP(B389,#REF!,5,FALSE),"No encontrado. Revisar código, fecha ejecución y/o contrato."),
IF(D389="","Código no encontrado",
IF(D389="ERROR","No encontrado. Revisar Código, fecha de ejecución y/o contrato.",
IF(D389="MATE",
IF(C388="DESCRIPCION","NO SE PUEDE COMENZAR SIN CÓDIGO DE TAREA",
IF(C388="","FALTA CÓDIGO DE TAREA",
CONCATENATE("          ",VLOOKUP(B389,'Maestro Materiales'!A:C,3,FALSE)))),IFERROR(VLOOKUP(B389,#REF!,5,FALSE),"No encontrado. Revisar código, fecha ejecución y/o contrato."))))))))</f>
        <v/>
      </c>
      <c r="D389" s="88" t="str">
        <f>IF(B389="","",
IFERROR(VLOOKUP(B389,'Maestro Materiales'!A:C,2,FALSE),
IFERROR(VLOOKUP(B389,'Baremos actuales'!A:B,2,FALSE),
IFERROR(VLOOKUP(B389,'Baremos anteriores'!A:B,2,FALSE),
""))))</f>
        <v/>
      </c>
      <c r="E389" s="9"/>
      <c r="F389" s="89" t="str">
        <f>IF(D389="MATE",
IF(E389="","¿Unidades?",""),
IF(D389="",IF(E389="","","¿Código?"),
IF(E389="","¿Unidades?",
IF(D389="TARE",
IF(M389=$H$3,IFERROR(VLOOKUP(B389,'Baremos actuales'!A:C,3,FALSE),0),
IF(M389=$H$4,IFERROR(VLOOKUP(B389,'Baremos anteriores'!A:C,3,FALSE),0),0))))))</f>
        <v/>
      </c>
      <c r="G389" s="7"/>
      <c r="H389" s="8"/>
      <c r="I389" s="8"/>
      <c r="J389" s="78" t="str">
        <f>IF($D389="","",
IF($E389="","",
IF($D389="MATE","",
IF(VLOOKUP($B389,'Baremos actuales'!A:D,4,FALSE)=J$9,$E389*$F389,IF(VLOOKUP($B389,'Baremos anteriores'!A:D,4,FALSE)="Sin Definir",$E389*$F389,"")))))</f>
        <v/>
      </c>
      <c r="K389" s="79" t="str">
        <f>IF($D389="","",
IF($E389="","",
IF($D389="MATE","",
IF(VLOOKUP($B389,'Baremos actuales'!$A:$D,4,FALSE)=K$9,$E389*$F389,IF(VLOOKUP($B389,'Baremos anteriores'!$A:$D,4,FALSE)="Desmonte",$E389*$F389,"")))))</f>
        <v/>
      </c>
      <c r="L389" s="80" t="str">
        <f>IF($D389="","",
IF($E389="","",
IF($D389="MATE","",
IF(VLOOKUP($B389,'Baremos actuales'!$A:$D,4,FALSE)=L$9,$E389*$F389,""))))</f>
        <v/>
      </c>
      <c r="M389" s="91" t="str">
        <f t="shared" si="5"/>
        <v/>
      </c>
      <c r="N389" s="96"/>
      <c r="O389" s="95"/>
      <c r="P389" s="96"/>
      <c r="Q389" s="98"/>
    </row>
    <row r="390" spans="1:17" ht="15.75" x14ac:dyDescent="0.2">
      <c r="A390" s="17"/>
      <c r="B390" s="18"/>
      <c r="C390" s="87" t="str">
        <f>IF(B390="","",
IF(M390=$H$5,IFERROR(VLOOKUP(B390,'Baremos actuales'!A:E,5,FALSE),"No encontrado. Revisar código, fecha ejecución y/o contrato."),
IF(M390=$H$4,IFERROR(VLOOKUP(B390,'Baremos anteriores'!A:E,5,FALSE),"No encontrado. Revisar código, fecha ejecución y/o contrato."),
IF(M390=$H$3,IFERROR(VLOOKUP(B390,#REF!,5,FALSE),"No encontrado. Revisar código, fecha ejecución y/o contrato."),
IF(D390="","Código no encontrado",
IF(D390="ERROR","No encontrado. Revisar Código, fecha de ejecución y/o contrato.",
IF(D390="MATE",
IF(C389="DESCRIPCION","NO SE PUEDE COMENZAR SIN CÓDIGO DE TAREA",
IF(C389="","FALTA CÓDIGO DE TAREA",
CONCATENATE("          ",VLOOKUP(B390,'Maestro Materiales'!A:C,3,FALSE)))),IFERROR(VLOOKUP(B390,#REF!,5,FALSE),"No encontrado. Revisar código, fecha ejecución y/o contrato."))))))))</f>
        <v/>
      </c>
      <c r="D390" s="88" t="str">
        <f>IF(B390="","",
IFERROR(VLOOKUP(B390,'Maestro Materiales'!A:C,2,FALSE),
IFERROR(VLOOKUP(B390,'Baremos actuales'!A:B,2,FALSE),
IFERROR(VLOOKUP(B390,'Baremos anteriores'!A:B,2,FALSE),
""))))</f>
        <v/>
      </c>
      <c r="E390" s="9"/>
      <c r="F390" s="89" t="str">
        <f>IF(D390="MATE",
IF(E390="","¿Unidades?",""),
IF(D390="",IF(E390="","","¿Código?"),
IF(E390="","¿Unidades?",
IF(D390="TARE",
IF(M390=$H$3,IFERROR(VLOOKUP(B390,'Baremos actuales'!A:C,3,FALSE),0),
IF(M390=$H$4,IFERROR(VLOOKUP(B390,'Baremos anteriores'!A:C,3,FALSE),0),0))))))</f>
        <v/>
      </c>
      <c r="G390" s="7"/>
      <c r="H390" s="8"/>
      <c r="I390" s="8"/>
      <c r="J390" s="78" t="str">
        <f>IF($D390="","",
IF($E390="","",
IF($D390="MATE","",
IF(VLOOKUP($B390,'Baremos actuales'!A:D,4,FALSE)=J$9,$E390*$F390,IF(VLOOKUP($B390,'Baremos anteriores'!A:D,4,FALSE)="Sin Definir",$E390*$F390,"")))))</f>
        <v/>
      </c>
      <c r="K390" s="79" t="str">
        <f>IF($D390="","",
IF($E390="","",
IF($D390="MATE","",
IF(VLOOKUP($B390,'Baremos actuales'!$A:$D,4,FALSE)=K$9,$E390*$F390,IF(VLOOKUP($B390,'Baremos anteriores'!$A:$D,4,FALSE)="Desmonte",$E390*$F390,"")))))</f>
        <v/>
      </c>
      <c r="L390" s="80" t="str">
        <f>IF($D390="","",
IF($E390="","",
IF($D390="MATE","",
IF(VLOOKUP($B390,'Baremos actuales'!$A:$D,4,FALSE)=L$9,$E390*$F390,""))))</f>
        <v/>
      </c>
      <c r="M390" s="91" t="str">
        <f t="shared" si="5"/>
        <v/>
      </c>
      <c r="N390" s="96"/>
      <c r="O390" s="95"/>
      <c r="P390" s="96"/>
      <c r="Q390" s="98"/>
    </row>
    <row r="391" spans="1:17" ht="15.75" x14ac:dyDescent="0.2">
      <c r="A391" s="17"/>
      <c r="B391" s="18"/>
      <c r="C391" s="87" t="str">
        <f>IF(B391="","",
IF(M391=$H$5,IFERROR(VLOOKUP(B391,'Baremos actuales'!A:E,5,FALSE),"No encontrado. Revisar código, fecha ejecución y/o contrato."),
IF(M391=$H$4,IFERROR(VLOOKUP(B391,'Baremos anteriores'!A:E,5,FALSE),"No encontrado. Revisar código, fecha ejecución y/o contrato."),
IF(M391=$H$3,IFERROR(VLOOKUP(B391,#REF!,5,FALSE),"No encontrado. Revisar código, fecha ejecución y/o contrato."),
IF(D391="","Código no encontrado",
IF(D391="ERROR","No encontrado. Revisar Código, fecha de ejecución y/o contrato.",
IF(D391="MATE",
IF(C390="DESCRIPCION","NO SE PUEDE COMENZAR SIN CÓDIGO DE TAREA",
IF(C390="","FALTA CÓDIGO DE TAREA",
CONCATENATE("          ",VLOOKUP(B391,'Maestro Materiales'!A:C,3,FALSE)))),IFERROR(VLOOKUP(B391,#REF!,5,FALSE),"No encontrado. Revisar código, fecha ejecución y/o contrato."))))))))</f>
        <v/>
      </c>
      <c r="D391" s="88" t="str">
        <f>IF(B391="","",
IFERROR(VLOOKUP(B391,'Maestro Materiales'!A:C,2,FALSE),
IFERROR(VLOOKUP(B391,'Baremos actuales'!A:B,2,FALSE),
IFERROR(VLOOKUP(B391,'Baremos anteriores'!A:B,2,FALSE),
""))))</f>
        <v/>
      </c>
      <c r="E391" s="9"/>
      <c r="F391" s="89" t="str">
        <f>IF(D391="MATE",
IF(E391="","¿Unidades?",""),
IF(D391="",IF(E391="","","¿Código?"),
IF(E391="","¿Unidades?",
IF(D391="TARE",
IF(M391=$H$3,IFERROR(VLOOKUP(B391,'Baremos actuales'!A:C,3,FALSE),0),
IF(M391=$H$4,IFERROR(VLOOKUP(B391,'Baremos anteriores'!A:C,3,FALSE),0),0))))))</f>
        <v/>
      </c>
      <c r="G391" s="7"/>
      <c r="H391" s="8"/>
      <c r="I391" s="8"/>
      <c r="J391" s="78" t="str">
        <f>IF($D391="","",
IF($E391="","",
IF($D391="MATE","",
IF(VLOOKUP($B391,'Baremos actuales'!A:D,4,FALSE)=J$9,$E391*$F391,IF(VLOOKUP($B391,'Baremos anteriores'!A:D,4,FALSE)="Sin Definir",$E391*$F391,"")))))</f>
        <v/>
      </c>
      <c r="K391" s="79" t="str">
        <f>IF($D391="","",
IF($E391="","",
IF($D391="MATE","",
IF(VLOOKUP($B391,'Baremos actuales'!$A:$D,4,FALSE)=K$9,$E391*$F391,IF(VLOOKUP($B391,'Baremos anteriores'!$A:$D,4,FALSE)="Desmonte",$E391*$F391,"")))))</f>
        <v/>
      </c>
      <c r="L391" s="80" t="str">
        <f>IF($D391="","",
IF($E391="","",
IF($D391="MATE","",
IF(VLOOKUP($B391,'Baremos actuales'!$A:$D,4,FALSE)=L$9,$E391*$F391,""))))</f>
        <v/>
      </c>
      <c r="M391" s="91" t="str">
        <f t="shared" si="5"/>
        <v/>
      </c>
      <c r="N391" s="96"/>
      <c r="O391" s="95"/>
      <c r="P391" s="96"/>
      <c r="Q391" s="98"/>
    </row>
    <row r="392" spans="1:17" ht="15.75" x14ac:dyDescent="0.2">
      <c r="A392" s="17"/>
      <c r="B392" s="18"/>
      <c r="C392" s="87" t="str">
        <f>IF(B392="","",
IF(M392=$H$5,IFERROR(VLOOKUP(B392,'Baremos actuales'!A:E,5,FALSE),"No encontrado. Revisar código, fecha ejecución y/o contrato."),
IF(M392=$H$4,IFERROR(VLOOKUP(B392,'Baremos anteriores'!A:E,5,FALSE),"No encontrado. Revisar código, fecha ejecución y/o contrato."),
IF(M392=$H$3,IFERROR(VLOOKUP(B392,#REF!,5,FALSE),"No encontrado. Revisar código, fecha ejecución y/o contrato."),
IF(D392="","Código no encontrado",
IF(D392="ERROR","No encontrado. Revisar Código, fecha de ejecución y/o contrato.",
IF(D392="MATE",
IF(C391="DESCRIPCION","NO SE PUEDE COMENZAR SIN CÓDIGO DE TAREA",
IF(C391="","FALTA CÓDIGO DE TAREA",
CONCATENATE("          ",VLOOKUP(B392,'Maestro Materiales'!A:C,3,FALSE)))),IFERROR(VLOOKUP(B392,#REF!,5,FALSE),"No encontrado. Revisar código, fecha ejecución y/o contrato."))))))))</f>
        <v/>
      </c>
      <c r="D392" s="88" t="str">
        <f>IF(B392="","",
IFERROR(VLOOKUP(B392,'Maestro Materiales'!A:C,2,FALSE),
IFERROR(VLOOKUP(B392,'Baremos actuales'!A:B,2,FALSE),
IFERROR(VLOOKUP(B392,'Baremos anteriores'!A:B,2,FALSE),
""))))</f>
        <v/>
      </c>
      <c r="E392" s="9"/>
      <c r="F392" s="89" t="str">
        <f>IF(D392="MATE",
IF(E392="","¿Unidades?",""),
IF(D392="",IF(E392="","","¿Código?"),
IF(E392="","¿Unidades?",
IF(D392="TARE",
IF(M392=$H$3,IFERROR(VLOOKUP(B392,'Baremos actuales'!A:C,3,FALSE),0),
IF(M392=$H$4,IFERROR(VLOOKUP(B392,'Baremos anteriores'!A:C,3,FALSE),0),0))))))</f>
        <v/>
      </c>
      <c r="G392" s="7"/>
      <c r="H392" s="8"/>
      <c r="I392" s="8"/>
      <c r="J392" s="78" t="str">
        <f>IF($D392="","",
IF($E392="","",
IF($D392="MATE","",
IF(VLOOKUP($B392,'Baremos actuales'!A:D,4,FALSE)=J$9,$E392*$F392,IF(VLOOKUP($B392,'Baremos anteriores'!A:D,4,FALSE)="Sin Definir",$E392*$F392,"")))))</f>
        <v/>
      </c>
      <c r="K392" s="79" t="str">
        <f>IF($D392="","",
IF($E392="","",
IF($D392="MATE","",
IF(VLOOKUP($B392,'Baremos actuales'!$A:$D,4,FALSE)=K$9,$E392*$F392,IF(VLOOKUP($B392,'Baremos anteriores'!$A:$D,4,FALSE)="Desmonte",$E392*$F392,"")))))</f>
        <v/>
      </c>
      <c r="L392" s="80" t="str">
        <f>IF($D392="","",
IF($E392="","",
IF($D392="MATE","",
IF(VLOOKUP($B392,'Baremos actuales'!$A:$D,4,FALSE)=L$9,$E392*$F392,""))))</f>
        <v/>
      </c>
      <c r="M392" s="91" t="str">
        <f t="shared" si="5"/>
        <v/>
      </c>
      <c r="N392" s="96"/>
      <c r="O392" s="95"/>
      <c r="P392" s="96"/>
      <c r="Q392" s="98"/>
    </row>
    <row r="393" spans="1:17" ht="15.75" x14ac:dyDescent="0.2">
      <c r="A393" s="17"/>
      <c r="B393" s="18"/>
      <c r="C393" s="87" t="str">
        <f>IF(B393="","",
IF(M393=$H$5,IFERROR(VLOOKUP(B393,'Baremos actuales'!A:E,5,FALSE),"No encontrado. Revisar código, fecha ejecución y/o contrato."),
IF(M393=$H$4,IFERROR(VLOOKUP(B393,'Baremos anteriores'!A:E,5,FALSE),"No encontrado. Revisar código, fecha ejecución y/o contrato."),
IF(M393=$H$3,IFERROR(VLOOKUP(B393,#REF!,5,FALSE),"No encontrado. Revisar código, fecha ejecución y/o contrato."),
IF(D393="","Código no encontrado",
IF(D393="ERROR","No encontrado. Revisar Código, fecha de ejecución y/o contrato.",
IF(D393="MATE",
IF(C392="DESCRIPCION","NO SE PUEDE COMENZAR SIN CÓDIGO DE TAREA",
IF(C392="","FALTA CÓDIGO DE TAREA",
CONCATENATE("          ",VLOOKUP(B393,'Maestro Materiales'!A:C,3,FALSE)))),IFERROR(VLOOKUP(B393,#REF!,5,FALSE),"No encontrado. Revisar código, fecha ejecución y/o contrato."))))))))</f>
        <v/>
      </c>
      <c r="D393" s="88" t="str">
        <f>IF(B393="","",
IFERROR(VLOOKUP(B393,'Maestro Materiales'!A:C,2,FALSE),
IFERROR(VLOOKUP(B393,'Baremos actuales'!A:B,2,FALSE),
IFERROR(VLOOKUP(B393,'Baremos anteriores'!A:B,2,FALSE),
""))))</f>
        <v/>
      </c>
      <c r="E393" s="9"/>
      <c r="F393" s="89" t="str">
        <f>IF(D393="MATE",
IF(E393="","¿Unidades?",""),
IF(D393="",IF(E393="","","¿Código?"),
IF(E393="","¿Unidades?",
IF(D393="TARE",
IF(M393=$H$3,IFERROR(VLOOKUP(B393,'Baremos actuales'!A:C,3,FALSE),0),
IF(M393=$H$4,IFERROR(VLOOKUP(B393,'Baremos anteriores'!A:C,3,FALSE),0),0))))))</f>
        <v/>
      </c>
      <c r="G393" s="7"/>
      <c r="H393" s="8"/>
      <c r="I393" s="8"/>
      <c r="J393" s="78" t="str">
        <f>IF($D393="","",
IF($E393="","",
IF($D393="MATE","",
IF(VLOOKUP($B393,'Baremos actuales'!A:D,4,FALSE)=J$9,$E393*$F393,IF(VLOOKUP($B393,'Baremos anteriores'!A:D,4,FALSE)="Sin Definir",$E393*$F393,"")))))</f>
        <v/>
      </c>
      <c r="K393" s="79" t="str">
        <f>IF($D393="","",
IF($E393="","",
IF($D393="MATE","",
IF(VLOOKUP($B393,'Baremos actuales'!$A:$D,4,FALSE)=K$9,$E393*$F393,IF(VLOOKUP($B393,'Baremos anteriores'!$A:$D,4,FALSE)="Desmonte",$E393*$F393,"")))))</f>
        <v/>
      </c>
      <c r="L393" s="80" t="str">
        <f>IF($D393="","",
IF($E393="","",
IF($D393="MATE","",
IF(VLOOKUP($B393,'Baremos actuales'!$A:$D,4,FALSE)=L$9,$E393*$F393,""))))</f>
        <v/>
      </c>
      <c r="M393" s="91" t="str">
        <f t="shared" si="5"/>
        <v/>
      </c>
      <c r="N393" s="96"/>
      <c r="O393" s="95"/>
      <c r="P393" s="96"/>
      <c r="Q393" s="98"/>
    </row>
    <row r="394" spans="1:17" ht="15.75" x14ac:dyDescent="0.2">
      <c r="A394" s="17"/>
      <c r="B394" s="18"/>
      <c r="C394" s="87" t="str">
        <f>IF(B394="","",
IF(M394=$H$5,IFERROR(VLOOKUP(B394,'Baremos actuales'!A:E,5,FALSE),"No encontrado. Revisar código, fecha ejecución y/o contrato."),
IF(M394=$H$4,IFERROR(VLOOKUP(B394,'Baremos anteriores'!A:E,5,FALSE),"No encontrado. Revisar código, fecha ejecución y/o contrato."),
IF(M394=$H$3,IFERROR(VLOOKUP(B394,#REF!,5,FALSE),"No encontrado. Revisar código, fecha ejecución y/o contrato."),
IF(D394="","Código no encontrado",
IF(D394="ERROR","No encontrado. Revisar Código, fecha de ejecución y/o contrato.",
IF(D394="MATE",
IF(C393="DESCRIPCION","NO SE PUEDE COMENZAR SIN CÓDIGO DE TAREA",
IF(C393="","FALTA CÓDIGO DE TAREA",
CONCATENATE("          ",VLOOKUP(B394,'Maestro Materiales'!A:C,3,FALSE)))),IFERROR(VLOOKUP(B394,#REF!,5,FALSE),"No encontrado. Revisar código, fecha ejecución y/o contrato."))))))))</f>
        <v/>
      </c>
      <c r="D394" s="88" t="str">
        <f>IF(B394="","",
IFERROR(VLOOKUP(B394,'Maestro Materiales'!A:C,2,FALSE),
IFERROR(VLOOKUP(B394,'Baremos actuales'!A:B,2,FALSE),
IFERROR(VLOOKUP(B394,'Baremos anteriores'!A:B,2,FALSE),
""))))</f>
        <v/>
      </c>
      <c r="E394" s="9"/>
      <c r="F394" s="89" t="str">
        <f>IF(D394="MATE",
IF(E394="","¿Unidades?",""),
IF(D394="",IF(E394="","","¿Código?"),
IF(E394="","¿Unidades?",
IF(D394="TARE",
IF(M394=$H$3,IFERROR(VLOOKUP(B394,'Baremos actuales'!A:C,3,FALSE),0),
IF(M394=$H$4,IFERROR(VLOOKUP(B394,'Baremos anteriores'!A:C,3,FALSE),0),0))))))</f>
        <v/>
      </c>
      <c r="G394" s="7"/>
      <c r="H394" s="8"/>
      <c r="I394" s="8"/>
      <c r="J394" s="78" t="str">
        <f>IF($D394="","",
IF($E394="","",
IF($D394="MATE","",
IF(VLOOKUP($B394,'Baremos actuales'!A:D,4,FALSE)=J$9,$E394*$F394,IF(VLOOKUP($B394,'Baremos anteriores'!A:D,4,FALSE)="Sin Definir",$E394*$F394,"")))))</f>
        <v/>
      </c>
      <c r="K394" s="79" t="str">
        <f>IF($D394="","",
IF($E394="","",
IF($D394="MATE","",
IF(VLOOKUP($B394,'Baremos actuales'!$A:$D,4,FALSE)=K$9,$E394*$F394,IF(VLOOKUP($B394,'Baremos anteriores'!$A:$D,4,FALSE)="Desmonte",$E394*$F394,"")))))</f>
        <v/>
      </c>
      <c r="L394" s="80" t="str">
        <f>IF($D394="","",
IF($E394="","",
IF($D394="MATE","",
IF(VLOOKUP($B394,'Baremos actuales'!$A:$D,4,FALSE)=L$9,$E394*$F394,""))))</f>
        <v/>
      </c>
      <c r="M394" s="91" t="str">
        <f t="shared" si="5"/>
        <v/>
      </c>
      <c r="N394" s="96"/>
      <c r="O394" s="95"/>
      <c r="P394" s="96"/>
      <c r="Q394" s="98"/>
    </row>
    <row r="395" spans="1:17" ht="15.75" x14ac:dyDescent="0.2">
      <c r="A395" s="17"/>
      <c r="B395" s="18"/>
      <c r="C395" s="87" t="str">
        <f>IF(B395="","",
IF(M395=$H$5,IFERROR(VLOOKUP(B395,'Baremos actuales'!A:E,5,FALSE),"No encontrado. Revisar código, fecha ejecución y/o contrato."),
IF(M395=$H$4,IFERROR(VLOOKUP(B395,'Baremos anteriores'!A:E,5,FALSE),"No encontrado. Revisar código, fecha ejecución y/o contrato."),
IF(M395=$H$3,IFERROR(VLOOKUP(B395,#REF!,5,FALSE),"No encontrado. Revisar código, fecha ejecución y/o contrato."),
IF(D395="","Código no encontrado",
IF(D395="ERROR","No encontrado. Revisar Código, fecha de ejecución y/o contrato.",
IF(D395="MATE",
IF(C394="DESCRIPCION","NO SE PUEDE COMENZAR SIN CÓDIGO DE TAREA",
IF(C394="","FALTA CÓDIGO DE TAREA",
CONCATENATE("          ",VLOOKUP(B395,'Maestro Materiales'!A:C,3,FALSE)))),IFERROR(VLOOKUP(B395,#REF!,5,FALSE),"No encontrado. Revisar código, fecha ejecución y/o contrato."))))))))</f>
        <v/>
      </c>
      <c r="D395" s="88" t="str">
        <f>IF(B395="","",
IFERROR(VLOOKUP(B395,'Maestro Materiales'!A:C,2,FALSE),
IFERROR(VLOOKUP(B395,'Baremos actuales'!A:B,2,FALSE),
IFERROR(VLOOKUP(B395,'Baremos anteriores'!A:B,2,FALSE),
""))))</f>
        <v/>
      </c>
      <c r="E395" s="9"/>
      <c r="F395" s="89" t="str">
        <f>IF(D395="MATE",
IF(E395="","¿Unidades?",""),
IF(D395="",IF(E395="","","¿Código?"),
IF(E395="","¿Unidades?",
IF(D395="TARE",
IF(M395=$H$3,IFERROR(VLOOKUP(B395,'Baremos actuales'!A:C,3,FALSE),0),
IF(M395=$H$4,IFERROR(VLOOKUP(B395,'Baremos anteriores'!A:C,3,FALSE),0),0))))))</f>
        <v/>
      </c>
      <c r="G395" s="7"/>
      <c r="H395" s="8"/>
      <c r="I395" s="8"/>
      <c r="J395" s="78" t="str">
        <f>IF($D395="","",
IF($E395="","",
IF($D395="MATE","",
IF(VLOOKUP($B395,'Baremos actuales'!A:D,4,FALSE)=J$9,$E395*$F395,IF(VLOOKUP($B395,'Baremos anteriores'!A:D,4,FALSE)="Sin Definir",$E395*$F395,"")))))</f>
        <v/>
      </c>
      <c r="K395" s="79" t="str">
        <f>IF($D395="","",
IF($E395="","",
IF($D395="MATE","",
IF(VLOOKUP($B395,'Baremos actuales'!$A:$D,4,FALSE)=K$9,$E395*$F395,IF(VLOOKUP($B395,'Baremos anteriores'!$A:$D,4,FALSE)="Desmonte",$E395*$F395,"")))))</f>
        <v/>
      </c>
      <c r="L395" s="80" t="str">
        <f>IF($D395="","",
IF($E395="","",
IF($D395="MATE","",
IF(VLOOKUP($B395,'Baremos actuales'!$A:$D,4,FALSE)=L$9,$E395*$F395,""))))</f>
        <v/>
      </c>
      <c r="M395" s="91" t="str">
        <f t="shared" ref="M395:M458" si="6">IF(D395="MATE","Materiales",IF(B395="","",
IF($Q$1="O","Obsoleto",$F$2)))</f>
        <v/>
      </c>
      <c r="N395" s="96"/>
      <c r="O395" s="95"/>
      <c r="P395" s="96"/>
      <c r="Q395" s="98"/>
    </row>
    <row r="396" spans="1:17" ht="15.75" x14ac:dyDescent="0.2">
      <c r="A396" s="17"/>
      <c r="B396" s="18"/>
      <c r="C396" s="87" t="str">
        <f>IF(B396="","",
IF(M396=$H$5,IFERROR(VLOOKUP(B396,'Baremos actuales'!A:E,5,FALSE),"No encontrado. Revisar código, fecha ejecución y/o contrato."),
IF(M396=$H$4,IFERROR(VLOOKUP(B396,'Baremos anteriores'!A:E,5,FALSE),"No encontrado. Revisar código, fecha ejecución y/o contrato."),
IF(M396=$H$3,IFERROR(VLOOKUP(B396,#REF!,5,FALSE),"No encontrado. Revisar código, fecha ejecución y/o contrato."),
IF(D396="","Código no encontrado",
IF(D396="ERROR","No encontrado. Revisar Código, fecha de ejecución y/o contrato.",
IF(D396="MATE",
IF(C395="DESCRIPCION","NO SE PUEDE COMENZAR SIN CÓDIGO DE TAREA",
IF(C395="","FALTA CÓDIGO DE TAREA",
CONCATENATE("          ",VLOOKUP(B396,'Maestro Materiales'!A:C,3,FALSE)))),IFERROR(VLOOKUP(B396,#REF!,5,FALSE),"No encontrado. Revisar código, fecha ejecución y/o contrato."))))))))</f>
        <v/>
      </c>
      <c r="D396" s="88" t="str">
        <f>IF(B396="","",
IFERROR(VLOOKUP(B396,'Maestro Materiales'!A:C,2,FALSE),
IFERROR(VLOOKUP(B396,'Baremos actuales'!A:B,2,FALSE),
IFERROR(VLOOKUP(B396,'Baremos anteriores'!A:B,2,FALSE),
""))))</f>
        <v/>
      </c>
      <c r="E396" s="9"/>
      <c r="F396" s="89" t="str">
        <f>IF(D396="MATE",
IF(E396="","¿Unidades?",""),
IF(D396="",IF(E396="","","¿Código?"),
IF(E396="","¿Unidades?",
IF(D396="TARE",
IF(M396=$H$3,IFERROR(VLOOKUP(B396,'Baremos actuales'!A:C,3,FALSE),0),
IF(M396=$H$4,IFERROR(VLOOKUP(B396,'Baremos anteriores'!A:C,3,FALSE),0),0))))))</f>
        <v/>
      </c>
      <c r="G396" s="7"/>
      <c r="H396" s="8"/>
      <c r="I396" s="8"/>
      <c r="J396" s="78" t="str">
        <f>IF($D396="","",
IF($E396="","",
IF($D396="MATE","",
IF(VLOOKUP($B396,'Baremos actuales'!A:D,4,FALSE)=J$9,$E396*$F396,IF(VLOOKUP($B396,'Baremos anteriores'!A:D,4,FALSE)="Sin Definir",$E396*$F396,"")))))</f>
        <v/>
      </c>
      <c r="K396" s="79" t="str">
        <f>IF($D396="","",
IF($E396="","",
IF($D396="MATE","",
IF(VLOOKUP($B396,'Baremos actuales'!$A:$D,4,FALSE)=K$9,$E396*$F396,IF(VLOOKUP($B396,'Baremos anteriores'!$A:$D,4,FALSE)="Desmonte",$E396*$F396,"")))))</f>
        <v/>
      </c>
      <c r="L396" s="80" t="str">
        <f>IF($D396="","",
IF($E396="","",
IF($D396="MATE","",
IF(VLOOKUP($B396,'Baremos actuales'!$A:$D,4,FALSE)=L$9,$E396*$F396,""))))</f>
        <v/>
      </c>
      <c r="M396" s="91" t="str">
        <f t="shared" si="6"/>
        <v/>
      </c>
      <c r="N396" s="96"/>
      <c r="O396" s="95"/>
      <c r="P396" s="96"/>
      <c r="Q396" s="98"/>
    </row>
    <row r="397" spans="1:17" ht="15.75" x14ac:dyDescent="0.2">
      <c r="A397" s="17"/>
      <c r="B397" s="18"/>
      <c r="C397" s="87" t="str">
        <f>IF(B397="","",
IF(M397=$H$5,IFERROR(VLOOKUP(B397,'Baremos actuales'!A:E,5,FALSE),"No encontrado. Revisar código, fecha ejecución y/o contrato."),
IF(M397=$H$4,IFERROR(VLOOKUP(B397,'Baremos anteriores'!A:E,5,FALSE),"No encontrado. Revisar código, fecha ejecución y/o contrato."),
IF(M397=$H$3,IFERROR(VLOOKUP(B397,#REF!,5,FALSE),"No encontrado. Revisar código, fecha ejecución y/o contrato."),
IF(D397="","Código no encontrado",
IF(D397="ERROR","No encontrado. Revisar Código, fecha de ejecución y/o contrato.",
IF(D397="MATE",
IF(C396="DESCRIPCION","NO SE PUEDE COMENZAR SIN CÓDIGO DE TAREA",
IF(C396="","FALTA CÓDIGO DE TAREA",
CONCATENATE("          ",VLOOKUP(B397,'Maestro Materiales'!A:C,3,FALSE)))),IFERROR(VLOOKUP(B397,#REF!,5,FALSE),"No encontrado. Revisar código, fecha ejecución y/o contrato."))))))))</f>
        <v/>
      </c>
      <c r="D397" s="88" t="str">
        <f>IF(B397="","",
IFERROR(VLOOKUP(B397,'Maestro Materiales'!A:C,2,FALSE),
IFERROR(VLOOKUP(B397,'Baremos actuales'!A:B,2,FALSE),
IFERROR(VLOOKUP(B397,'Baremos anteriores'!A:B,2,FALSE),
""))))</f>
        <v/>
      </c>
      <c r="E397" s="9"/>
      <c r="F397" s="89" t="str">
        <f>IF(D397="MATE",
IF(E397="","¿Unidades?",""),
IF(D397="",IF(E397="","","¿Código?"),
IF(E397="","¿Unidades?",
IF(D397="TARE",
IF(M397=$H$3,IFERROR(VLOOKUP(B397,'Baremos actuales'!A:C,3,FALSE),0),
IF(M397=$H$4,IFERROR(VLOOKUP(B397,'Baremos anteriores'!A:C,3,FALSE),0),0))))))</f>
        <v/>
      </c>
      <c r="G397" s="7"/>
      <c r="H397" s="8"/>
      <c r="I397" s="8"/>
      <c r="J397" s="78" t="str">
        <f>IF($D397="","",
IF($E397="","",
IF($D397="MATE","",
IF(VLOOKUP($B397,'Baremos actuales'!A:D,4,FALSE)=J$9,$E397*$F397,IF(VLOOKUP($B397,'Baremos anteriores'!A:D,4,FALSE)="Sin Definir",$E397*$F397,"")))))</f>
        <v/>
      </c>
      <c r="K397" s="79" t="str">
        <f>IF($D397="","",
IF($E397="","",
IF($D397="MATE","",
IF(VLOOKUP($B397,'Baremos actuales'!$A:$D,4,FALSE)=K$9,$E397*$F397,IF(VLOOKUP($B397,'Baremos anteriores'!$A:$D,4,FALSE)="Desmonte",$E397*$F397,"")))))</f>
        <v/>
      </c>
      <c r="L397" s="80" t="str">
        <f>IF($D397="","",
IF($E397="","",
IF($D397="MATE","",
IF(VLOOKUP($B397,'Baremos actuales'!$A:$D,4,FALSE)=L$9,$E397*$F397,""))))</f>
        <v/>
      </c>
      <c r="M397" s="91" t="str">
        <f t="shared" si="6"/>
        <v/>
      </c>
      <c r="N397" s="96"/>
      <c r="O397" s="95"/>
      <c r="P397" s="96"/>
      <c r="Q397" s="98"/>
    </row>
    <row r="398" spans="1:17" ht="15.75" x14ac:dyDescent="0.2">
      <c r="A398" s="17"/>
      <c r="B398" s="18"/>
      <c r="C398" s="87" t="str">
        <f>IF(B398="","",
IF(M398=$H$5,IFERROR(VLOOKUP(B398,'Baremos actuales'!A:E,5,FALSE),"No encontrado. Revisar código, fecha ejecución y/o contrato."),
IF(M398=$H$4,IFERROR(VLOOKUP(B398,'Baremos anteriores'!A:E,5,FALSE),"No encontrado. Revisar código, fecha ejecución y/o contrato."),
IF(M398=$H$3,IFERROR(VLOOKUP(B398,#REF!,5,FALSE),"No encontrado. Revisar código, fecha ejecución y/o contrato."),
IF(D398="","Código no encontrado",
IF(D398="ERROR","No encontrado. Revisar Código, fecha de ejecución y/o contrato.",
IF(D398="MATE",
IF(C397="DESCRIPCION","NO SE PUEDE COMENZAR SIN CÓDIGO DE TAREA",
IF(C397="","FALTA CÓDIGO DE TAREA",
CONCATENATE("          ",VLOOKUP(B398,'Maestro Materiales'!A:C,3,FALSE)))),IFERROR(VLOOKUP(B398,#REF!,5,FALSE),"No encontrado. Revisar código, fecha ejecución y/o contrato."))))))))</f>
        <v/>
      </c>
      <c r="D398" s="88" t="str">
        <f>IF(B398="","",
IFERROR(VLOOKUP(B398,'Maestro Materiales'!A:C,2,FALSE),
IFERROR(VLOOKUP(B398,'Baremos actuales'!A:B,2,FALSE),
IFERROR(VLOOKUP(B398,'Baremos anteriores'!A:B,2,FALSE),
""))))</f>
        <v/>
      </c>
      <c r="E398" s="9"/>
      <c r="F398" s="89" t="str">
        <f>IF(D398="MATE",
IF(E398="","¿Unidades?",""),
IF(D398="",IF(E398="","","¿Código?"),
IF(E398="","¿Unidades?",
IF(D398="TARE",
IF(M398=$H$3,IFERROR(VLOOKUP(B398,'Baremos actuales'!A:C,3,FALSE),0),
IF(M398=$H$4,IFERROR(VLOOKUP(B398,'Baremos anteriores'!A:C,3,FALSE),0),0))))))</f>
        <v/>
      </c>
      <c r="G398" s="7"/>
      <c r="H398" s="8"/>
      <c r="I398" s="8"/>
      <c r="J398" s="78" t="str">
        <f>IF($D398="","",
IF($E398="","",
IF($D398="MATE","",
IF(VLOOKUP($B398,'Baremos actuales'!A:D,4,FALSE)=J$9,$E398*$F398,IF(VLOOKUP($B398,'Baremos anteriores'!A:D,4,FALSE)="Sin Definir",$E398*$F398,"")))))</f>
        <v/>
      </c>
      <c r="K398" s="79" t="str">
        <f>IF($D398="","",
IF($E398="","",
IF($D398="MATE","",
IF(VLOOKUP($B398,'Baremos actuales'!$A:$D,4,FALSE)=K$9,$E398*$F398,IF(VLOOKUP($B398,'Baremos anteriores'!$A:$D,4,FALSE)="Desmonte",$E398*$F398,"")))))</f>
        <v/>
      </c>
      <c r="L398" s="80" t="str">
        <f>IF($D398="","",
IF($E398="","",
IF($D398="MATE","",
IF(VLOOKUP($B398,'Baremos actuales'!$A:$D,4,FALSE)=L$9,$E398*$F398,""))))</f>
        <v/>
      </c>
      <c r="M398" s="91" t="str">
        <f t="shared" si="6"/>
        <v/>
      </c>
      <c r="N398" s="96"/>
      <c r="O398" s="95"/>
      <c r="P398" s="96"/>
      <c r="Q398" s="98"/>
    </row>
    <row r="399" spans="1:17" ht="15.75" x14ac:dyDescent="0.2">
      <c r="A399" s="17"/>
      <c r="B399" s="18"/>
      <c r="C399" s="87" t="str">
        <f>IF(B399="","",
IF(M399=$H$5,IFERROR(VLOOKUP(B399,'Baremos actuales'!A:E,5,FALSE),"No encontrado. Revisar código, fecha ejecución y/o contrato."),
IF(M399=$H$4,IFERROR(VLOOKUP(B399,'Baremos anteriores'!A:E,5,FALSE),"No encontrado. Revisar código, fecha ejecución y/o contrato."),
IF(M399=$H$3,IFERROR(VLOOKUP(B399,#REF!,5,FALSE),"No encontrado. Revisar código, fecha ejecución y/o contrato."),
IF(D399="","Código no encontrado",
IF(D399="ERROR","No encontrado. Revisar Código, fecha de ejecución y/o contrato.",
IF(D399="MATE",
IF(C398="DESCRIPCION","NO SE PUEDE COMENZAR SIN CÓDIGO DE TAREA",
IF(C398="","FALTA CÓDIGO DE TAREA",
CONCATENATE("          ",VLOOKUP(B399,'Maestro Materiales'!A:C,3,FALSE)))),IFERROR(VLOOKUP(B399,#REF!,5,FALSE),"No encontrado. Revisar código, fecha ejecución y/o contrato."))))))))</f>
        <v/>
      </c>
      <c r="D399" s="88" t="str">
        <f>IF(B399="","",
IFERROR(VLOOKUP(B399,'Maestro Materiales'!A:C,2,FALSE),
IFERROR(VLOOKUP(B399,'Baremos actuales'!A:B,2,FALSE),
IFERROR(VLOOKUP(B399,'Baremos anteriores'!A:B,2,FALSE),
""))))</f>
        <v/>
      </c>
      <c r="E399" s="9"/>
      <c r="F399" s="89" t="str">
        <f>IF(D399="MATE",
IF(E399="","¿Unidades?",""),
IF(D399="",IF(E399="","","¿Código?"),
IF(E399="","¿Unidades?",
IF(D399="TARE",
IF(M399=$H$3,IFERROR(VLOOKUP(B399,'Baremos actuales'!A:C,3,FALSE),0),
IF(M399=$H$4,IFERROR(VLOOKUP(B399,'Baremos anteriores'!A:C,3,FALSE),0),0))))))</f>
        <v/>
      </c>
      <c r="G399" s="7"/>
      <c r="H399" s="8"/>
      <c r="I399" s="8"/>
      <c r="J399" s="78" t="str">
        <f>IF($D399="","",
IF($E399="","",
IF($D399="MATE","",
IF(VLOOKUP($B399,'Baremos actuales'!A:D,4,FALSE)=J$9,$E399*$F399,IF(VLOOKUP($B399,'Baremos anteriores'!A:D,4,FALSE)="Sin Definir",$E399*$F399,"")))))</f>
        <v/>
      </c>
      <c r="K399" s="79" t="str">
        <f>IF($D399="","",
IF($E399="","",
IF($D399="MATE","",
IF(VLOOKUP($B399,'Baremos actuales'!$A:$D,4,FALSE)=K$9,$E399*$F399,IF(VLOOKUP($B399,'Baremos anteriores'!$A:$D,4,FALSE)="Desmonte",$E399*$F399,"")))))</f>
        <v/>
      </c>
      <c r="L399" s="80" t="str">
        <f>IF($D399="","",
IF($E399="","",
IF($D399="MATE","",
IF(VLOOKUP($B399,'Baremos actuales'!$A:$D,4,FALSE)=L$9,$E399*$F399,""))))</f>
        <v/>
      </c>
      <c r="M399" s="91" t="str">
        <f t="shared" si="6"/>
        <v/>
      </c>
      <c r="N399" s="96"/>
      <c r="O399" s="95"/>
      <c r="P399" s="96"/>
      <c r="Q399" s="98"/>
    </row>
    <row r="400" spans="1:17" ht="15.75" x14ac:dyDescent="0.2">
      <c r="A400" s="17"/>
      <c r="B400" s="18"/>
      <c r="C400" s="87" t="str">
        <f>IF(B400="","",
IF(M400=$H$5,IFERROR(VLOOKUP(B400,'Baremos actuales'!A:E,5,FALSE),"No encontrado. Revisar código, fecha ejecución y/o contrato."),
IF(M400=$H$4,IFERROR(VLOOKUP(B400,'Baremos anteriores'!A:E,5,FALSE),"No encontrado. Revisar código, fecha ejecución y/o contrato."),
IF(M400=$H$3,IFERROR(VLOOKUP(B400,#REF!,5,FALSE),"No encontrado. Revisar código, fecha ejecución y/o contrato."),
IF(D400="","Código no encontrado",
IF(D400="ERROR","No encontrado. Revisar Código, fecha de ejecución y/o contrato.",
IF(D400="MATE",
IF(C399="DESCRIPCION","NO SE PUEDE COMENZAR SIN CÓDIGO DE TAREA",
IF(C399="","FALTA CÓDIGO DE TAREA",
CONCATENATE("          ",VLOOKUP(B400,'Maestro Materiales'!A:C,3,FALSE)))),IFERROR(VLOOKUP(B400,#REF!,5,FALSE),"No encontrado. Revisar código, fecha ejecución y/o contrato."))))))))</f>
        <v/>
      </c>
      <c r="D400" s="88" t="str">
        <f>IF(B400="","",
IFERROR(VLOOKUP(B400,'Maestro Materiales'!A:C,2,FALSE),
IFERROR(VLOOKUP(B400,'Baremos actuales'!A:B,2,FALSE),
IFERROR(VLOOKUP(B400,'Baremos anteriores'!A:B,2,FALSE),
""))))</f>
        <v/>
      </c>
      <c r="E400" s="9"/>
      <c r="F400" s="89" t="str">
        <f>IF(D400="MATE",
IF(E400="","¿Unidades?",""),
IF(D400="",IF(E400="","","¿Código?"),
IF(E400="","¿Unidades?",
IF(D400="TARE",
IF(M400=$H$3,IFERROR(VLOOKUP(B400,'Baremos actuales'!A:C,3,FALSE),0),
IF(M400=$H$4,IFERROR(VLOOKUP(B400,'Baremos anteriores'!A:C,3,FALSE),0),0))))))</f>
        <v/>
      </c>
      <c r="G400" s="7"/>
      <c r="H400" s="8"/>
      <c r="I400" s="8"/>
      <c r="J400" s="78" t="str">
        <f>IF($D400="","",
IF($E400="","",
IF($D400="MATE","",
IF(VLOOKUP($B400,'Baremos actuales'!A:D,4,FALSE)=J$9,$E400*$F400,IF(VLOOKUP($B400,'Baremos anteriores'!A:D,4,FALSE)="Sin Definir",$E400*$F400,"")))))</f>
        <v/>
      </c>
      <c r="K400" s="79" t="str">
        <f>IF($D400="","",
IF($E400="","",
IF($D400="MATE","",
IF(VLOOKUP($B400,'Baremos actuales'!$A:$D,4,FALSE)=K$9,$E400*$F400,IF(VLOOKUP($B400,'Baremos anteriores'!$A:$D,4,FALSE)="Desmonte",$E400*$F400,"")))))</f>
        <v/>
      </c>
      <c r="L400" s="80" t="str">
        <f>IF($D400="","",
IF($E400="","",
IF($D400="MATE","",
IF(VLOOKUP($B400,'Baremos actuales'!$A:$D,4,FALSE)=L$9,$E400*$F400,""))))</f>
        <v/>
      </c>
      <c r="M400" s="91" t="str">
        <f t="shared" si="6"/>
        <v/>
      </c>
      <c r="N400" s="96"/>
      <c r="O400" s="95"/>
      <c r="P400" s="96"/>
      <c r="Q400" s="98"/>
    </row>
    <row r="401" spans="1:17" ht="15.75" x14ac:dyDescent="0.2">
      <c r="A401" s="17"/>
      <c r="B401" s="18"/>
      <c r="C401" s="87" t="str">
        <f>IF(B401="","",
IF(M401=$H$5,IFERROR(VLOOKUP(B401,'Baremos actuales'!A:E,5,FALSE),"No encontrado. Revisar código, fecha ejecución y/o contrato."),
IF(M401=$H$4,IFERROR(VLOOKUP(B401,'Baremos anteriores'!A:E,5,FALSE),"No encontrado. Revisar código, fecha ejecución y/o contrato."),
IF(M401=$H$3,IFERROR(VLOOKUP(B401,#REF!,5,FALSE),"No encontrado. Revisar código, fecha ejecución y/o contrato."),
IF(D401="","Código no encontrado",
IF(D401="ERROR","No encontrado. Revisar Código, fecha de ejecución y/o contrato.",
IF(D401="MATE",
IF(C400="DESCRIPCION","NO SE PUEDE COMENZAR SIN CÓDIGO DE TAREA",
IF(C400="","FALTA CÓDIGO DE TAREA",
CONCATENATE("          ",VLOOKUP(B401,'Maestro Materiales'!A:C,3,FALSE)))),IFERROR(VLOOKUP(B401,#REF!,5,FALSE),"No encontrado. Revisar código, fecha ejecución y/o contrato."))))))))</f>
        <v/>
      </c>
      <c r="D401" s="88" t="str">
        <f>IF(B401="","",
IFERROR(VLOOKUP(B401,'Maestro Materiales'!A:C,2,FALSE),
IFERROR(VLOOKUP(B401,'Baremos actuales'!A:B,2,FALSE),
IFERROR(VLOOKUP(B401,'Baremos anteriores'!A:B,2,FALSE),
""))))</f>
        <v/>
      </c>
      <c r="E401" s="9"/>
      <c r="F401" s="89" t="str">
        <f>IF(D401="MATE",
IF(E401="","¿Unidades?",""),
IF(D401="",IF(E401="","","¿Código?"),
IF(E401="","¿Unidades?",
IF(D401="TARE",
IF(M401=$H$3,IFERROR(VLOOKUP(B401,'Baremos actuales'!A:C,3,FALSE),0),
IF(M401=$H$4,IFERROR(VLOOKUP(B401,'Baremos anteriores'!A:C,3,FALSE),0),0))))))</f>
        <v/>
      </c>
      <c r="G401" s="7"/>
      <c r="H401" s="8"/>
      <c r="I401" s="8"/>
      <c r="J401" s="78" t="str">
        <f>IF($D401="","",
IF($E401="","",
IF($D401="MATE","",
IF(VLOOKUP($B401,'Baremos actuales'!A:D,4,FALSE)=J$9,$E401*$F401,IF(VLOOKUP($B401,'Baremos anteriores'!A:D,4,FALSE)="Sin Definir",$E401*$F401,"")))))</f>
        <v/>
      </c>
      <c r="K401" s="79" t="str">
        <f>IF($D401="","",
IF($E401="","",
IF($D401="MATE","",
IF(VLOOKUP($B401,'Baremos actuales'!$A:$D,4,FALSE)=K$9,$E401*$F401,IF(VLOOKUP($B401,'Baremos anteriores'!$A:$D,4,FALSE)="Desmonte",$E401*$F401,"")))))</f>
        <v/>
      </c>
      <c r="L401" s="80" t="str">
        <f>IF($D401="","",
IF($E401="","",
IF($D401="MATE","",
IF(VLOOKUP($B401,'Baremos actuales'!$A:$D,4,FALSE)=L$9,$E401*$F401,""))))</f>
        <v/>
      </c>
      <c r="M401" s="91" t="str">
        <f t="shared" si="6"/>
        <v/>
      </c>
      <c r="N401" s="96"/>
      <c r="O401" s="95"/>
      <c r="P401" s="96"/>
      <c r="Q401" s="98"/>
    </row>
    <row r="402" spans="1:17" ht="15.75" x14ac:dyDescent="0.2">
      <c r="A402" s="17"/>
      <c r="B402" s="18"/>
      <c r="C402" s="87" t="str">
        <f>IF(B402="","",
IF(M402=$H$5,IFERROR(VLOOKUP(B402,'Baremos actuales'!A:E,5,FALSE),"No encontrado. Revisar código, fecha ejecución y/o contrato."),
IF(M402=$H$4,IFERROR(VLOOKUP(B402,'Baremos anteriores'!A:E,5,FALSE),"No encontrado. Revisar código, fecha ejecución y/o contrato."),
IF(M402=$H$3,IFERROR(VLOOKUP(B402,#REF!,5,FALSE),"No encontrado. Revisar código, fecha ejecución y/o contrato."),
IF(D402="","Código no encontrado",
IF(D402="ERROR","No encontrado. Revisar Código, fecha de ejecución y/o contrato.",
IF(D402="MATE",
IF(C401="DESCRIPCION","NO SE PUEDE COMENZAR SIN CÓDIGO DE TAREA",
IF(C401="","FALTA CÓDIGO DE TAREA",
CONCATENATE("          ",VLOOKUP(B402,'Maestro Materiales'!A:C,3,FALSE)))),IFERROR(VLOOKUP(B402,#REF!,5,FALSE),"No encontrado. Revisar código, fecha ejecución y/o contrato."))))))))</f>
        <v/>
      </c>
      <c r="D402" s="88" t="str">
        <f>IF(B402="","",
IFERROR(VLOOKUP(B402,'Maestro Materiales'!A:C,2,FALSE),
IFERROR(VLOOKUP(B402,'Baremos actuales'!A:B,2,FALSE),
IFERROR(VLOOKUP(B402,'Baremos anteriores'!A:B,2,FALSE),
""))))</f>
        <v/>
      </c>
      <c r="E402" s="9"/>
      <c r="F402" s="89" t="str">
        <f>IF(D402="MATE",
IF(E402="","¿Unidades?",""),
IF(D402="",IF(E402="","","¿Código?"),
IF(E402="","¿Unidades?",
IF(D402="TARE",
IF(M402=$H$3,IFERROR(VLOOKUP(B402,'Baremos actuales'!A:C,3,FALSE),0),
IF(M402=$H$4,IFERROR(VLOOKUP(B402,'Baremos anteriores'!A:C,3,FALSE),0),0))))))</f>
        <v/>
      </c>
      <c r="G402" s="7"/>
      <c r="H402" s="8"/>
      <c r="I402" s="8"/>
      <c r="J402" s="78" t="str">
        <f>IF($D402="","",
IF($E402="","",
IF($D402="MATE","",
IF(VLOOKUP($B402,'Baremos actuales'!A:D,4,FALSE)=J$9,$E402*$F402,IF(VLOOKUP($B402,'Baremos anteriores'!A:D,4,FALSE)="Sin Definir",$E402*$F402,"")))))</f>
        <v/>
      </c>
      <c r="K402" s="79" t="str">
        <f>IF($D402="","",
IF($E402="","",
IF($D402="MATE","",
IF(VLOOKUP($B402,'Baremos actuales'!$A:$D,4,FALSE)=K$9,$E402*$F402,IF(VLOOKUP($B402,'Baremos anteriores'!$A:$D,4,FALSE)="Desmonte",$E402*$F402,"")))))</f>
        <v/>
      </c>
      <c r="L402" s="80" t="str">
        <f>IF($D402="","",
IF($E402="","",
IF($D402="MATE","",
IF(VLOOKUP($B402,'Baremos actuales'!$A:$D,4,FALSE)=L$9,$E402*$F402,""))))</f>
        <v/>
      </c>
      <c r="M402" s="91" t="str">
        <f t="shared" si="6"/>
        <v/>
      </c>
      <c r="N402" s="96"/>
      <c r="O402" s="95"/>
      <c r="P402" s="96"/>
      <c r="Q402" s="98"/>
    </row>
    <row r="403" spans="1:17" ht="15.75" x14ac:dyDescent="0.2">
      <c r="A403" s="17"/>
      <c r="B403" s="18"/>
      <c r="C403" s="87" t="str">
        <f>IF(B403="","",
IF(M403=$H$5,IFERROR(VLOOKUP(B403,'Baremos actuales'!A:E,5,FALSE),"No encontrado. Revisar código, fecha ejecución y/o contrato."),
IF(M403=$H$4,IFERROR(VLOOKUP(B403,'Baremos anteriores'!A:E,5,FALSE),"No encontrado. Revisar código, fecha ejecución y/o contrato."),
IF(M403=$H$3,IFERROR(VLOOKUP(B403,#REF!,5,FALSE),"No encontrado. Revisar código, fecha ejecución y/o contrato."),
IF(D403="","Código no encontrado",
IF(D403="ERROR","No encontrado. Revisar Código, fecha de ejecución y/o contrato.",
IF(D403="MATE",
IF(C402="DESCRIPCION","NO SE PUEDE COMENZAR SIN CÓDIGO DE TAREA",
IF(C402="","FALTA CÓDIGO DE TAREA",
CONCATENATE("          ",VLOOKUP(B403,'Maestro Materiales'!A:C,3,FALSE)))),IFERROR(VLOOKUP(B403,#REF!,5,FALSE),"No encontrado. Revisar código, fecha ejecución y/o contrato."))))))))</f>
        <v/>
      </c>
      <c r="D403" s="88" t="str">
        <f>IF(B403="","",
IFERROR(VLOOKUP(B403,'Maestro Materiales'!A:C,2,FALSE),
IFERROR(VLOOKUP(B403,'Baremos actuales'!A:B,2,FALSE),
IFERROR(VLOOKUP(B403,'Baremos anteriores'!A:B,2,FALSE),
""))))</f>
        <v/>
      </c>
      <c r="E403" s="9"/>
      <c r="F403" s="89" t="str">
        <f>IF(D403="MATE",
IF(E403="","¿Unidades?",""),
IF(D403="",IF(E403="","","¿Código?"),
IF(E403="","¿Unidades?",
IF(D403="TARE",
IF(M403=$H$3,IFERROR(VLOOKUP(B403,'Baremos actuales'!A:C,3,FALSE),0),
IF(M403=$H$4,IFERROR(VLOOKUP(B403,'Baremos anteriores'!A:C,3,FALSE),0),0))))))</f>
        <v/>
      </c>
      <c r="G403" s="7"/>
      <c r="H403" s="8"/>
      <c r="I403" s="8"/>
      <c r="J403" s="78" t="str">
        <f>IF($D403="","",
IF($E403="","",
IF($D403="MATE","",
IF(VLOOKUP($B403,'Baremos actuales'!A:D,4,FALSE)=J$9,$E403*$F403,IF(VLOOKUP($B403,'Baremos anteriores'!A:D,4,FALSE)="Sin Definir",$E403*$F403,"")))))</f>
        <v/>
      </c>
      <c r="K403" s="79" t="str">
        <f>IF($D403="","",
IF($E403="","",
IF($D403="MATE","",
IF(VLOOKUP($B403,'Baremos actuales'!$A:$D,4,FALSE)=K$9,$E403*$F403,IF(VLOOKUP($B403,'Baremos anteriores'!$A:$D,4,FALSE)="Desmonte",$E403*$F403,"")))))</f>
        <v/>
      </c>
      <c r="L403" s="80" t="str">
        <f>IF($D403="","",
IF($E403="","",
IF($D403="MATE","",
IF(VLOOKUP($B403,'Baremos actuales'!$A:$D,4,FALSE)=L$9,$E403*$F403,""))))</f>
        <v/>
      </c>
      <c r="M403" s="91" t="str">
        <f t="shared" si="6"/>
        <v/>
      </c>
      <c r="N403" s="96"/>
      <c r="O403" s="95"/>
      <c r="P403" s="96"/>
      <c r="Q403" s="98"/>
    </row>
    <row r="404" spans="1:17" ht="15.75" x14ac:dyDescent="0.2">
      <c r="A404" s="17"/>
      <c r="B404" s="18"/>
      <c r="C404" s="87" t="str">
        <f>IF(B404="","",
IF(M404=$H$5,IFERROR(VLOOKUP(B404,'Baremos actuales'!A:E,5,FALSE),"No encontrado. Revisar código, fecha ejecución y/o contrato."),
IF(M404=$H$4,IFERROR(VLOOKUP(B404,'Baremos anteriores'!A:E,5,FALSE),"No encontrado. Revisar código, fecha ejecución y/o contrato."),
IF(M404=$H$3,IFERROR(VLOOKUP(B404,#REF!,5,FALSE),"No encontrado. Revisar código, fecha ejecución y/o contrato."),
IF(D404="","Código no encontrado",
IF(D404="ERROR","No encontrado. Revisar Código, fecha de ejecución y/o contrato.",
IF(D404="MATE",
IF(C403="DESCRIPCION","NO SE PUEDE COMENZAR SIN CÓDIGO DE TAREA",
IF(C403="","FALTA CÓDIGO DE TAREA",
CONCATENATE("          ",VLOOKUP(B404,'Maestro Materiales'!A:C,3,FALSE)))),IFERROR(VLOOKUP(B404,#REF!,5,FALSE),"No encontrado. Revisar código, fecha ejecución y/o contrato."))))))))</f>
        <v/>
      </c>
      <c r="D404" s="88" t="str">
        <f>IF(B404="","",
IFERROR(VLOOKUP(B404,'Maestro Materiales'!A:C,2,FALSE),
IFERROR(VLOOKUP(B404,'Baremos actuales'!A:B,2,FALSE),
IFERROR(VLOOKUP(B404,'Baremos anteriores'!A:B,2,FALSE),
""))))</f>
        <v/>
      </c>
      <c r="E404" s="9"/>
      <c r="F404" s="89" t="str">
        <f>IF(D404="MATE",
IF(E404="","¿Unidades?",""),
IF(D404="",IF(E404="","","¿Código?"),
IF(E404="","¿Unidades?",
IF(D404="TARE",
IF(M404=$H$3,IFERROR(VLOOKUP(B404,'Baremos actuales'!A:C,3,FALSE),0),
IF(M404=$H$4,IFERROR(VLOOKUP(B404,'Baremos anteriores'!A:C,3,FALSE),0),0))))))</f>
        <v/>
      </c>
      <c r="G404" s="7"/>
      <c r="H404" s="8"/>
      <c r="I404" s="8"/>
      <c r="J404" s="78" t="str">
        <f>IF($D404="","",
IF($E404="","",
IF($D404="MATE","",
IF(VLOOKUP($B404,'Baremos actuales'!A:D,4,FALSE)=J$9,$E404*$F404,IF(VLOOKUP($B404,'Baremos anteriores'!A:D,4,FALSE)="Sin Definir",$E404*$F404,"")))))</f>
        <v/>
      </c>
      <c r="K404" s="79" t="str">
        <f>IF($D404="","",
IF($E404="","",
IF($D404="MATE","",
IF(VLOOKUP($B404,'Baremos actuales'!$A:$D,4,FALSE)=K$9,$E404*$F404,IF(VLOOKUP($B404,'Baremos anteriores'!$A:$D,4,FALSE)="Desmonte",$E404*$F404,"")))))</f>
        <v/>
      </c>
      <c r="L404" s="80" t="str">
        <f>IF($D404="","",
IF($E404="","",
IF($D404="MATE","",
IF(VLOOKUP($B404,'Baremos actuales'!$A:$D,4,FALSE)=L$9,$E404*$F404,""))))</f>
        <v/>
      </c>
      <c r="M404" s="91" t="str">
        <f t="shared" si="6"/>
        <v/>
      </c>
      <c r="N404" s="96"/>
      <c r="O404" s="95"/>
      <c r="P404" s="96"/>
      <c r="Q404" s="98"/>
    </row>
    <row r="405" spans="1:17" ht="15.75" x14ac:dyDescent="0.2">
      <c r="A405" s="17"/>
      <c r="B405" s="18"/>
      <c r="C405" s="87" t="str">
        <f>IF(B405="","",
IF(M405=$H$5,IFERROR(VLOOKUP(B405,'Baremos actuales'!A:E,5,FALSE),"No encontrado. Revisar código, fecha ejecución y/o contrato."),
IF(M405=$H$4,IFERROR(VLOOKUP(B405,'Baremos anteriores'!A:E,5,FALSE),"No encontrado. Revisar código, fecha ejecución y/o contrato."),
IF(M405=$H$3,IFERROR(VLOOKUP(B405,#REF!,5,FALSE),"No encontrado. Revisar código, fecha ejecución y/o contrato."),
IF(D405="","Código no encontrado",
IF(D405="ERROR","No encontrado. Revisar Código, fecha de ejecución y/o contrato.",
IF(D405="MATE",
IF(C404="DESCRIPCION","NO SE PUEDE COMENZAR SIN CÓDIGO DE TAREA",
IF(C404="","FALTA CÓDIGO DE TAREA",
CONCATENATE("          ",VLOOKUP(B405,'Maestro Materiales'!A:C,3,FALSE)))),IFERROR(VLOOKUP(B405,#REF!,5,FALSE),"No encontrado. Revisar código, fecha ejecución y/o contrato."))))))))</f>
        <v/>
      </c>
      <c r="D405" s="88" t="str">
        <f>IF(B405="","",
IFERROR(VLOOKUP(B405,'Maestro Materiales'!A:C,2,FALSE),
IFERROR(VLOOKUP(B405,'Baremos actuales'!A:B,2,FALSE),
IFERROR(VLOOKUP(B405,'Baremos anteriores'!A:B,2,FALSE),
""))))</f>
        <v/>
      </c>
      <c r="E405" s="9"/>
      <c r="F405" s="89" t="str">
        <f>IF(D405="MATE",
IF(E405="","¿Unidades?",""),
IF(D405="",IF(E405="","","¿Código?"),
IF(E405="","¿Unidades?",
IF(D405="TARE",
IF(M405=$H$3,IFERROR(VLOOKUP(B405,'Baremos actuales'!A:C,3,FALSE),0),
IF(M405=$H$4,IFERROR(VLOOKUP(B405,'Baremos anteriores'!A:C,3,FALSE),0),0))))))</f>
        <v/>
      </c>
      <c r="G405" s="7"/>
      <c r="H405" s="8"/>
      <c r="I405" s="8"/>
      <c r="J405" s="78" t="str">
        <f>IF($D405="","",
IF($E405="","",
IF($D405="MATE","",
IF(VLOOKUP($B405,'Baremos actuales'!A:D,4,FALSE)=J$9,$E405*$F405,IF(VLOOKUP($B405,'Baremos anteriores'!A:D,4,FALSE)="Sin Definir",$E405*$F405,"")))))</f>
        <v/>
      </c>
      <c r="K405" s="79" t="str">
        <f>IF($D405="","",
IF($E405="","",
IF($D405="MATE","",
IF(VLOOKUP($B405,'Baremos actuales'!$A:$D,4,FALSE)=K$9,$E405*$F405,IF(VLOOKUP($B405,'Baremos anteriores'!$A:$D,4,FALSE)="Desmonte",$E405*$F405,"")))))</f>
        <v/>
      </c>
      <c r="L405" s="80" t="str">
        <f>IF($D405="","",
IF($E405="","",
IF($D405="MATE","",
IF(VLOOKUP($B405,'Baremos actuales'!$A:$D,4,FALSE)=L$9,$E405*$F405,""))))</f>
        <v/>
      </c>
      <c r="M405" s="91" t="str">
        <f t="shared" si="6"/>
        <v/>
      </c>
      <c r="N405" s="96"/>
      <c r="O405" s="95"/>
      <c r="P405" s="96"/>
      <c r="Q405" s="98"/>
    </row>
    <row r="406" spans="1:17" ht="15.75" x14ac:dyDescent="0.2">
      <c r="A406" s="17"/>
      <c r="B406" s="18"/>
      <c r="C406" s="87" t="str">
        <f>IF(B406="","",
IF(M406=$H$5,IFERROR(VLOOKUP(B406,'Baremos actuales'!A:E,5,FALSE),"No encontrado. Revisar código, fecha ejecución y/o contrato."),
IF(M406=$H$4,IFERROR(VLOOKUP(B406,'Baremos anteriores'!A:E,5,FALSE),"No encontrado. Revisar código, fecha ejecución y/o contrato."),
IF(M406=$H$3,IFERROR(VLOOKUP(B406,#REF!,5,FALSE),"No encontrado. Revisar código, fecha ejecución y/o contrato."),
IF(D406="","Código no encontrado",
IF(D406="ERROR","No encontrado. Revisar Código, fecha de ejecución y/o contrato.",
IF(D406="MATE",
IF(C405="DESCRIPCION","NO SE PUEDE COMENZAR SIN CÓDIGO DE TAREA",
IF(C405="","FALTA CÓDIGO DE TAREA",
CONCATENATE("          ",VLOOKUP(B406,'Maestro Materiales'!A:C,3,FALSE)))),IFERROR(VLOOKUP(B406,#REF!,5,FALSE),"No encontrado. Revisar código, fecha ejecución y/o contrato."))))))))</f>
        <v/>
      </c>
      <c r="D406" s="88" t="str">
        <f>IF(B406="","",
IFERROR(VLOOKUP(B406,'Maestro Materiales'!A:C,2,FALSE),
IFERROR(VLOOKUP(B406,'Baremos actuales'!A:B,2,FALSE),
IFERROR(VLOOKUP(B406,'Baremos anteriores'!A:B,2,FALSE),
""))))</f>
        <v/>
      </c>
      <c r="E406" s="9"/>
      <c r="F406" s="89" t="str">
        <f>IF(D406="MATE",
IF(E406="","¿Unidades?",""),
IF(D406="",IF(E406="","","¿Código?"),
IF(E406="","¿Unidades?",
IF(D406="TARE",
IF(M406=$H$3,IFERROR(VLOOKUP(B406,'Baremos actuales'!A:C,3,FALSE),0),
IF(M406=$H$4,IFERROR(VLOOKUP(B406,'Baremos anteriores'!A:C,3,FALSE),0),0))))))</f>
        <v/>
      </c>
      <c r="G406" s="7"/>
      <c r="H406" s="8"/>
      <c r="I406" s="8"/>
      <c r="J406" s="78" t="str">
        <f>IF($D406="","",
IF($E406="","",
IF($D406="MATE","",
IF(VLOOKUP($B406,'Baremos actuales'!A:D,4,FALSE)=J$9,$E406*$F406,IF(VLOOKUP($B406,'Baremos anteriores'!A:D,4,FALSE)="Sin Definir",$E406*$F406,"")))))</f>
        <v/>
      </c>
      <c r="K406" s="79" t="str">
        <f>IF($D406="","",
IF($E406="","",
IF($D406="MATE","",
IF(VLOOKUP($B406,'Baremos actuales'!$A:$D,4,FALSE)=K$9,$E406*$F406,IF(VLOOKUP($B406,'Baremos anteriores'!$A:$D,4,FALSE)="Desmonte",$E406*$F406,"")))))</f>
        <v/>
      </c>
      <c r="L406" s="80" t="str">
        <f>IF($D406="","",
IF($E406="","",
IF($D406="MATE","",
IF(VLOOKUP($B406,'Baremos actuales'!$A:$D,4,FALSE)=L$9,$E406*$F406,""))))</f>
        <v/>
      </c>
      <c r="M406" s="91" t="str">
        <f t="shared" si="6"/>
        <v/>
      </c>
      <c r="N406" s="96"/>
      <c r="O406" s="95"/>
      <c r="P406" s="96"/>
      <c r="Q406" s="98"/>
    </row>
    <row r="407" spans="1:17" ht="15.75" x14ac:dyDescent="0.2">
      <c r="A407" s="17"/>
      <c r="B407" s="18"/>
      <c r="C407" s="87" t="str">
        <f>IF(B407="","",
IF(M407=$H$5,IFERROR(VLOOKUP(B407,'Baremos actuales'!A:E,5,FALSE),"No encontrado. Revisar código, fecha ejecución y/o contrato."),
IF(M407=$H$4,IFERROR(VLOOKUP(B407,'Baremos anteriores'!A:E,5,FALSE),"No encontrado. Revisar código, fecha ejecución y/o contrato."),
IF(M407=$H$3,IFERROR(VLOOKUP(B407,#REF!,5,FALSE),"No encontrado. Revisar código, fecha ejecución y/o contrato."),
IF(D407="","Código no encontrado",
IF(D407="ERROR","No encontrado. Revisar Código, fecha de ejecución y/o contrato.",
IF(D407="MATE",
IF(C406="DESCRIPCION","NO SE PUEDE COMENZAR SIN CÓDIGO DE TAREA",
IF(C406="","FALTA CÓDIGO DE TAREA",
CONCATENATE("          ",VLOOKUP(B407,'Maestro Materiales'!A:C,3,FALSE)))),IFERROR(VLOOKUP(B407,#REF!,5,FALSE),"No encontrado. Revisar código, fecha ejecución y/o contrato."))))))))</f>
        <v/>
      </c>
      <c r="D407" s="88" t="str">
        <f>IF(B407="","",
IFERROR(VLOOKUP(B407,'Maestro Materiales'!A:C,2,FALSE),
IFERROR(VLOOKUP(B407,'Baremos actuales'!A:B,2,FALSE),
IFERROR(VLOOKUP(B407,'Baremos anteriores'!A:B,2,FALSE),
""))))</f>
        <v/>
      </c>
      <c r="E407" s="9"/>
      <c r="F407" s="89" t="str">
        <f>IF(D407="MATE",
IF(E407="","¿Unidades?",""),
IF(D407="",IF(E407="","","¿Código?"),
IF(E407="","¿Unidades?",
IF(D407="TARE",
IF(M407=$H$3,IFERROR(VLOOKUP(B407,'Baremos actuales'!A:C,3,FALSE),0),
IF(M407=$H$4,IFERROR(VLOOKUP(B407,'Baremos anteriores'!A:C,3,FALSE),0),0))))))</f>
        <v/>
      </c>
      <c r="G407" s="7"/>
      <c r="H407" s="8"/>
      <c r="I407" s="8"/>
      <c r="J407" s="78" t="str">
        <f>IF($D407="","",
IF($E407="","",
IF($D407="MATE","",
IF(VLOOKUP($B407,'Baremos actuales'!A:D,4,FALSE)=J$9,$E407*$F407,IF(VLOOKUP($B407,'Baremos anteriores'!A:D,4,FALSE)="Sin Definir",$E407*$F407,"")))))</f>
        <v/>
      </c>
      <c r="K407" s="79" t="str">
        <f>IF($D407="","",
IF($E407="","",
IF($D407="MATE","",
IF(VLOOKUP($B407,'Baremos actuales'!$A:$D,4,FALSE)=K$9,$E407*$F407,IF(VLOOKUP($B407,'Baremos anteriores'!$A:$D,4,FALSE)="Desmonte",$E407*$F407,"")))))</f>
        <v/>
      </c>
      <c r="L407" s="80" t="str">
        <f>IF($D407="","",
IF($E407="","",
IF($D407="MATE","",
IF(VLOOKUP($B407,'Baremos actuales'!$A:$D,4,FALSE)=L$9,$E407*$F407,""))))</f>
        <v/>
      </c>
      <c r="M407" s="91" t="str">
        <f t="shared" si="6"/>
        <v/>
      </c>
      <c r="N407" s="96"/>
      <c r="O407" s="95"/>
      <c r="P407" s="96"/>
      <c r="Q407" s="98"/>
    </row>
    <row r="408" spans="1:17" ht="15.75" x14ac:dyDescent="0.2">
      <c r="A408" s="17"/>
      <c r="B408" s="18"/>
      <c r="C408" s="87" t="str">
        <f>IF(B408="","",
IF(M408=$H$5,IFERROR(VLOOKUP(B408,'Baremos actuales'!A:E,5,FALSE),"No encontrado. Revisar código, fecha ejecución y/o contrato."),
IF(M408=$H$4,IFERROR(VLOOKUP(B408,'Baremos anteriores'!A:E,5,FALSE),"No encontrado. Revisar código, fecha ejecución y/o contrato."),
IF(M408=$H$3,IFERROR(VLOOKUP(B408,#REF!,5,FALSE),"No encontrado. Revisar código, fecha ejecución y/o contrato."),
IF(D408="","Código no encontrado",
IF(D408="ERROR","No encontrado. Revisar Código, fecha de ejecución y/o contrato.",
IF(D408="MATE",
IF(C407="DESCRIPCION","NO SE PUEDE COMENZAR SIN CÓDIGO DE TAREA",
IF(C407="","FALTA CÓDIGO DE TAREA",
CONCATENATE("          ",VLOOKUP(B408,'Maestro Materiales'!A:C,3,FALSE)))),IFERROR(VLOOKUP(B408,#REF!,5,FALSE),"No encontrado. Revisar código, fecha ejecución y/o contrato."))))))))</f>
        <v/>
      </c>
      <c r="D408" s="88" t="str">
        <f>IF(B408="","",
IFERROR(VLOOKUP(B408,'Maestro Materiales'!A:C,2,FALSE),
IFERROR(VLOOKUP(B408,'Baremos actuales'!A:B,2,FALSE),
IFERROR(VLOOKUP(B408,'Baremos anteriores'!A:B,2,FALSE),
""))))</f>
        <v/>
      </c>
      <c r="E408" s="9"/>
      <c r="F408" s="89" t="str">
        <f>IF(D408="MATE",
IF(E408="","¿Unidades?",""),
IF(D408="",IF(E408="","","¿Código?"),
IF(E408="","¿Unidades?",
IF(D408="TARE",
IF(M408=$H$3,IFERROR(VLOOKUP(B408,'Baremos actuales'!A:C,3,FALSE),0),
IF(M408=$H$4,IFERROR(VLOOKUP(B408,'Baremos anteriores'!A:C,3,FALSE),0),0))))))</f>
        <v/>
      </c>
      <c r="G408" s="7"/>
      <c r="H408" s="8"/>
      <c r="I408" s="8"/>
      <c r="J408" s="78" t="str">
        <f>IF($D408="","",
IF($E408="","",
IF($D408="MATE","",
IF(VLOOKUP($B408,'Baremos actuales'!A:D,4,FALSE)=J$9,$E408*$F408,IF(VLOOKUP($B408,'Baremos anteriores'!A:D,4,FALSE)="Sin Definir",$E408*$F408,"")))))</f>
        <v/>
      </c>
      <c r="K408" s="79" t="str">
        <f>IF($D408="","",
IF($E408="","",
IF($D408="MATE","",
IF(VLOOKUP($B408,'Baremos actuales'!$A:$D,4,FALSE)=K$9,$E408*$F408,IF(VLOOKUP($B408,'Baremos anteriores'!$A:$D,4,FALSE)="Desmonte",$E408*$F408,"")))))</f>
        <v/>
      </c>
      <c r="L408" s="80" t="str">
        <f>IF($D408="","",
IF($E408="","",
IF($D408="MATE","",
IF(VLOOKUP($B408,'Baremos actuales'!$A:$D,4,FALSE)=L$9,$E408*$F408,""))))</f>
        <v/>
      </c>
      <c r="M408" s="91" t="str">
        <f t="shared" si="6"/>
        <v/>
      </c>
      <c r="N408" s="96"/>
      <c r="O408" s="95"/>
      <c r="P408" s="96"/>
      <c r="Q408" s="98"/>
    </row>
    <row r="409" spans="1:17" ht="15.75" x14ac:dyDescent="0.2">
      <c r="A409" s="17"/>
      <c r="B409" s="18"/>
      <c r="C409" s="87" t="str">
        <f>IF(B409="","",
IF(M409=$H$5,IFERROR(VLOOKUP(B409,'Baremos actuales'!A:E,5,FALSE),"No encontrado. Revisar código, fecha ejecución y/o contrato."),
IF(M409=$H$4,IFERROR(VLOOKUP(B409,'Baremos anteriores'!A:E,5,FALSE),"No encontrado. Revisar código, fecha ejecución y/o contrato."),
IF(M409=$H$3,IFERROR(VLOOKUP(B409,#REF!,5,FALSE),"No encontrado. Revisar código, fecha ejecución y/o contrato."),
IF(D409="","Código no encontrado",
IF(D409="ERROR","No encontrado. Revisar Código, fecha de ejecución y/o contrato.",
IF(D409="MATE",
IF(C408="DESCRIPCION","NO SE PUEDE COMENZAR SIN CÓDIGO DE TAREA",
IF(C408="","FALTA CÓDIGO DE TAREA",
CONCATENATE("          ",VLOOKUP(B409,'Maestro Materiales'!A:C,3,FALSE)))),IFERROR(VLOOKUP(B409,#REF!,5,FALSE),"No encontrado. Revisar código, fecha ejecución y/o contrato."))))))))</f>
        <v/>
      </c>
      <c r="D409" s="88" t="str">
        <f>IF(B409="","",
IFERROR(VLOOKUP(B409,'Maestro Materiales'!A:C,2,FALSE),
IFERROR(VLOOKUP(B409,'Baremos actuales'!A:B,2,FALSE),
IFERROR(VLOOKUP(B409,'Baremos anteriores'!A:B,2,FALSE),
""))))</f>
        <v/>
      </c>
      <c r="E409" s="9"/>
      <c r="F409" s="89" t="str">
        <f>IF(D409="MATE",
IF(E409="","¿Unidades?",""),
IF(D409="",IF(E409="","","¿Código?"),
IF(E409="","¿Unidades?",
IF(D409="TARE",
IF(M409=$H$3,IFERROR(VLOOKUP(B409,'Baremos actuales'!A:C,3,FALSE),0),
IF(M409=$H$4,IFERROR(VLOOKUP(B409,'Baremos anteriores'!A:C,3,FALSE),0),0))))))</f>
        <v/>
      </c>
      <c r="G409" s="7"/>
      <c r="H409" s="8"/>
      <c r="I409" s="8"/>
      <c r="J409" s="78" t="str">
        <f>IF($D409="","",
IF($E409="","",
IF($D409="MATE","",
IF(VLOOKUP($B409,'Baremos actuales'!A:D,4,FALSE)=J$9,$E409*$F409,IF(VLOOKUP($B409,'Baremos anteriores'!A:D,4,FALSE)="Sin Definir",$E409*$F409,"")))))</f>
        <v/>
      </c>
      <c r="K409" s="79" t="str">
        <f>IF($D409="","",
IF($E409="","",
IF($D409="MATE","",
IF(VLOOKUP($B409,'Baremos actuales'!$A:$D,4,FALSE)=K$9,$E409*$F409,IF(VLOOKUP($B409,'Baremos anteriores'!$A:$D,4,FALSE)="Desmonte",$E409*$F409,"")))))</f>
        <v/>
      </c>
      <c r="L409" s="80" t="str">
        <f>IF($D409="","",
IF($E409="","",
IF($D409="MATE","",
IF(VLOOKUP($B409,'Baremos actuales'!$A:$D,4,FALSE)=L$9,$E409*$F409,""))))</f>
        <v/>
      </c>
      <c r="M409" s="91" t="str">
        <f t="shared" si="6"/>
        <v/>
      </c>
      <c r="N409" s="96"/>
      <c r="O409" s="95"/>
      <c r="P409" s="96"/>
      <c r="Q409" s="98"/>
    </row>
    <row r="410" spans="1:17" ht="15.75" x14ac:dyDescent="0.2">
      <c r="A410" s="17"/>
      <c r="B410" s="18"/>
      <c r="C410" s="87" t="str">
        <f>IF(B410="","",
IF(M410=$H$5,IFERROR(VLOOKUP(B410,'Baremos actuales'!A:E,5,FALSE),"No encontrado. Revisar código, fecha ejecución y/o contrato."),
IF(M410=$H$4,IFERROR(VLOOKUP(B410,'Baremos anteriores'!A:E,5,FALSE),"No encontrado. Revisar código, fecha ejecución y/o contrato."),
IF(M410=$H$3,IFERROR(VLOOKUP(B410,#REF!,5,FALSE),"No encontrado. Revisar código, fecha ejecución y/o contrato."),
IF(D410="","Código no encontrado",
IF(D410="ERROR","No encontrado. Revisar Código, fecha de ejecución y/o contrato.",
IF(D410="MATE",
IF(C409="DESCRIPCION","NO SE PUEDE COMENZAR SIN CÓDIGO DE TAREA",
IF(C409="","FALTA CÓDIGO DE TAREA",
CONCATENATE("          ",VLOOKUP(B410,'Maestro Materiales'!A:C,3,FALSE)))),IFERROR(VLOOKUP(B410,#REF!,5,FALSE),"No encontrado. Revisar código, fecha ejecución y/o contrato."))))))))</f>
        <v/>
      </c>
      <c r="D410" s="88" t="str">
        <f>IF(B410="","",
IFERROR(VLOOKUP(B410,'Maestro Materiales'!A:C,2,FALSE),
IFERROR(VLOOKUP(B410,'Baremos actuales'!A:B,2,FALSE),
IFERROR(VLOOKUP(B410,'Baremos anteriores'!A:B,2,FALSE),
""))))</f>
        <v/>
      </c>
      <c r="E410" s="9"/>
      <c r="F410" s="89" t="str">
        <f>IF(D410="MATE",
IF(E410="","¿Unidades?",""),
IF(D410="",IF(E410="","","¿Código?"),
IF(E410="","¿Unidades?",
IF(D410="TARE",
IF(M410=$H$3,IFERROR(VLOOKUP(B410,'Baremos actuales'!A:C,3,FALSE),0),
IF(M410=$H$4,IFERROR(VLOOKUP(B410,'Baremos anteriores'!A:C,3,FALSE),0),0))))))</f>
        <v/>
      </c>
      <c r="G410" s="7"/>
      <c r="H410" s="8"/>
      <c r="I410" s="8"/>
      <c r="J410" s="78" t="str">
        <f>IF($D410="","",
IF($E410="","",
IF($D410="MATE","",
IF(VLOOKUP($B410,'Baremos actuales'!A:D,4,FALSE)=J$9,$E410*$F410,IF(VLOOKUP($B410,'Baremos anteriores'!A:D,4,FALSE)="Sin Definir",$E410*$F410,"")))))</f>
        <v/>
      </c>
      <c r="K410" s="79" t="str">
        <f>IF($D410="","",
IF($E410="","",
IF($D410="MATE","",
IF(VLOOKUP($B410,'Baremos actuales'!$A:$D,4,FALSE)=K$9,$E410*$F410,IF(VLOOKUP($B410,'Baremos anteriores'!$A:$D,4,FALSE)="Desmonte",$E410*$F410,"")))))</f>
        <v/>
      </c>
      <c r="L410" s="80" t="str">
        <f>IF($D410="","",
IF($E410="","",
IF($D410="MATE","",
IF(VLOOKUP($B410,'Baremos actuales'!$A:$D,4,FALSE)=L$9,$E410*$F410,""))))</f>
        <v/>
      </c>
      <c r="M410" s="91" t="str">
        <f t="shared" si="6"/>
        <v/>
      </c>
      <c r="N410" s="96"/>
      <c r="O410" s="95"/>
      <c r="P410" s="96"/>
      <c r="Q410" s="98"/>
    </row>
    <row r="411" spans="1:17" ht="15.75" x14ac:dyDescent="0.2">
      <c r="A411" s="17"/>
      <c r="B411" s="18"/>
      <c r="C411" s="87" t="str">
        <f>IF(B411="","",
IF(M411=$H$5,IFERROR(VLOOKUP(B411,'Baremos actuales'!A:E,5,FALSE),"No encontrado. Revisar código, fecha ejecución y/o contrato."),
IF(M411=$H$4,IFERROR(VLOOKUP(B411,'Baremos anteriores'!A:E,5,FALSE),"No encontrado. Revisar código, fecha ejecución y/o contrato."),
IF(M411=$H$3,IFERROR(VLOOKUP(B411,#REF!,5,FALSE),"No encontrado. Revisar código, fecha ejecución y/o contrato."),
IF(D411="","Código no encontrado",
IF(D411="ERROR","No encontrado. Revisar Código, fecha de ejecución y/o contrato.",
IF(D411="MATE",
IF(C410="DESCRIPCION","NO SE PUEDE COMENZAR SIN CÓDIGO DE TAREA",
IF(C410="","FALTA CÓDIGO DE TAREA",
CONCATENATE("          ",VLOOKUP(B411,'Maestro Materiales'!A:C,3,FALSE)))),IFERROR(VLOOKUP(B411,#REF!,5,FALSE),"No encontrado. Revisar código, fecha ejecución y/o contrato."))))))))</f>
        <v/>
      </c>
      <c r="D411" s="88" t="str">
        <f>IF(B411="","",
IFERROR(VLOOKUP(B411,'Maestro Materiales'!A:C,2,FALSE),
IFERROR(VLOOKUP(B411,'Baremos actuales'!A:B,2,FALSE),
IFERROR(VLOOKUP(B411,'Baremos anteriores'!A:B,2,FALSE),
""))))</f>
        <v/>
      </c>
      <c r="E411" s="9"/>
      <c r="F411" s="89" t="str">
        <f>IF(D411="MATE",
IF(E411="","¿Unidades?",""),
IF(D411="",IF(E411="","","¿Código?"),
IF(E411="","¿Unidades?",
IF(D411="TARE",
IF(M411=$H$3,IFERROR(VLOOKUP(B411,'Baremos actuales'!A:C,3,FALSE),0),
IF(M411=$H$4,IFERROR(VLOOKUP(B411,'Baremos anteriores'!A:C,3,FALSE),0),0))))))</f>
        <v/>
      </c>
      <c r="G411" s="7"/>
      <c r="H411" s="8"/>
      <c r="I411" s="8"/>
      <c r="J411" s="78" t="str">
        <f>IF($D411="","",
IF($E411="","",
IF($D411="MATE","",
IF(VLOOKUP($B411,'Baremos actuales'!A:D,4,FALSE)=J$9,$E411*$F411,IF(VLOOKUP($B411,'Baremos anteriores'!A:D,4,FALSE)="Sin Definir",$E411*$F411,"")))))</f>
        <v/>
      </c>
      <c r="K411" s="79" t="str">
        <f>IF($D411="","",
IF($E411="","",
IF($D411="MATE","",
IF(VLOOKUP($B411,'Baremos actuales'!$A:$D,4,FALSE)=K$9,$E411*$F411,IF(VLOOKUP($B411,'Baremos anteriores'!$A:$D,4,FALSE)="Desmonte",$E411*$F411,"")))))</f>
        <v/>
      </c>
      <c r="L411" s="80" t="str">
        <f>IF($D411="","",
IF($E411="","",
IF($D411="MATE","",
IF(VLOOKUP($B411,'Baremos actuales'!$A:$D,4,FALSE)=L$9,$E411*$F411,""))))</f>
        <v/>
      </c>
      <c r="M411" s="91" t="str">
        <f t="shared" si="6"/>
        <v/>
      </c>
      <c r="N411" s="96"/>
      <c r="O411" s="95"/>
      <c r="P411" s="96"/>
      <c r="Q411" s="98"/>
    </row>
    <row r="412" spans="1:17" ht="15.75" x14ac:dyDescent="0.2">
      <c r="A412" s="17"/>
      <c r="B412" s="18"/>
      <c r="C412" s="87" t="str">
        <f>IF(B412="","",
IF(M412=$H$5,IFERROR(VLOOKUP(B412,'Baremos actuales'!A:E,5,FALSE),"No encontrado. Revisar código, fecha ejecución y/o contrato."),
IF(M412=$H$4,IFERROR(VLOOKUP(B412,'Baremos anteriores'!A:E,5,FALSE),"No encontrado. Revisar código, fecha ejecución y/o contrato."),
IF(M412=$H$3,IFERROR(VLOOKUP(B412,#REF!,5,FALSE),"No encontrado. Revisar código, fecha ejecución y/o contrato."),
IF(D412="","Código no encontrado",
IF(D412="ERROR","No encontrado. Revisar Código, fecha de ejecución y/o contrato.",
IF(D412="MATE",
IF(C411="DESCRIPCION","NO SE PUEDE COMENZAR SIN CÓDIGO DE TAREA",
IF(C411="","FALTA CÓDIGO DE TAREA",
CONCATENATE("          ",VLOOKUP(B412,'Maestro Materiales'!A:C,3,FALSE)))),IFERROR(VLOOKUP(B412,#REF!,5,FALSE),"No encontrado. Revisar código, fecha ejecución y/o contrato."))))))))</f>
        <v/>
      </c>
      <c r="D412" s="88" t="str">
        <f>IF(B412="","",
IFERROR(VLOOKUP(B412,'Maestro Materiales'!A:C,2,FALSE),
IFERROR(VLOOKUP(B412,'Baremos actuales'!A:B,2,FALSE),
IFERROR(VLOOKUP(B412,'Baremos anteriores'!A:B,2,FALSE),
""))))</f>
        <v/>
      </c>
      <c r="E412" s="9"/>
      <c r="F412" s="89" t="str">
        <f>IF(D412="MATE",
IF(E412="","¿Unidades?",""),
IF(D412="",IF(E412="","","¿Código?"),
IF(E412="","¿Unidades?",
IF(D412="TARE",
IF(M412=$H$3,IFERROR(VLOOKUP(B412,'Baremos actuales'!A:C,3,FALSE),0),
IF(M412=$H$4,IFERROR(VLOOKUP(B412,'Baremos anteriores'!A:C,3,FALSE),0),0))))))</f>
        <v/>
      </c>
      <c r="G412" s="7"/>
      <c r="H412" s="8"/>
      <c r="I412" s="8"/>
      <c r="J412" s="78" t="str">
        <f>IF($D412="","",
IF($E412="","",
IF($D412="MATE","",
IF(VLOOKUP($B412,'Baremos actuales'!A:D,4,FALSE)=J$9,$E412*$F412,IF(VLOOKUP($B412,'Baremos anteriores'!A:D,4,FALSE)="Sin Definir",$E412*$F412,"")))))</f>
        <v/>
      </c>
      <c r="K412" s="79" t="str">
        <f>IF($D412="","",
IF($E412="","",
IF($D412="MATE","",
IF(VLOOKUP($B412,'Baremos actuales'!$A:$D,4,FALSE)=K$9,$E412*$F412,IF(VLOOKUP($B412,'Baremos anteriores'!$A:$D,4,FALSE)="Desmonte",$E412*$F412,"")))))</f>
        <v/>
      </c>
      <c r="L412" s="80" t="str">
        <f>IF($D412="","",
IF($E412="","",
IF($D412="MATE","",
IF(VLOOKUP($B412,'Baremos actuales'!$A:$D,4,FALSE)=L$9,$E412*$F412,""))))</f>
        <v/>
      </c>
      <c r="M412" s="91" t="str">
        <f t="shared" si="6"/>
        <v/>
      </c>
      <c r="N412" s="96"/>
      <c r="O412" s="95"/>
      <c r="P412" s="96"/>
      <c r="Q412" s="98"/>
    </row>
    <row r="413" spans="1:17" ht="15.75" x14ac:dyDescent="0.2">
      <c r="A413" s="17"/>
      <c r="B413" s="18"/>
      <c r="C413" s="87" t="str">
        <f>IF(B413="","",
IF(M413=$H$5,IFERROR(VLOOKUP(B413,'Baremos actuales'!A:E,5,FALSE),"No encontrado. Revisar código, fecha ejecución y/o contrato."),
IF(M413=$H$4,IFERROR(VLOOKUP(B413,'Baremos anteriores'!A:E,5,FALSE),"No encontrado. Revisar código, fecha ejecución y/o contrato."),
IF(M413=$H$3,IFERROR(VLOOKUP(B413,#REF!,5,FALSE),"No encontrado. Revisar código, fecha ejecución y/o contrato."),
IF(D413="","Código no encontrado",
IF(D413="ERROR","No encontrado. Revisar Código, fecha de ejecución y/o contrato.",
IF(D413="MATE",
IF(C412="DESCRIPCION","NO SE PUEDE COMENZAR SIN CÓDIGO DE TAREA",
IF(C412="","FALTA CÓDIGO DE TAREA",
CONCATENATE("          ",VLOOKUP(B413,'Maestro Materiales'!A:C,3,FALSE)))),IFERROR(VLOOKUP(B413,#REF!,5,FALSE),"No encontrado. Revisar código, fecha ejecución y/o contrato."))))))))</f>
        <v/>
      </c>
      <c r="D413" s="88" t="str">
        <f>IF(B413="","",
IFERROR(VLOOKUP(B413,'Maestro Materiales'!A:C,2,FALSE),
IFERROR(VLOOKUP(B413,'Baremos actuales'!A:B,2,FALSE),
IFERROR(VLOOKUP(B413,'Baremos anteriores'!A:B,2,FALSE),
""))))</f>
        <v/>
      </c>
      <c r="E413" s="9"/>
      <c r="F413" s="89" t="str">
        <f>IF(D413="MATE",
IF(E413="","¿Unidades?",""),
IF(D413="",IF(E413="","","¿Código?"),
IF(E413="","¿Unidades?",
IF(D413="TARE",
IF(M413=$H$3,IFERROR(VLOOKUP(B413,'Baremos actuales'!A:C,3,FALSE),0),
IF(M413=$H$4,IFERROR(VLOOKUP(B413,'Baremos anteriores'!A:C,3,FALSE),0),0))))))</f>
        <v/>
      </c>
      <c r="G413" s="7"/>
      <c r="H413" s="8"/>
      <c r="I413" s="8"/>
      <c r="J413" s="78" t="str">
        <f>IF($D413="","",
IF($E413="","",
IF($D413="MATE","",
IF(VLOOKUP($B413,'Baremos actuales'!A:D,4,FALSE)=J$9,$E413*$F413,IF(VLOOKUP($B413,'Baremos anteriores'!A:D,4,FALSE)="Sin Definir",$E413*$F413,"")))))</f>
        <v/>
      </c>
      <c r="K413" s="79" t="str">
        <f>IF($D413="","",
IF($E413="","",
IF($D413="MATE","",
IF(VLOOKUP($B413,'Baremos actuales'!$A:$D,4,FALSE)=K$9,$E413*$F413,IF(VLOOKUP($B413,'Baremos anteriores'!$A:$D,4,FALSE)="Desmonte",$E413*$F413,"")))))</f>
        <v/>
      </c>
      <c r="L413" s="80" t="str">
        <f>IF($D413="","",
IF($E413="","",
IF($D413="MATE","",
IF(VLOOKUP($B413,'Baremos actuales'!$A:$D,4,FALSE)=L$9,$E413*$F413,""))))</f>
        <v/>
      </c>
      <c r="M413" s="91" t="str">
        <f t="shared" si="6"/>
        <v/>
      </c>
      <c r="N413" s="96"/>
      <c r="O413" s="95"/>
      <c r="P413" s="96"/>
      <c r="Q413" s="98"/>
    </row>
    <row r="414" spans="1:17" ht="15.75" x14ac:dyDescent="0.2">
      <c r="A414" s="17"/>
      <c r="B414" s="18"/>
      <c r="C414" s="87" t="str">
        <f>IF(B414="","",
IF(M414=$H$5,IFERROR(VLOOKUP(B414,'Baremos actuales'!A:E,5,FALSE),"No encontrado. Revisar código, fecha ejecución y/o contrato."),
IF(M414=$H$4,IFERROR(VLOOKUP(B414,'Baremos anteriores'!A:E,5,FALSE),"No encontrado. Revisar código, fecha ejecución y/o contrato."),
IF(M414=$H$3,IFERROR(VLOOKUP(B414,#REF!,5,FALSE),"No encontrado. Revisar código, fecha ejecución y/o contrato."),
IF(D414="","Código no encontrado",
IF(D414="ERROR","No encontrado. Revisar Código, fecha de ejecución y/o contrato.",
IF(D414="MATE",
IF(C413="DESCRIPCION","NO SE PUEDE COMENZAR SIN CÓDIGO DE TAREA",
IF(C413="","FALTA CÓDIGO DE TAREA",
CONCATENATE("          ",VLOOKUP(B414,'Maestro Materiales'!A:C,3,FALSE)))),IFERROR(VLOOKUP(B414,#REF!,5,FALSE),"No encontrado. Revisar código, fecha ejecución y/o contrato."))))))))</f>
        <v/>
      </c>
      <c r="D414" s="88" t="str">
        <f>IF(B414="","",
IFERROR(VLOOKUP(B414,'Maestro Materiales'!A:C,2,FALSE),
IFERROR(VLOOKUP(B414,'Baremos actuales'!A:B,2,FALSE),
IFERROR(VLOOKUP(B414,'Baremos anteriores'!A:B,2,FALSE),
""))))</f>
        <v/>
      </c>
      <c r="E414" s="9"/>
      <c r="F414" s="89" t="str">
        <f>IF(D414="MATE",
IF(E414="","¿Unidades?",""),
IF(D414="",IF(E414="","","¿Código?"),
IF(E414="","¿Unidades?",
IF(D414="TARE",
IF(M414=$H$3,IFERROR(VLOOKUP(B414,'Baremos actuales'!A:C,3,FALSE),0),
IF(M414=$H$4,IFERROR(VLOOKUP(B414,'Baremos anteriores'!A:C,3,FALSE),0),0))))))</f>
        <v/>
      </c>
      <c r="G414" s="7"/>
      <c r="H414" s="8"/>
      <c r="I414" s="8"/>
      <c r="J414" s="78" t="str">
        <f>IF($D414="","",
IF($E414="","",
IF($D414="MATE","",
IF(VLOOKUP($B414,'Baremos actuales'!A:D,4,FALSE)=J$9,$E414*$F414,IF(VLOOKUP($B414,'Baremos anteriores'!A:D,4,FALSE)="Sin Definir",$E414*$F414,"")))))</f>
        <v/>
      </c>
      <c r="K414" s="79" t="str">
        <f>IF($D414="","",
IF($E414="","",
IF($D414="MATE","",
IF(VLOOKUP($B414,'Baremos actuales'!$A:$D,4,FALSE)=K$9,$E414*$F414,IF(VLOOKUP($B414,'Baremos anteriores'!$A:$D,4,FALSE)="Desmonte",$E414*$F414,"")))))</f>
        <v/>
      </c>
      <c r="L414" s="80" t="str">
        <f>IF($D414="","",
IF($E414="","",
IF($D414="MATE","",
IF(VLOOKUP($B414,'Baremos actuales'!$A:$D,4,FALSE)=L$9,$E414*$F414,""))))</f>
        <v/>
      </c>
      <c r="M414" s="91" t="str">
        <f t="shared" si="6"/>
        <v/>
      </c>
      <c r="N414" s="96"/>
      <c r="O414" s="95"/>
      <c r="P414" s="96"/>
      <c r="Q414" s="98"/>
    </row>
    <row r="415" spans="1:17" ht="15.75" x14ac:dyDescent="0.2">
      <c r="A415" s="17"/>
      <c r="B415" s="18"/>
      <c r="C415" s="87" t="str">
        <f>IF(B415="","",
IF(M415=$H$5,IFERROR(VLOOKUP(B415,'Baremos actuales'!A:E,5,FALSE),"No encontrado. Revisar código, fecha ejecución y/o contrato."),
IF(M415=$H$4,IFERROR(VLOOKUP(B415,'Baremos anteriores'!A:E,5,FALSE),"No encontrado. Revisar código, fecha ejecución y/o contrato."),
IF(M415=$H$3,IFERROR(VLOOKUP(B415,#REF!,5,FALSE),"No encontrado. Revisar código, fecha ejecución y/o contrato."),
IF(D415="","Código no encontrado",
IF(D415="ERROR","No encontrado. Revisar Código, fecha de ejecución y/o contrato.",
IF(D415="MATE",
IF(C414="DESCRIPCION","NO SE PUEDE COMENZAR SIN CÓDIGO DE TAREA",
IF(C414="","FALTA CÓDIGO DE TAREA",
CONCATENATE("          ",VLOOKUP(B415,'Maestro Materiales'!A:C,3,FALSE)))),IFERROR(VLOOKUP(B415,#REF!,5,FALSE),"No encontrado. Revisar código, fecha ejecución y/o contrato."))))))))</f>
        <v/>
      </c>
      <c r="D415" s="88" t="str">
        <f>IF(B415="","",
IFERROR(VLOOKUP(B415,'Maestro Materiales'!A:C,2,FALSE),
IFERROR(VLOOKUP(B415,'Baremos actuales'!A:B,2,FALSE),
IFERROR(VLOOKUP(B415,'Baremos anteriores'!A:B,2,FALSE),
""))))</f>
        <v/>
      </c>
      <c r="E415" s="9"/>
      <c r="F415" s="89" t="str">
        <f>IF(D415="MATE",
IF(E415="","¿Unidades?",""),
IF(D415="",IF(E415="","","¿Código?"),
IF(E415="","¿Unidades?",
IF(D415="TARE",
IF(M415=$H$3,IFERROR(VLOOKUP(B415,'Baremos actuales'!A:C,3,FALSE),0),
IF(M415=$H$4,IFERROR(VLOOKUP(B415,'Baremos anteriores'!A:C,3,FALSE),0),0))))))</f>
        <v/>
      </c>
      <c r="G415" s="7"/>
      <c r="H415" s="8"/>
      <c r="I415" s="8"/>
      <c r="J415" s="78" t="str">
        <f>IF($D415="","",
IF($E415="","",
IF($D415="MATE","",
IF(VLOOKUP($B415,'Baremos actuales'!A:D,4,FALSE)=J$9,$E415*$F415,IF(VLOOKUP($B415,'Baremos anteriores'!A:D,4,FALSE)="Sin Definir",$E415*$F415,"")))))</f>
        <v/>
      </c>
      <c r="K415" s="79" t="str">
        <f>IF($D415="","",
IF($E415="","",
IF($D415="MATE","",
IF(VLOOKUP($B415,'Baremos actuales'!$A:$D,4,FALSE)=K$9,$E415*$F415,IF(VLOOKUP($B415,'Baremos anteriores'!$A:$D,4,FALSE)="Desmonte",$E415*$F415,"")))))</f>
        <v/>
      </c>
      <c r="L415" s="80" t="str">
        <f>IF($D415="","",
IF($E415="","",
IF($D415="MATE","",
IF(VLOOKUP($B415,'Baremos actuales'!$A:$D,4,FALSE)=L$9,$E415*$F415,""))))</f>
        <v/>
      </c>
      <c r="M415" s="91" t="str">
        <f t="shared" si="6"/>
        <v/>
      </c>
      <c r="N415" s="96"/>
      <c r="O415" s="95"/>
      <c r="P415" s="96"/>
      <c r="Q415" s="98"/>
    </row>
    <row r="416" spans="1:17" ht="15.75" x14ac:dyDescent="0.2">
      <c r="A416" s="17"/>
      <c r="B416" s="18"/>
      <c r="C416" s="87" t="str">
        <f>IF(B416="","",
IF(M416=$H$5,IFERROR(VLOOKUP(B416,'Baremos actuales'!A:E,5,FALSE),"No encontrado. Revisar código, fecha ejecución y/o contrato."),
IF(M416=$H$4,IFERROR(VLOOKUP(B416,'Baremos anteriores'!A:E,5,FALSE),"No encontrado. Revisar código, fecha ejecución y/o contrato."),
IF(M416=$H$3,IFERROR(VLOOKUP(B416,#REF!,5,FALSE),"No encontrado. Revisar código, fecha ejecución y/o contrato."),
IF(D416="","Código no encontrado",
IF(D416="ERROR","No encontrado. Revisar Código, fecha de ejecución y/o contrato.",
IF(D416="MATE",
IF(C415="DESCRIPCION","NO SE PUEDE COMENZAR SIN CÓDIGO DE TAREA",
IF(C415="","FALTA CÓDIGO DE TAREA",
CONCATENATE("          ",VLOOKUP(B416,'Maestro Materiales'!A:C,3,FALSE)))),IFERROR(VLOOKUP(B416,#REF!,5,FALSE),"No encontrado. Revisar código, fecha ejecución y/o contrato."))))))))</f>
        <v/>
      </c>
      <c r="D416" s="88" t="str">
        <f>IF(B416="","",
IFERROR(VLOOKUP(B416,'Maestro Materiales'!A:C,2,FALSE),
IFERROR(VLOOKUP(B416,'Baremos actuales'!A:B,2,FALSE),
IFERROR(VLOOKUP(B416,'Baremos anteriores'!A:B,2,FALSE),
""))))</f>
        <v/>
      </c>
      <c r="E416" s="9"/>
      <c r="F416" s="89" t="str">
        <f>IF(D416="MATE",
IF(E416="","¿Unidades?",""),
IF(D416="",IF(E416="","","¿Código?"),
IF(E416="","¿Unidades?",
IF(D416="TARE",
IF(M416=$H$3,IFERROR(VLOOKUP(B416,'Baremos actuales'!A:C,3,FALSE),0),
IF(M416=$H$4,IFERROR(VLOOKUP(B416,'Baremos anteriores'!A:C,3,FALSE),0),0))))))</f>
        <v/>
      </c>
      <c r="G416" s="7"/>
      <c r="H416" s="8"/>
      <c r="I416" s="8"/>
      <c r="J416" s="78" t="str">
        <f>IF($D416="","",
IF($E416="","",
IF($D416="MATE","",
IF(VLOOKUP($B416,'Baremos actuales'!A:D,4,FALSE)=J$9,$E416*$F416,IF(VLOOKUP($B416,'Baremos anteriores'!A:D,4,FALSE)="Sin Definir",$E416*$F416,"")))))</f>
        <v/>
      </c>
      <c r="K416" s="79" t="str">
        <f>IF($D416="","",
IF($E416="","",
IF($D416="MATE","",
IF(VLOOKUP($B416,'Baremos actuales'!$A:$D,4,FALSE)=K$9,$E416*$F416,IF(VLOOKUP($B416,'Baremos anteriores'!$A:$D,4,FALSE)="Desmonte",$E416*$F416,"")))))</f>
        <v/>
      </c>
      <c r="L416" s="80" t="str">
        <f>IF($D416="","",
IF($E416="","",
IF($D416="MATE","",
IF(VLOOKUP($B416,'Baremos actuales'!$A:$D,4,FALSE)=L$9,$E416*$F416,""))))</f>
        <v/>
      </c>
      <c r="M416" s="91" t="str">
        <f t="shared" si="6"/>
        <v/>
      </c>
      <c r="N416" s="96"/>
      <c r="O416" s="95"/>
      <c r="P416" s="96"/>
      <c r="Q416" s="98"/>
    </row>
    <row r="417" spans="1:17" ht="15.75" x14ac:dyDescent="0.2">
      <c r="A417" s="17"/>
      <c r="B417" s="18"/>
      <c r="C417" s="87" t="str">
        <f>IF(B417="","",
IF(M417=$H$5,IFERROR(VLOOKUP(B417,'Baremos actuales'!A:E,5,FALSE),"No encontrado. Revisar código, fecha ejecución y/o contrato."),
IF(M417=$H$4,IFERROR(VLOOKUP(B417,'Baremos anteriores'!A:E,5,FALSE),"No encontrado. Revisar código, fecha ejecución y/o contrato."),
IF(M417=$H$3,IFERROR(VLOOKUP(B417,#REF!,5,FALSE),"No encontrado. Revisar código, fecha ejecución y/o contrato."),
IF(D417="","Código no encontrado",
IF(D417="ERROR","No encontrado. Revisar Código, fecha de ejecución y/o contrato.",
IF(D417="MATE",
IF(C416="DESCRIPCION","NO SE PUEDE COMENZAR SIN CÓDIGO DE TAREA",
IF(C416="","FALTA CÓDIGO DE TAREA",
CONCATENATE("          ",VLOOKUP(B417,'Maestro Materiales'!A:C,3,FALSE)))),IFERROR(VLOOKUP(B417,#REF!,5,FALSE),"No encontrado. Revisar código, fecha ejecución y/o contrato."))))))))</f>
        <v/>
      </c>
      <c r="D417" s="88" t="str">
        <f>IF(B417="","",
IFERROR(VLOOKUP(B417,'Maestro Materiales'!A:C,2,FALSE),
IFERROR(VLOOKUP(B417,'Baremos actuales'!A:B,2,FALSE),
IFERROR(VLOOKUP(B417,'Baremos anteriores'!A:B,2,FALSE),
""))))</f>
        <v/>
      </c>
      <c r="E417" s="9"/>
      <c r="F417" s="89" t="str">
        <f>IF(D417="MATE",
IF(E417="","¿Unidades?",""),
IF(D417="",IF(E417="","","¿Código?"),
IF(E417="","¿Unidades?",
IF(D417="TARE",
IF(M417=$H$3,IFERROR(VLOOKUP(B417,'Baremos actuales'!A:C,3,FALSE),0),
IF(M417=$H$4,IFERROR(VLOOKUP(B417,'Baremos anteriores'!A:C,3,FALSE),0),0))))))</f>
        <v/>
      </c>
      <c r="G417" s="7"/>
      <c r="H417" s="8"/>
      <c r="I417" s="8"/>
      <c r="J417" s="78" t="str">
        <f>IF($D417="","",
IF($E417="","",
IF($D417="MATE","",
IF(VLOOKUP($B417,'Baremos actuales'!A:D,4,FALSE)=J$9,$E417*$F417,IF(VLOOKUP($B417,'Baremos anteriores'!A:D,4,FALSE)="Sin Definir",$E417*$F417,"")))))</f>
        <v/>
      </c>
      <c r="K417" s="79" t="str">
        <f>IF($D417="","",
IF($E417="","",
IF($D417="MATE","",
IF(VLOOKUP($B417,'Baremos actuales'!$A:$D,4,FALSE)=K$9,$E417*$F417,IF(VLOOKUP($B417,'Baremos anteriores'!$A:$D,4,FALSE)="Desmonte",$E417*$F417,"")))))</f>
        <v/>
      </c>
      <c r="L417" s="80" t="str">
        <f>IF($D417="","",
IF($E417="","",
IF($D417="MATE","",
IF(VLOOKUP($B417,'Baremos actuales'!$A:$D,4,FALSE)=L$9,$E417*$F417,""))))</f>
        <v/>
      </c>
      <c r="M417" s="91" t="str">
        <f t="shared" si="6"/>
        <v/>
      </c>
      <c r="N417" s="96"/>
      <c r="O417" s="95"/>
      <c r="P417" s="96"/>
      <c r="Q417" s="98"/>
    </row>
    <row r="418" spans="1:17" ht="15.75" x14ac:dyDescent="0.2">
      <c r="A418" s="17"/>
      <c r="B418" s="18"/>
      <c r="C418" s="87" t="str">
        <f>IF(B418="","",
IF(M418=$H$5,IFERROR(VLOOKUP(B418,'Baremos actuales'!A:E,5,FALSE),"No encontrado. Revisar código, fecha ejecución y/o contrato."),
IF(M418=$H$4,IFERROR(VLOOKUP(B418,'Baremos anteriores'!A:E,5,FALSE),"No encontrado. Revisar código, fecha ejecución y/o contrato."),
IF(M418=$H$3,IFERROR(VLOOKUP(B418,#REF!,5,FALSE),"No encontrado. Revisar código, fecha ejecución y/o contrato."),
IF(D418="","Código no encontrado",
IF(D418="ERROR","No encontrado. Revisar Código, fecha de ejecución y/o contrato.",
IF(D418="MATE",
IF(C417="DESCRIPCION","NO SE PUEDE COMENZAR SIN CÓDIGO DE TAREA",
IF(C417="","FALTA CÓDIGO DE TAREA",
CONCATENATE("          ",VLOOKUP(B418,'Maestro Materiales'!A:C,3,FALSE)))),IFERROR(VLOOKUP(B418,#REF!,5,FALSE),"No encontrado. Revisar código, fecha ejecución y/o contrato."))))))))</f>
        <v/>
      </c>
      <c r="D418" s="88" t="str">
        <f>IF(B418="","",
IFERROR(VLOOKUP(B418,'Maestro Materiales'!A:C,2,FALSE),
IFERROR(VLOOKUP(B418,'Baremos actuales'!A:B,2,FALSE),
IFERROR(VLOOKUP(B418,'Baremos anteriores'!A:B,2,FALSE),
""))))</f>
        <v/>
      </c>
      <c r="E418" s="9"/>
      <c r="F418" s="89" t="str">
        <f>IF(D418="MATE",
IF(E418="","¿Unidades?",""),
IF(D418="",IF(E418="","","¿Código?"),
IF(E418="","¿Unidades?",
IF(D418="TARE",
IF(M418=$H$3,IFERROR(VLOOKUP(B418,'Baremos actuales'!A:C,3,FALSE),0),
IF(M418=$H$4,IFERROR(VLOOKUP(B418,'Baremos anteriores'!A:C,3,FALSE),0),0))))))</f>
        <v/>
      </c>
      <c r="G418" s="7"/>
      <c r="H418" s="8"/>
      <c r="I418" s="8"/>
      <c r="J418" s="78" t="str">
        <f>IF($D418="","",
IF($E418="","",
IF($D418="MATE","",
IF(VLOOKUP($B418,'Baremos actuales'!A:D,4,FALSE)=J$9,$E418*$F418,IF(VLOOKUP($B418,'Baremos anteriores'!A:D,4,FALSE)="Sin Definir",$E418*$F418,"")))))</f>
        <v/>
      </c>
      <c r="K418" s="79" t="str">
        <f>IF($D418="","",
IF($E418="","",
IF($D418="MATE","",
IF(VLOOKUP($B418,'Baremos actuales'!$A:$D,4,FALSE)=K$9,$E418*$F418,IF(VLOOKUP($B418,'Baremos anteriores'!$A:$D,4,FALSE)="Desmonte",$E418*$F418,"")))))</f>
        <v/>
      </c>
      <c r="L418" s="80" t="str">
        <f>IF($D418="","",
IF($E418="","",
IF($D418="MATE","",
IF(VLOOKUP($B418,'Baremos actuales'!$A:$D,4,FALSE)=L$9,$E418*$F418,""))))</f>
        <v/>
      </c>
      <c r="M418" s="91" t="str">
        <f t="shared" si="6"/>
        <v/>
      </c>
      <c r="N418" s="96"/>
      <c r="O418" s="95"/>
      <c r="P418" s="96"/>
      <c r="Q418" s="98"/>
    </row>
    <row r="419" spans="1:17" ht="15.75" x14ac:dyDescent="0.2">
      <c r="A419" s="17"/>
      <c r="B419" s="18"/>
      <c r="C419" s="87" t="str">
        <f>IF(B419="","",
IF(M419=$H$5,IFERROR(VLOOKUP(B419,'Baremos actuales'!A:E,5,FALSE),"No encontrado. Revisar código, fecha ejecución y/o contrato."),
IF(M419=$H$4,IFERROR(VLOOKUP(B419,'Baremos anteriores'!A:E,5,FALSE),"No encontrado. Revisar código, fecha ejecución y/o contrato."),
IF(M419=$H$3,IFERROR(VLOOKUP(B419,#REF!,5,FALSE),"No encontrado. Revisar código, fecha ejecución y/o contrato."),
IF(D419="","Código no encontrado",
IF(D419="ERROR","No encontrado. Revisar Código, fecha de ejecución y/o contrato.",
IF(D419="MATE",
IF(C418="DESCRIPCION","NO SE PUEDE COMENZAR SIN CÓDIGO DE TAREA",
IF(C418="","FALTA CÓDIGO DE TAREA",
CONCATENATE("          ",VLOOKUP(B419,'Maestro Materiales'!A:C,3,FALSE)))),IFERROR(VLOOKUP(B419,#REF!,5,FALSE),"No encontrado. Revisar código, fecha ejecución y/o contrato."))))))))</f>
        <v/>
      </c>
      <c r="D419" s="88" t="str">
        <f>IF(B419="","",
IFERROR(VLOOKUP(B419,'Maestro Materiales'!A:C,2,FALSE),
IFERROR(VLOOKUP(B419,'Baremos actuales'!A:B,2,FALSE),
IFERROR(VLOOKUP(B419,'Baremos anteriores'!A:B,2,FALSE),
""))))</f>
        <v/>
      </c>
      <c r="E419" s="9"/>
      <c r="F419" s="89" t="str">
        <f>IF(D419="MATE",
IF(E419="","¿Unidades?",""),
IF(D419="",IF(E419="","","¿Código?"),
IF(E419="","¿Unidades?",
IF(D419="TARE",
IF(M419=$H$3,IFERROR(VLOOKUP(B419,'Baremos actuales'!A:C,3,FALSE),0),
IF(M419=$H$4,IFERROR(VLOOKUP(B419,'Baremos anteriores'!A:C,3,FALSE),0),0))))))</f>
        <v/>
      </c>
      <c r="G419" s="7"/>
      <c r="H419" s="8"/>
      <c r="I419" s="8"/>
      <c r="J419" s="78" t="str">
        <f>IF($D419="","",
IF($E419="","",
IF($D419="MATE","",
IF(VLOOKUP($B419,'Baremos actuales'!A:D,4,FALSE)=J$9,$E419*$F419,IF(VLOOKUP($B419,'Baremos anteriores'!A:D,4,FALSE)="Sin Definir",$E419*$F419,"")))))</f>
        <v/>
      </c>
      <c r="K419" s="79" t="str">
        <f>IF($D419="","",
IF($E419="","",
IF($D419="MATE","",
IF(VLOOKUP($B419,'Baremos actuales'!$A:$D,4,FALSE)=K$9,$E419*$F419,IF(VLOOKUP($B419,'Baremos anteriores'!$A:$D,4,FALSE)="Desmonte",$E419*$F419,"")))))</f>
        <v/>
      </c>
      <c r="L419" s="80" t="str">
        <f>IF($D419="","",
IF($E419="","",
IF($D419="MATE","",
IF(VLOOKUP($B419,'Baremos actuales'!$A:$D,4,FALSE)=L$9,$E419*$F419,""))))</f>
        <v/>
      </c>
      <c r="M419" s="91" t="str">
        <f t="shared" si="6"/>
        <v/>
      </c>
      <c r="N419" s="96"/>
      <c r="O419" s="95"/>
      <c r="P419" s="96"/>
      <c r="Q419" s="98"/>
    </row>
    <row r="420" spans="1:17" ht="15.75" x14ac:dyDescent="0.2">
      <c r="A420" s="17"/>
      <c r="B420" s="18"/>
      <c r="C420" s="87" t="str">
        <f>IF(B420="","",
IF(M420=$H$5,IFERROR(VLOOKUP(B420,'Baremos actuales'!A:E,5,FALSE),"No encontrado. Revisar código, fecha ejecución y/o contrato."),
IF(M420=$H$4,IFERROR(VLOOKUP(B420,'Baremos anteriores'!A:E,5,FALSE),"No encontrado. Revisar código, fecha ejecución y/o contrato."),
IF(M420=$H$3,IFERROR(VLOOKUP(B420,#REF!,5,FALSE),"No encontrado. Revisar código, fecha ejecución y/o contrato."),
IF(D420="","Código no encontrado",
IF(D420="ERROR","No encontrado. Revisar Código, fecha de ejecución y/o contrato.",
IF(D420="MATE",
IF(C419="DESCRIPCION","NO SE PUEDE COMENZAR SIN CÓDIGO DE TAREA",
IF(C419="","FALTA CÓDIGO DE TAREA",
CONCATENATE("          ",VLOOKUP(B420,'Maestro Materiales'!A:C,3,FALSE)))),IFERROR(VLOOKUP(B420,#REF!,5,FALSE),"No encontrado. Revisar código, fecha ejecución y/o contrato."))))))))</f>
        <v/>
      </c>
      <c r="D420" s="88" t="str">
        <f>IF(B420="","",
IFERROR(VLOOKUP(B420,'Maestro Materiales'!A:C,2,FALSE),
IFERROR(VLOOKUP(B420,'Baremos actuales'!A:B,2,FALSE),
IFERROR(VLOOKUP(B420,'Baremos anteriores'!A:B,2,FALSE),
""))))</f>
        <v/>
      </c>
      <c r="E420" s="9"/>
      <c r="F420" s="89" t="str">
        <f>IF(D420="MATE",
IF(E420="","¿Unidades?",""),
IF(D420="",IF(E420="","","¿Código?"),
IF(E420="","¿Unidades?",
IF(D420="TARE",
IF(M420=$H$3,IFERROR(VLOOKUP(B420,'Baremos actuales'!A:C,3,FALSE),0),
IF(M420=$H$4,IFERROR(VLOOKUP(B420,'Baremos anteriores'!A:C,3,FALSE),0),0))))))</f>
        <v/>
      </c>
      <c r="G420" s="7"/>
      <c r="H420" s="8"/>
      <c r="I420" s="8"/>
      <c r="J420" s="78" t="str">
        <f>IF($D420="","",
IF($E420="","",
IF($D420="MATE","",
IF(VLOOKUP($B420,'Baremos actuales'!A:D,4,FALSE)=J$9,$E420*$F420,IF(VLOOKUP($B420,'Baremos anteriores'!A:D,4,FALSE)="Sin Definir",$E420*$F420,"")))))</f>
        <v/>
      </c>
      <c r="K420" s="79" t="str">
        <f>IF($D420="","",
IF($E420="","",
IF($D420="MATE","",
IF(VLOOKUP($B420,'Baremos actuales'!$A:$D,4,FALSE)=K$9,$E420*$F420,IF(VLOOKUP($B420,'Baremos anteriores'!$A:$D,4,FALSE)="Desmonte",$E420*$F420,"")))))</f>
        <v/>
      </c>
      <c r="L420" s="80" t="str">
        <f>IF($D420="","",
IF($E420="","",
IF($D420="MATE","",
IF(VLOOKUP($B420,'Baremos actuales'!$A:$D,4,FALSE)=L$9,$E420*$F420,""))))</f>
        <v/>
      </c>
      <c r="M420" s="91" t="str">
        <f t="shared" si="6"/>
        <v/>
      </c>
      <c r="N420" s="96"/>
      <c r="O420" s="95"/>
      <c r="P420" s="96"/>
      <c r="Q420" s="98"/>
    </row>
    <row r="421" spans="1:17" ht="15.75" x14ac:dyDescent="0.2">
      <c r="A421" s="17"/>
      <c r="B421" s="18"/>
      <c r="C421" s="87" t="str">
        <f>IF(B421="","",
IF(M421=$H$5,IFERROR(VLOOKUP(B421,'Baremos actuales'!A:E,5,FALSE),"No encontrado. Revisar código, fecha ejecución y/o contrato."),
IF(M421=$H$4,IFERROR(VLOOKUP(B421,'Baremos anteriores'!A:E,5,FALSE),"No encontrado. Revisar código, fecha ejecución y/o contrato."),
IF(M421=$H$3,IFERROR(VLOOKUP(B421,#REF!,5,FALSE),"No encontrado. Revisar código, fecha ejecución y/o contrato."),
IF(D421="","Código no encontrado",
IF(D421="ERROR","No encontrado. Revisar Código, fecha de ejecución y/o contrato.",
IF(D421="MATE",
IF(C420="DESCRIPCION","NO SE PUEDE COMENZAR SIN CÓDIGO DE TAREA",
IF(C420="","FALTA CÓDIGO DE TAREA",
CONCATENATE("          ",VLOOKUP(B421,'Maestro Materiales'!A:C,3,FALSE)))),IFERROR(VLOOKUP(B421,#REF!,5,FALSE),"No encontrado. Revisar código, fecha ejecución y/o contrato."))))))))</f>
        <v/>
      </c>
      <c r="D421" s="88" t="str">
        <f>IF(B421="","",
IFERROR(VLOOKUP(B421,'Maestro Materiales'!A:C,2,FALSE),
IFERROR(VLOOKUP(B421,'Baremos actuales'!A:B,2,FALSE),
IFERROR(VLOOKUP(B421,'Baremos anteriores'!A:B,2,FALSE),
""))))</f>
        <v/>
      </c>
      <c r="E421" s="9"/>
      <c r="F421" s="89" t="str">
        <f>IF(D421="MATE",
IF(E421="","¿Unidades?",""),
IF(D421="",IF(E421="","","¿Código?"),
IF(E421="","¿Unidades?",
IF(D421="TARE",
IF(M421=$H$3,IFERROR(VLOOKUP(B421,'Baremos actuales'!A:C,3,FALSE),0),
IF(M421=$H$4,IFERROR(VLOOKUP(B421,'Baremos anteriores'!A:C,3,FALSE),0),0))))))</f>
        <v/>
      </c>
      <c r="G421" s="7"/>
      <c r="H421" s="8"/>
      <c r="I421" s="8"/>
      <c r="J421" s="78" t="str">
        <f>IF($D421="","",
IF($E421="","",
IF($D421="MATE","",
IF(VLOOKUP($B421,'Baremos actuales'!A:D,4,FALSE)=J$9,$E421*$F421,IF(VLOOKUP($B421,'Baremos anteriores'!A:D,4,FALSE)="Sin Definir",$E421*$F421,"")))))</f>
        <v/>
      </c>
      <c r="K421" s="79" t="str">
        <f>IF($D421="","",
IF($E421="","",
IF($D421="MATE","",
IF(VLOOKUP($B421,'Baremos actuales'!$A:$D,4,FALSE)=K$9,$E421*$F421,IF(VLOOKUP($B421,'Baremos anteriores'!$A:$D,4,FALSE)="Desmonte",$E421*$F421,"")))))</f>
        <v/>
      </c>
      <c r="L421" s="80" t="str">
        <f>IF($D421="","",
IF($E421="","",
IF($D421="MATE","",
IF(VLOOKUP($B421,'Baremos actuales'!$A:$D,4,FALSE)=L$9,$E421*$F421,""))))</f>
        <v/>
      </c>
      <c r="M421" s="91" t="str">
        <f t="shared" si="6"/>
        <v/>
      </c>
      <c r="N421" s="96"/>
      <c r="O421" s="95"/>
      <c r="P421" s="96"/>
      <c r="Q421" s="98"/>
    </row>
    <row r="422" spans="1:17" ht="15.75" x14ac:dyDescent="0.2">
      <c r="A422" s="17"/>
      <c r="B422" s="18"/>
      <c r="C422" s="87" t="str">
        <f>IF(B422="","",
IF(M422=$H$5,IFERROR(VLOOKUP(B422,'Baremos actuales'!A:E,5,FALSE),"No encontrado. Revisar código, fecha ejecución y/o contrato."),
IF(M422=$H$4,IFERROR(VLOOKUP(B422,'Baremos anteriores'!A:E,5,FALSE),"No encontrado. Revisar código, fecha ejecución y/o contrato."),
IF(M422=$H$3,IFERROR(VLOOKUP(B422,#REF!,5,FALSE),"No encontrado. Revisar código, fecha ejecución y/o contrato."),
IF(D422="","Código no encontrado",
IF(D422="ERROR","No encontrado. Revisar Código, fecha de ejecución y/o contrato.",
IF(D422="MATE",
IF(C421="DESCRIPCION","NO SE PUEDE COMENZAR SIN CÓDIGO DE TAREA",
IF(C421="","FALTA CÓDIGO DE TAREA",
CONCATENATE("          ",VLOOKUP(B422,'Maestro Materiales'!A:C,3,FALSE)))),IFERROR(VLOOKUP(B422,#REF!,5,FALSE),"No encontrado. Revisar código, fecha ejecución y/o contrato."))))))))</f>
        <v/>
      </c>
      <c r="D422" s="88" t="str">
        <f>IF(B422="","",
IFERROR(VLOOKUP(B422,'Maestro Materiales'!A:C,2,FALSE),
IFERROR(VLOOKUP(B422,'Baremos actuales'!A:B,2,FALSE),
IFERROR(VLOOKUP(B422,'Baremos anteriores'!A:B,2,FALSE),
""))))</f>
        <v/>
      </c>
      <c r="E422" s="9"/>
      <c r="F422" s="89" t="str">
        <f>IF(D422="MATE",
IF(E422="","¿Unidades?",""),
IF(D422="",IF(E422="","","¿Código?"),
IF(E422="","¿Unidades?",
IF(D422="TARE",
IF(M422=$H$3,IFERROR(VLOOKUP(B422,'Baremos actuales'!A:C,3,FALSE),0),
IF(M422=$H$4,IFERROR(VLOOKUP(B422,'Baremos anteriores'!A:C,3,FALSE),0),0))))))</f>
        <v/>
      </c>
      <c r="G422" s="7"/>
      <c r="H422" s="8"/>
      <c r="I422" s="8"/>
      <c r="J422" s="78" t="str">
        <f>IF($D422="","",
IF($E422="","",
IF($D422="MATE","",
IF(VLOOKUP($B422,'Baremos actuales'!A:D,4,FALSE)=J$9,$E422*$F422,IF(VLOOKUP($B422,'Baremos anteriores'!A:D,4,FALSE)="Sin Definir",$E422*$F422,"")))))</f>
        <v/>
      </c>
      <c r="K422" s="79" t="str">
        <f>IF($D422="","",
IF($E422="","",
IF($D422="MATE","",
IF(VLOOKUP($B422,'Baremos actuales'!$A:$D,4,FALSE)=K$9,$E422*$F422,IF(VLOOKUP($B422,'Baremos anteriores'!$A:$D,4,FALSE)="Desmonte",$E422*$F422,"")))))</f>
        <v/>
      </c>
      <c r="L422" s="80" t="str">
        <f>IF($D422="","",
IF($E422="","",
IF($D422="MATE","",
IF(VLOOKUP($B422,'Baremos actuales'!$A:$D,4,FALSE)=L$9,$E422*$F422,""))))</f>
        <v/>
      </c>
      <c r="M422" s="91" t="str">
        <f t="shared" si="6"/>
        <v/>
      </c>
      <c r="N422" s="96"/>
      <c r="O422" s="95"/>
      <c r="P422" s="96"/>
      <c r="Q422" s="98"/>
    </row>
    <row r="423" spans="1:17" ht="15.75" x14ac:dyDescent="0.2">
      <c r="A423" s="17"/>
      <c r="B423" s="18"/>
      <c r="C423" s="87" t="str">
        <f>IF(B423="","",
IF(M423=$H$5,IFERROR(VLOOKUP(B423,'Baremos actuales'!A:E,5,FALSE),"No encontrado. Revisar código, fecha ejecución y/o contrato."),
IF(M423=$H$4,IFERROR(VLOOKUP(B423,'Baremos anteriores'!A:E,5,FALSE),"No encontrado. Revisar código, fecha ejecución y/o contrato."),
IF(M423=$H$3,IFERROR(VLOOKUP(B423,#REF!,5,FALSE),"No encontrado. Revisar código, fecha ejecución y/o contrato."),
IF(D423="","Código no encontrado",
IF(D423="ERROR","No encontrado. Revisar Código, fecha de ejecución y/o contrato.",
IF(D423="MATE",
IF(C422="DESCRIPCION","NO SE PUEDE COMENZAR SIN CÓDIGO DE TAREA",
IF(C422="","FALTA CÓDIGO DE TAREA",
CONCATENATE("          ",VLOOKUP(B423,'Maestro Materiales'!A:C,3,FALSE)))),IFERROR(VLOOKUP(B423,#REF!,5,FALSE),"No encontrado. Revisar código, fecha ejecución y/o contrato."))))))))</f>
        <v/>
      </c>
      <c r="D423" s="88" t="str">
        <f>IF(B423="","",
IFERROR(VLOOKUP(B423,'Maestro Materiales'!A:C,2,FALSE),
IFERROR(VLOOKUP(B423,'Baremos actuales'!A:B,2,FALSE),
IFERROR(VLOOKUP(B423,'Baremos anteriores'!A:B,2,FALSE),
""))))</f>
        <v/>
      </c>
      <c r="E423" s="9"/>
      <c r="F423" s="89" t="str">
        <f>IF(D423="MATE",
IF(E423="","¿Unidades?",""),
IF(D423="",IF(E423="","","¿Código?"),
IF(E423="","¿Unidades?",
IF(D423="TARE",
IF(M423=$H$3,IFERROR(VLOOKUP(B423,'Baremos actuales'!A:C,3,FALSE),0),
IF(M423=$H$4,IFERROR(VLOOKUP(B423,'Baremos anteriores'!A:C,3,FALSE),0),0))))))</f>
        <v/>
      </c>
      <c r="G423" s="7"/>
      <c r="H423" s="8"/>
      <c r="I423" s="8"/>
      <c r="J423" s="78" t="str">
        <f>IF($D423="","",
IF($E423="","",
IF($D423="MATE","",
IF(VLOOKUP($B423,'Baremos actuales'!A:D,4,FALSE)=J$9,$E423*$F423,IF(VLOOKUP($B423,'Baremos anteriores'!A:D,4,FALSE)="Sin Definir",$E423*$F423,"")))))</f>
        <v/>
      </c>
      <c r="K423" s="79" t="str">
        <f>IF($D423="","",
IF($E423="","",
IF($D423="MATE","",
IF(VLOOKUP($B423,'Baremos actuales'!$A:$D,4,FALSE)=K$9,$E423*$F423,IF(VLOOKUP($B423,'Baremos anteriores'!$A:$D,4,FALSE)="Desmonte",$E423*$F423,"")))))</f>
        <v/>
      </c>
      <c r="L423" s="80" t="str">
        <f>IF($D423="","",
IF($E423="","",
IF($D423="MATE","",
IF(VLOOKUP($B423,'Baremos actuales'!$A:$D,4,FALSE)=L$9,$E423*$F423,""))))</f>
        <v/>
      </c>
      <c r="M423" s="91" t="str">
        <f t="shared" si="6"/>
        <v/>
      </c>
      <c r="N423" s="96"/>
      <c r="O423" s="95"/>
      <c r="P423" s="96"/>
      <c r="Q423" s="98"/>
    </row>
    <row r="424" spans="1:17" ht="15.75" x14ac:dyDescent="0.2">
      <c r="A424" s="17"/>
      <c r="B424" s="18"/>
      <c r="C424" s="87" t="str">
        <f>IF(B424="","",
IF(M424=$H$5,IFERROR(VLOOKUP(B424,'Baremos actuales'!A:E,5,FALSE),"No encontrado. Revisar código, fecha ejecución y/o contrato."),
IF(M424=$H$4,IFERROR(VLOOKUP(B424,'Baremos anteriores'!A:E,5,FALSE),"No encontrado. Revisar código, fecha ejecución y/o contrato."),
IF(M424=$H$3,IFERROR(VLOOKUP(B424,#REF!,5,FALSE),"No encontrado. Revisar código, fecha ejecución y/o contrato."),
IF(D424="","Código no encontrado",
IF(D424="ERROR","No encontrado. Revisar Código, fecha de ejecución y/o contrato.",
IF(D424="MATE",
IF(C423="DESCRIPCION","NO SE PUEDE COMENZAR SIN CÓDIGO DE TAREA",
IF(C423="","FALTA CÓDIGO DE TAREA",
CONCATENATE("          ",VLOOKUP(B424,'Maestro Materiales'!A:C,3,FALSE)))),IFERROR(VLOOKUP(B424,#REF!,5,FALSE),"No encontrado. Revisar código, fecha ejecución y/o contrato."))))))))</f>
        <v/>
      </c>
      <c r="D424" s="88" t="str">
        <f>IF(B424="","",
IFERROR(VLOOKUP(B424,'Maestro Materiales'!A:C,2,FALSE),
IFERROR(VLOOKUP(B424,'Baremos actuales'!A:B,2,FALSE),
IFERROR(VLOOKUP(B424,'Baremos anteriores'!A:B,2,FALSE),
""))))</f>
        <v/>
      </c>
      <c r="E424" s="9"/>
      <c r="F424" s="89" t="str">
        <f>IF(D424="MATE",
IF(E424="","¿Unidades?",""),
IF(D424="",IF(E424="","","¿Código?"),
IF(E424="","¿Unidades?",
IF(D424="TARE",
IF(M424=$H$3,IFERROR(VLOOKUP(B424,'Baremos actuales'!A:C,3,FALSE),0),
IF(M424=$H$4,IFERROR(VLOOKUP(B424,'Baremos anteriores'!A:C,3,FALSE),0),0))))))</f>
        <v/>
      </c>
      <c r="G424" s="7"/>
      <c r="H424" s="8"/>
      <c r="I424" s="8"/>
      <c r="J424" s="78" t="str">
        <f>IF($D424="","",
IF($E424="","",
IF($D424="MATE","",
IF(VLOOKUP($B424,'Baremos actuales'!A:D,4,FALSE)=J$9,$E424*$F424,IF(VLOOKUP($B424,'Baremos anteriores'!A:D,4,FALSE)="Sin Definir",$E424*$F424,"")))))</f>
        <v/>
      </c>
      <c r="K424" s="79" t="str">
        <f>IF($D424="","",
IF($E424="","",
IF($D424="MATE","",
IF(VLOOKUP($B424,'Baremos actuales'!$A:$D,4,FALSE)=K$9,$E424*$F424,IF(VLOOKUP($B424,'Baremos anteriores'!$A:$D,4,FALSE)="Desmonte",$E424*$F424,"")))))</f>
        <v/>
      </c>
      <c r="L424" s="80" t="str">
        <f>IF($D424="","",
IF($E424="","",
IF($D424="MATE","",
IF(VLOOKUP($B424,'Baremos actuales'!$A:$D,4,FALSE)=L$9,$E424*$F424,""))))</f>
        <v/>
      </c>
      <c r="M424" s="91" t="str">
        <f t="shared" si="6"/>
        <v/>
      </c>
      <c r="N424" s="96"/>
      <c r="O424" s="95"/>
      <c r="P424" s="96"/>
      <c r="Q424" s="98"/>
    </row>
    <row r="425" spans="1:17" ht="15.75" x14ac:dyDescent="0.2">
      <c r="A425" s="17"/>
      <c r="B425" s="18"/>
      <c r="C425" s="87" t="str">
        <f>IF(B425="","",
IF(M425=$H$5,IFERROR(VLOOKUP(B425,'Baremos actuales'!A:E,5,FALSE),"No encontrado. Revisar código, fecha ejecución y/o contrato."),
IF(M425=$H$4,IFERROR(VLOOKUP(B425,'Baremos anteriores'!A:E,5,FALSE),"No encontrado. Revisar código, fecha ejecución y/o contrato."),
IF(M425=$H$3,IFERROR(VLOOKUP(B425,#REF!,5,FALSE),"No encontrado. Revisar código, fecha ejecución y/o contrato."),
IF(D425="","Código no encontrado",
IF(D425="ERROR","No encontrado. Revisar Código, fecha de ejecución y/o contrato.",
IF(D425="MATE",
IF(C424="DESCRIPCION","NO SE PUEDE COMENZAR SIN CÓDIGO DE TAREA",
IF(C424="","FALTA CÓDIGO DE TAREA",
CONCATENATE("          ",VLOOKUP(B425,'Maestro Materiales'!A:C,3,FALSE)))),IFERROR(VLOOKUP(B425,#REF!,5,FALSE),"No encontrado. Revisar código, fecha ejecución y/o contrato."))))))))</f>
        <v/>
      </c>
      <c r="D425" s="88" t="str">
        <f>IF(B425="","",
IFERROR(VLOOKUP(B425,'Maestro Materiales'!A:C,2,FALSE),
IFERROR(VLOOKUP(B425,'Baremos actuales'!A:B,2,FALSE),
IFERROR(VLOOKUP(B425,'Baremos anteriores'!A:B,2,FALSE),
""))))</f>
        <v/>
      </c>
      <c r="E425" s="9"/>
      <c r="F425" s="89" t="str">
        <f>IF(D425="MATE",
IF(E425="","¿Unidades?",""),
IF(D425="",IF(E425="","","¿Código?"),
IF(E425="","¿Unidades?",
IF(D425="TARE",
IF(M425=$H$3,IFERROR(VLOOKUP(B425,'Baremos actuales'!A:C,3,FALSE),0),
IF(M425=$H$4,IFERROR(VLOOKUP(B425,'Baremos anteriores'!A:C,3,FALSE),0),0))))))</f>
        <v/>
      </c>
      <c r="G425" s="7"/>
      <c r="H425" s="8"/>
      <c r="I425" s="8"/>
      <c r="J425" s="78" t="str">
        <f>IF($D425="","",
IF($E425="","",
IF($D425="MATE","",
IF(VLOOKUP($B425,'Baremos actuales'!A:D,4,FALSE)=J$9,$E425*$F425,IF(VLOOKUP($B425,'Baremos anteriores'!A:D,4,FALSE)="Sin Definir",$E425*$F425,"")))))</f>
        <v/>
      </c>
      <c r="K425" s="79" t="str">
        <f>IF($D425="","",
IF($E425="","",
IF($D425="MATE","",
IF(VLOOKUP($B425,'Baremos actuales'!$A:$D,4,FALSE)=K$9,$E425*$F425,IF(VLOOKUP($B425,'Baremos anteriores'!$A:$D,4,FALSE)="Desmonte",$E425*$F425,"")))))</f>
        <v/>
      </c>
      <c r="L425" s="80" t="str">
        <f>IF($D425="","",
IF($E425="","",
IF($D425="MATE","",
IF(VLOOKUP($B425,'Baremos actuales'!$A:$D,4,FALSE)=L$9,$E425*$F425,""))))</f>
        <v/>
      </c>
      <c r="M425" s="91" t="str">
        <f t="shared" si="6"/>
        <v/>
      </c>
      <c r="N425" s="96"/>
      <c r="O425" s="95"/>
      <c r="P425" s="96"/>
      <c r="Q425" s="98"/>
    </row>
    <row r="426" spans="1:17" ht="15.75" x14ac:dyDescent="0.2">
      <c r="A426" s="17"/>
      <c r="B426" s="18"/>
      <c r="C426" s="87" t="str">
        <f>IF(B426="","",
IF(M426=$H$5,IFERROR(VLOOKUP(B426,'Baremos actuales'!A:E,5,FALSE),"No encontrado. Revisar código, fecha ejecución y/o contrato."),
IF(M426=$H$4,IFERROR(VLOOKUP(B426,'Baremos anteriores'!A:E,5,FALSE),"No encontrado. Revisar código, fecha ejecución y/o contrato."),
IF(M426=$H$3,IFERROR(VLOOKUP(B426,#REF!,5,FALSE),"No encontrado. Revisar código, fecha ejecución y/o contrato."),
IF(D426="","Código no encontrado",
IF(D426="ERROR","No encontrado. Revisar Código, fecha de ejecución y/o contrato.",
IF(D426="MATE",
IF(C425="DESCRIPCION","NO SE PUEDE COMENZAR SIN CÓDIGO DE TAREA",
IF(C425="","FALTA CÓDIGO DE TAREA",
CONCATENATE("          ",VLOOKUP(B426,'Maestro Materiales'!A:C,3,FALSE)))),IFERROR(VLOOKUP(B426,#REF!,5,FALSE),"No encontrado. Revisar código, fecha ejecución y/o contrato."))))))))</f>
        <v/>
      </c>
      <c r="D426" s="88" t="str">
        <f>IF(B426="","",
IFERROR(VLOOKUP(B426,'Maestro Materiales'!A:C,2,FALSE),
IFERROR(VLOOKUP(B426,'Baremos actuales'!A:B,2,FALSE),
IFERROR(VLOOKUP(B426,'Baremos anteriores'!A:B,2,FALSE),
""))))</f>
        <v/>
      </c>
      <c r="E426" s="9"/>
      <c r="F426" s="89" t="str">
        <f>IF(D426="MATE",
IF(E426="","¿Unidades?",""),
IF(D426="",IF(E426="","","¿Código?"),
IF(E426="","¿Unidades?",
IF(D426="TARE",
IF(M426=$H$3,IFERROR(VLOOKUP(B426,'Baremos actuales'!A:C,3,FALSE),0),
IF(M426=$H$4,IFERROR(VLOOKUP(B426,'Baremos anteriores'!A:C,3,FALSE),0),0))))))</f>
        <v/>
      </c>
      <c r="G426" s="7"/>
      <c r="H426" s="8"/>
      <c r="I426" s="8"/>
      <c r="J426" s="78" t="str">
        <f>IF($D426="","",
IF($E426="","",
IF($D426="MATE","",
IF(VLOOKUP($B426,'Baremos actuales'!A:D,4,FALSE)=J$9,$E426*$F426,IF(VLOOKUP($B426,'Baremos anteriores'!A:D,4,FALSE)="Sin Definir",$E426*$F426,"")))))</f>
        <v/>
      </c>
      <c r="K426" s="79" t="str">
        <f>IF($D426="","",
IF($E426="","",
IF($D426="MATE","",
IF(VLOOKUP($B426,'Baremos actuales'!$A:$D,4,FALSE)=K$9,$E426*$F426,IF(VLOOKUP($B426,'Baremos anteriores'!$A:$D,4,FALSE)="Desmonte",$E426*$F426,"")))))</f>
        <v/>
      </c>
      <c r="L426" s="80" t="str">
        <f>IF($D426="","",
IF($E426="","",
IF($D426="MATE","",
IF(VLOOKUP($B426,'Baremos actuales'!$A:$D,4,FALSE)=L$9,$E426*$F426,""))))</f>
        <v/>
      </c>
      <c r="M426" s="91" t="str">
        <f t="shared" si="6"/>
        <v/>
      </c>
      <c r="N426" s="96"/>
      <c r="O426" s="95"/>
      <c r="P426" s="96"/>
      <c r="Q426" s="98"/>
    </row>
    <row r="427" spans="1:17" ht="15.75" x14ac:dyDescent="0.2">
      <c r="A427" s="17"/>
      <c r="B427" s="18"/>
      <c r="C427" s="87" t="str">
        <f>IF(B427="","",
IF(M427=$H$5,IFERROR(VLOOKUP(B427,'Baremos actuales'!A:E,5,FALSE),"No encontrado. Revisar código, fecha ejecución y/o contrato."),
IF(M427=$H$4,IFERROR(VLOOKUP(B427,'Baremos anteriores'!A:E,5,FALSE),"No encontrado. Revisar código, fecha ejecución y/o contrato."),
IF(M427=$H$3,IFERROR(VLOOKUP(B427,#REF!,5,FALSE),"No encontrado. Revisar código, fecha ejecución y/o contrato."),
IF(D427="","Código no encontrado",
IF(D427="ERROR","No encontrado. Revisar Código, fecha de ejecución y/o contrato.",
IF(D427="MATE",
IF(C426="DESCRIPCION","NO SE PUEDE COMENZAR SIN CÓDIGO DE TAREA",
IF(C426="","FALTA CÓDIGO DE TAREA",
CONCATENATE("          ",VLOOKUP(B427,'Maestro Materiales'!A:C,3,FALSE)))),IFERROR(VLOOKUP(B427,#REF!,5,FALSE),"No encontrado. Revisar código, fecha ejecución y/o contrato."))))))))</f>
        <v/>
      </c>
      <c r="D427" s="88" t="str">
        <f>IF(B427="","",
IFERROR(VLOOKUP(B427,'Maestro Materiales'!A:C,2,FALSE),
IFERROR(VLOOKUP(B427,'Baremos actuales'!A:B,2,FALSE),
IFERROR(VLOOKUP(B427,'Baremos anteriores'!A:B,2,FALSE),
""))))</f>
        <v/>
      </c>
      <c r="E427" s="9"/>
      <c r="F427" s="89" t="str">
        <f>IF(D427="MATE",
IF(E427="","¿Unidades?",""),
IF(D427="",IF(E427="","","¿Código?"),
IF(E427="","¿Unidades?",
IF(D427="TARE",
IF(M427=$H$3,IFERROR(VLOOKUP(B427,'Baremos actuales'!A:C,3,FALSE),0),
IF(M427=$H$4,IFERROR(VLOOKUP(B427,'Baremos anteriores'!A:C,3,FALSE),0),0))))))</f>
        <v/>
      </c>
      <c r="G427" s="7"/>
      <c r="H427" s="8"/>
      <c r="I427" s="8"/>
      <c r="J427" s="78" t="str">
        <f>IF($D427="","",
IF($E427="","",
IF($D427="MATE","",
IF(VLOOKUP($B427,'Baremos actuales'!A:D,4,FALSE)=J$9,$E427*$F427,IF(VLOOKUP($B427,'Baremos anteriores'!A:D,4,FALSE)="Sin Definir",$E427*$F427,"")))))</f>
        <v/>
      </c>
      <c r="K427" s="79" t="str">
        <f>IF($D427="","",
IF($E427="","",
IF($D427="MATE","",
IF(VLOOKUP($B427,'Baremos actuales'!$A:$D,4,FALSE)=K$9,$E427*$F427,IF(VLOOKUP($B427,'Baremos anteriores'!$A:$D,4,FALSE)="Desmonte",$E427*$F427,"")))))</f>
        <v/>
      </c>
      <c r="L427" s="80" t="str">
        <f>IF($D427="","",
IF($E427="","",
IF($D427="MATE","",
IF(VLOOKUP($B427,'Baremos actuales'!$A:$D,4,FALSE)=L$9,$E427*$F427,""))))</f>
        <v/>
      </c>
      <c r="M427" s="91" t="str">
        <f t="shared" si="6"/>
        <v/>
      </c>
      <c r="N427" s="96"/>
      <c r="O427" s="95"/>
      <c r="P427" s="96"/>
      <c r="Q427" s="98"/>
    </row>
    <row r="428" spans="1:17" ht="15.75" x14ac:dyDescent="0.2">
      <c r="A428" s="17"/>
      <c r="B428" s="18"/>
      <c r="C428" s="87" t="str">
        <f>IF(B428="","",
IF(M428=$H$5,IFERROR(VLOOKUP(B428,'Baremos actuales'!A:E,5,FALSE),"No encontrado. Revisar código, fecha ejecución y/o contrato."),
IF(M428=$H$4,IFERROR(VLOOKUP(B428,'Baremos anteriores'!A:E,5,FALSE),"No encontrado. Revisar código, fecha ejecución y/o contrato."),
IF(M428=$H$3,IFERROR(VLOOKUP(B428,#REF!,5,FALSE),"No encontrado. Revisar código, fecha ejecución y/o contrato."),
IF(D428="","Código no encontrado",
IF(D428="ERROR","No encontrado. Revisar Código, fecha de ejecución y/o contrato.",
IF(D428="MATE",
IF(C427="DESCRIPCION","NO SE PUEDE COMENZAR SIN CÓDIGO DE TAREA",
IF(C427="","FALTA CÓDIGO DE TAREA",
CONCATENATE("          ",VLOOKUP(B428,'Maestro Materiales'!A:C,3,FALSE)))),IFERROR(VLOOKUP(B428,#REF!,5,FALSE),"No encontrado. Revisar código, fecha ejecución y/o contrato."))))))))</f>
        <v/>
      </c>
      <c r="D428" s="88" t="str">
        <f>IF(B428="","",
IFERROR(VLOOKUP(B428,'Maestro Materiales'!A:C,2,FALSE),
IFERROR(VLOOKUP(B428,'Baremos actuales'!A:B,2,FALSE),
IFERROR(VLOOKUP(B428,'Baremos anteriores'!A:B,2,FALSE),
""))))</f>
        <v/>
      </c>
      <c r="E428" s="9"/>
      <c r="F428" s="89" t="str">
        <f>IF(D428="MATE",
IF(E428="","¿Unidades?",""),
IF(D428="",IF(E428="","","¿Código?"),
IF(E428="","¿Unidades?",
IF(D428="TARE",
IF(M428=$H$3,IFERROR(VLOOKUP(B428,'Baremos actuales'!A:C,3,FALSE),0),
IF(M428=$H$4,IFERROR(VLOOKUP(B428,'Baremos anteriores'!A:C,3,FALSE),0),0))))))</f>
        <v/>
      </c>
      <c r="G428" s="7"/>
      <c r="H428" s="8"/>
      <c r="I428" s="8"/>
      <c r="J428" s="78" t="str">
        <f>IF($D428="","",
IF($E428="","",
IF($D428="MATE","",
IF(VLOOKUP($B428,'Baremos actuales'!A:D,4,FALSE)=J$9,$E428*$F428,IF(VLOOKUP($B428,'Baremos anteriores'!A:D,4,FALSE)="Sin Definir",$E428*$F428,"")))))</f>
        <v/>
      </c>
      <c r="K428" s="79" t="str">
        <f>IF($D428="","",
IF($E428="","",
IF($D428="MATE","",
IF(VLOOKUP($B428,'Baremos actuales'!$A:$D,4,FALSE)=K$9,$E428*$F428,IF(VLOOKUP($B428,'Baremos anteriores'!$A:$D,4,FALSE)="Desmonte",$E428*$F428,"")))))</f>
        <v/>
      </c>
      <c r="L428" s="80" t="str">
        <f>IF($D428="","",
IF($E428="","",
IF($D428="MATE","",
IF(VLOOKUP($B428,'Baremos actuales'!$A:$D,4,FALSE)=L$9,$E428*$F428,""))))</f>
        <v/>
      </c>
      <c r="M428" s="91" t="str">
        <f t="shared" si="6"/>
        <v/>
      </c>
      <c r="N428" s="96"/>
      <c r="O428" s="95"/>
      <c r="P428" s="96"/>
      <c r="Q428" s="98"/>
    </row>
    <row r="429" spans="1:17" ht="15.75" x14ac:dyDescent="0.2">
      <c r="A429" s="17"/>
      <c r="B429" s="18"/>
      <c r="C429" s="87" t="str">
        <f>IF(B429="","",
IF(M429=$H$5,IFERROR(VLOOKUP(B429,'Baremos actuales'!A:E,5,FALSE),"No encontrado. Revisar código, fecha ejecución y/o contrato."),
IF(M429=$H$4,IFERROR(VLOOKUP(B429,'Baremos anteriores'!A:E,5,FALSE),"No encontrado. Revisar código, fecha ejecución y/o contrato."),
IF(M429=$H$3,IFERROR(VLOOKUP(B429,#REF!,5,FALSE),"No encontrado. Revisar código, fecha ejecución y/o contrato."),
IF(D429="","Código no encontrado",
IF(D429="ERROR","No encontrado. Revisar Código, fecha de ejecución y/o contrato.",
IF(D429="MATE",
IF(C428="DESCRIPCION","NO SE PUEDE COMENZAR SIN CÓDIGO DE TAREA",
IF(C428="","FALTA CÓDIGO DE TAREA",
CONCATENATE("          ",VLOOKUP(B429,'Maestro Materiales'!A:C,3,FALSE)))),IFERROR(VLOOKUP(B429,#REF!,5,FALSE),"No encontrado. Revisar código, fecha ejecución y/o contrato."))))))))</f>
        <v/>
      </c>
      <c r="D429" s="88" t="str">
        <f>IF(B429="","",
IFERROR(VLOOKUP(B429,'Maestro Materiales'!A:C,2,FALSE),
IFERROR(VLOOKUP(B429,'Baremos actuales'!A:B,2,FALSE),
IFERROR(VLOOKUP(B429,'Baremos anteriores'!A:B,2,FALSE),
""))))</f>
        <v/>
      </c>
      <c r="E429" s="9"/>
      <c r="F429" s="89" t="str">
        <f>IF(D429="MATE",
IF(E429="","¿Unidades?",""),
IF(D429="",IF(E429="","","¿Código?"),
IF(E429="","¿Unidades?",
IF(D429="TARE",
IF(M429=$H$3,IFERROR(VLOOKUP(B429,'Baremos actuales'!A:C,3,FALSE),0),
IF(M429=$H$4,IFERROR(VLOOKUP(B429,'Baremos anteriores'!A:C,3,FALSE),0),0))))))</f>
        <v/>
      </c>
      <c r="G429" s="7"/>
      <c r="H429" s="8"/>
      <c r="I429" s="8"/>
      <c r="J429" s="78" t="str">
        <f>IF($D429="","",
IF($E429="","",
IF($D429="MATE","",
IF(VLOOKUP($B429,'Baremos actuales'!A:D,4,FALSE)=J$9,$E429*$F429,IF(VLOOKUP($B429,'Baremos anteriores'!A:D,4,FALSE)="Sin Definir",$E429*$F429,"")))))</f>
        <v/>
      </c>
      <c r="K429" s="79" t="str">
        <f>IF($D429="","",
IF($E429="","",
IF($D429="MATE","",
IF(VLOOKUP($B429,'Baremos actuales'!$A:$D,4,FALSE)=K$9,$E429*$F429,IF(VLOOKUP($B429,'Baremos anteriores'!$A:$D,4,FALSE)="Desmonte",$E429*$F429,"")))))</f>
        <v/>
      </c>
      <c r="L429" s="80" t="str">
        <f>IF($D429="","",
IF($E429="","",
IF($D429="MATE","",
IF(VLOOKUP($B429,'Baremos actuales'!$A:$D,4,FALSE)=L$9,$E429*$F429,""))))</f>
        <v/>
      </c>
      <c r="M429" s="91" t="str">
        <f t="shared" si="6"/>
        <v/>
      </c>
      <c r="N429" s="96"/>
      <c r="O429" s="95"/>
      <c r="P429" s="96"/>
      <c r="Q429" s="98"/>
    </row>
    <row r="430" spans="1:17" ht="15.75" x14ac:dyDescent="0.2">
      <c r="A430" s="17"/>
      <c r="B430" s="18"/>
      <c r="C430" s="87" t="str">
        <f>IF(B430="","",
IF(M430=$H$5,IFERROR(VLOOKUP(B430,'Baremos actuales'!A:E,5,FALSE),"No encontrado. Revisar código, fecha ejecución y/o contrato."),
IF(M430=$H$4,IFERROR(VLOOKUP(B430,'Baremos anteriores'!A:E,5,FALSE),"No encontrado. Revisar código, fecha ejecución y/o contrato."),
IF(M430=$H$3,IFERROR(VLOOKUP(B430,#REF!,5,FALSE),"No encontrado. Revisar código, fecha ejecución y/o contrato."),
IF(D430="","Código no encontrado",
IF(D430="ERROR","No encontrado. Revisar Código, fecha de ejecución y/o contrato.",
IF(D430="MATE",
IF(C429="DESCRIPCION","NO SE PUEDE COMENZAR SIN CÓDIGO DE TAREA",
IF(C429="","FALTA CÓDIGO DE TAREA",
CONCATENATE("          ",VLOOKUP(B430,'Maestro Materiales'!A:C,3,FALSE)))),IFERROR(VLOOKUP(B430,#REF!,5,FALSE),"No encontrado. Revisar código, fecha ejecución y/o contrato."))))))))</f>
        <v/>
      </c>
      <c r="D430" s="88" t="str">
        <f>IF(B430="","",
IFERROR(VLOOKUP(B430,'Maestro Materiales'!A:C,2,FALSE),
IFERROR(VLOOKUP(B430,'Baremos actuales'!A:B,2,FALSE),
IFERROR(VLOOKUP(B430,'Baremos anteriores'!A:B,2,FALSE),
""))))</f>
        <v/>
      </c>
      <c r="E430" s="9"/>
      <c r="F430" s="89" t="str">
        <f>IF(D430="MATE",
IF(E430="","¿Unidades?",""),
IF(D430="",IF(E430="","","¿Código?"),
IF(E430="","¿Unidades?",
IF(D430="TARE",
IF(M430=$H$3,IFERROR(VLOOKUP(B430,'Baremos actuales'!A:C,3,FALSE),0),
IF(M430=$H$4,IFERROR(VLOOKUP(B430,'Baremos anteriores'!A:C,3,FALSE),0),0))))))</f>
        <v/>
      </c>
      <c r="G430" s="7"/>
      <c r="H430" s="8"/>
      <c r="I430" s="8"/>
      <c r="J430" s="78" t="str">
        <f>IF($D430="","",
IF($E430="","",
IF($D430="MATE","",
IF(VLOOKUP($B430,'Baremos actuales'!A:D,4,FALSE)=J$9,$E430*$F430,IF(VLOOKUP($B430,'Baremos anteriores'!A:D,4,FALSE)="Sin Definir",$E430*$F430,"")))))</f>
        <v/>
      </c>
      <c r="K430" s="79" t="str">
        <f>IF($D430="","",
IF($E430="","",
IF($D430="MATE","",
IF(VLOOKUP($B430,'Baremos actuales'!$A:$D,4,FALSE)=K$9,$E430*$F430,IF(VLOOKUP($B430,'Baremos anteriores'!$A:$D,4,FALSE)="Desmonte",$E430*$F430,"")))))</f>
        <v/>
      </c>
      <c r="L430" s="80" t="str">
        <f>IF($D430="","",
IF($E430="","",
IF($D430="MATE","",
IF(VLOOKUP($B430,'Baremos actuales'!$A:$D,4,FALSE)=L$9,$E430*$F430,""))))</f>
        <v/>
      </c>
      <c r="M430" s="91" t="str">
        <f t="shared" si="6"/>
        <v/>
      </c>
      <c r="N430" s="96"/>
      <c r="O430" s="95"/>
      <c r="P430" s="96"/>
      <c r="Q430" s="98"/>
    </row>
    <row r="431" spans="1:17" ht="15.75" x14ac:dyDescent="0.2">
      <c r="A431" s="17"/>
      <c r="B431" s="18"/>
      <c r="C431" s="87" t="str">
        <f>IF(B431="","",
IF(M431=$H$5,IFERROR(VLOOKUP(B431,'Baremos actuales'!A:E,5,FALSE),"No encontrado. Revisar código, fecha ejecución y/o contrato."),
IF(M431=$H$4,IFERROR(VLOOKUP(B431,'Baremos anteriores'!A:E,5,FALSE),"No encontrado. Revisar código, fecha ejecución y/o contrato."),
IF(M431=$H$3,IFERROR(VLOOKUP(B431,#REF!,5,FALSE),"No encontrado. Revisar código, fecha ejecución y/o contrato."),
IF(D431="","Código no encontrado",
IF(D431="ERROR","No encontrado. Revisar Código, fecha de ejecución y/o contrato.",
IF(D431="MATE",
IF(C430="DESCRIPCION","NO SE PUEDE COMENZAR SIN CÓDIGO DE TAREA",
IF(C430="","FALTA CÓDIGO DE TAREA",
CONCATENATE("          ",VLOOKUP(B431,'Maestro Materiales'!A:C,3,FALSE)))),IFERROR(VLOOKUP(B431,#REF!,5,FALSE),"No encontrado. Revisar código, fecha ejecución y/o contrato."))))))))</f>
        <v/>
      </c>
      <c r="D431" s="88" t="str">
        <f>IF(B431="","",
IFERROR(VLOOKUP(B431,'Maestro Materiales'!A:C,2,FALSE),
IFERROR(VLOOKUP(B431,'Baremos actuales'!A:B,2,FALSE),
IFERROR(VLOOKUP(B431,'Baremos anteriores'!A:B,2,FALSE),
""))))</f>
        <v/>
      </c>
      <c r="E431" s="9"/>
      <c r="F431" s="89" t="str">
        <f>IF(D431="MATE",
IF(E431="","¿Unidades?",""),
IF(D431="",IF(E431="","","¿Código?"),
IF(E431="","¿Unidades?",
IF(D431="TARE",
IF(M431=$H$3,IFERROR(VLOOKUP(B431,'Baremos actuales'!A:C,3,FALSE),0),
IF(M431=$H$4,IFERROR(VLOOKUP(B431,'Baremos anteriores'!A:C,3,FALSE),0),0))))))</f>
        <v/>
      </c>
      <c r="G431" s="7"/>
      <c r="H431" s="8"/>
      <c r="I431" s="8"/>
      <c r="J431" s="78" t="str">
        <f>IF($D431="","",
IF($E431="","",
IF($D431="MATE","",
IF(VLOOKUP($B431,'Baremos actuales'!A:D,4,FALSE)=J$9,$E431*$F431,IF(VLOOKUP($B431,'Baremos anteriores'!A:D,4,FALSE)="Sin Definir",$E431*$F431,"")))))</f>
        <v/>
      </c>
      <c r="K431" s="79" t="str">
        <f>IF($D431="","",
IF($E431="","",
IF($D431="MATE","",
IF(VLOOKUP($B431,'Baremos actuales'!$A:$D,4,FALSE)=K$9,$E431*$F431,IF(VLOOKUP($B431,'Baremos anteriores'!$A:$D,4,FALSE)="Desmonte",$E431*$F431,"")))))</f>
        <v/>
      </c>
      <c r="L431" s="80" t="str">
        <f>IF($D431="","",
IF($E431="","",
IF($D431="MATE","",
IF(VLOOKUP($B431,'Baremos actuales'!$A:$D,4,FALSE)=L$9,$E431*$F431,""))))</f>
        <v/>
      </c>
      <c r="M431" s="91" t="str">
        <f t="shared" si="6"/>
        <v/>
      </c>
      <c r="N431" s="96"/>
      <c r="O431" s="95"/>
      <c r="P431" s="96"/>
      <c r="Q431" s="98"/>
    </row>
    <row r="432" spans="1:17" ht="15.75" x14ac:dyDescent="0.2">
      <c r="A432" s="17"/>
      <c r="B432" s="18"/>
      <c r="C432" s="87" t="str">
        <f>IF(B432="","",
IF(M432=$H$5,IFERROR(VLOOKUP(B432,'Baremos actuales'!A:E,5,FALSE),"No encontrado. Revisar código, fecha ejecución y/o contrato."),
IF(M432=$H$4,IFERROR(VLOOKUP(B432,'Baremos anteriores'!A:E,5,FALSE),"No encontrado. Revisar código, fecha ejecución y/o contrato."),
IF(M432=$H$3,IFERROR(VLOOKUP(B432,#REF!,5,FALSE),"No encontrado. Revisar código, fecha ejecución y/o contrato."),
IF(D432="","Código no encontrado",
IF(D432="ERROR","No encontrado. Revisar Código, fecha de ejecución y/o contrato.",
IF(D432="MATE",
IF(C431="DESCRIPCION","NO SE PUEDE COMENZAR SIN CÓDIGO DE TAREA",
IF(C431="","FALTA CÓDIGO DE TAREA",
CONCATENATE("          ",VLOOKUP(B432,'Maestro Materiales'!A:C,3,FALSE)))),IFERROR(VLOOKUP(B432,#REF!,5,FALSE),"No encontrado. Revisar código, fecha ejecución y/o contrato."))))))))</f>
        <v/>
      </c>
      <c r="D432" s="88" t="str">
        <f>IF(B432="","",
IFERROR(VLOOKUP(B432,'Maestro Materiales'!A:C,2,FALSE),
IFERROR(VLOOKUP(B432,'Baremos actuales'!A:B,2,FALSE),
IFERROR(VLOOKUP(B432,'Baremos anteriores'!A:B,2,FALSE),
""))))</f>
        <v/>
      </c>
      <c r="E432" s="9"/>
      <c r="F432" s="89" t="str">
        <f>IF(D432="MATE",
IF(E432="","¿Unidades?",""),
IF(D432="",IF(E432="","","¿Código?"),
IF(E432="","¿Unidades?",
IF(D432="TARE",
IF(M432=$H$3,IFERROR(VLOOKUP(B432,'Baremos actuales'!A:C,3,FALSE),0),
IF(M432=$H$4,IFERROR(VLOOKUP(B432,'Baremos anteriores'!A:C,3,FALSE),0),0))))))</f>
        <v/>
      </c>
      <c r="G432" s="7"/>
      <c r="H432" s="8"/>
      <c r="I432" s="8"/>
      <c r="J432" s="78" t="str">
        <f>IF($D432="","",
IF($E432="","",
IF($D432="MATE","",
IF(VLOOKUP($B432,'Baremos actuales'!A:D,4,FALSE)=J$9,$E432*$F432,IF(VLOOKUP($B432,'Baremos anteriores'!A:D,4,FALSE)="Sin Definir",$E432*$F432,"")))))</f>
        <v/>
      </c>
      <c r="K432" s="79" t="str">
        <f>IF($D432="","",
IF($E432="","",
IF($D432="MATE","",
IF(VLOOKUP($B432,'Baremos actuales'!$A:$D,4,FALSE)=K$9,$E432*$F432,IF(VLOOKUP($B432,'Baremos anteriores'!$A:$D,4,FALSE)="Desmonte",$E432*$F432,"")))))</f>
        <v/>
      </c>
      <c r="L432" s="80" t="str">
        <f>IF($D432="","",
IF($E432="","",
IF($D432="MATE","",
IF(VLOOKUP($B432,'Baremos actuales'!$A:$D,4,FALSE)=L$9,$E432*$F432,""))))</f>
        <v/>
      </c>
      <c r="M432" s="91" t="str">
        <f t="shared" si="6"/>
        <v/>
      </c>
      <c r="N432" s="96"/>
      <c r="O432" s="95"/>
      <c r="P432" s="96"/>
      <c r="Q432" s="98"/>
    </row>
    <row r="433" spans="1:17" ht="15.75" x14ac:dyDescent="0.2">
      <c r="A433" s="17"/>
      <c r="B433" s="18"/>
      <c r="C433" s="87" t="str">
        <f>IF(B433="","",
IF(M433=$H$5,IFERROR(VLOOKUP(B433,'Baremos actuales'!A:E,5,FALSE),"No encontrado. Revisar código, fecha ejecución y/o contrato."),
IF(M433=$H$4,IFERROR(VLOOKUP(B433,'Baremos anteriores'!A:E,5,FALSE),"No encontrado. Revisar código, fecha ejecución y/o contrato."),
IF(M433=$H$3,IFERROR(VLOOKUP(B433,#REF!,5,FALSE),"No encontrado. Revisar código, fecha ejecución y/o contrato."),
IF(D433="","Código no encontrado",
IF(D433="ERROR","No encontrado. Revisar Código, fecha de ejecución y/o contrato.",
IF(D433="MATE",
IF(C432="DESCRIPCION","NO SE PUEDE COMENZAR SIN CÓDIGO DE TAREA",
IF(C432="","FALTA CÓDIGO DE TAREA",
CONCATENATE("          ",VLOOKUP(B433,'Maestro Materiales'!A:C,3,FALSE)))),IFERROR(VLOOKUP(B433,#REF!,5,FALSE),"No encontrado. Revisar código, fecha ejecución y/o contrato."))))))))</f>
        <v/>
      </c>
      <c r="D433" s="88" t="str">
        <f>IF(B433="","",
IFERROR(VLOOKUP(B433,'Maestro Materiales'!A:C,2,FALSE),
IFERROR(VLOOKUP(B433,'Baremos actuales'!A:B,2,FALSE),
IFERROR(VLOOKUP(B433,'Baremos anteriores'!A:B,2,FALSE),
""))))</f>
        <v/>
      </c>
      <c r="E433" s="9"/>
      <c r="F433" s="89" t="str">
        <f>IF(D433="MATE",
IF(E433="","¿Unidades?",""),
IF(D433="",IF(E433="","","¿Código?"),
IF(E433="","¿Unidades?",
IF(D433="TARE",
IF(M433=$H$3,IFERROR(VLOOKUP(B433,'Baremos actuales'!A:C,3,FALSE),0),
IF(M433=$H$4,IFERROR(VLOOKUP(B433,'Baremos anteriores'!A:C,3,FALSE),0),0))))))</f>
        <v/>
      </c>
      <c r="G433" s="7"/>
      <c r="H433" s="8"/>
      <c r="I433" s="8"/>
      <c r="J433" s="78" t="str">
        <f>IF($D433="","",
IF($E433="","",
IF($D433="MATE","",
IF(VLOOKUP($B433,'Baremos actuales'!A:D,4,FALSE)=J$9,$E433*$F433,IF(VLOOKUP($B433,'Baremos anteriores'!A:D,4,FALSE)="Sin Definir",$E433*$F433,"")))))</f>
        <v/>
      </c>
      <c r="K433" s="79" t="str">
        <f>IF($D433="","",
IF($E433="","",
IF($D433="MATE","",
IF(VLOOKUP($B433,'Baremos actuales'!$A:$D,4,FALSE)=K$9,$E433*$F433,IF(VLOOKUP($B433,'Baremos anteriores'!$A:$D,4,FALSE)="Desmonte",$E433*$F433,"")))))</f>
        <v/>
      </c>
      <c r="L433" s="80" t="str">
        <f>IF($D433="","",
IF($E433="","",
IF($D433="MATE","",
IF(VLOOKUP($B433,'Baremos actuales'!$A:$D,4,FALSE)=L$9,$E433*$F433,""))))</f>
        <v/>
      </c>
      <c r="M433" s="91" t="str">
        <f t="shared" si="6"/>
        <v/>
      </c>
      <c r="N433" s="96"/>
      <c r="O433" s="95"/>
      <c r="P433" s="96"/>
      <c r="Q433" s="98"/>
    </row>
    <row r="434" spans="1:17" ht="15.75" x14ac:dyDescent="0.2">
      <c r="A434" s="17"/>
      <c r="B434" s="18"/>
      <c r="C434" s="87" t="str">
        <f>IF(B434="","",
IF(M434=$H$5,IFERROR(VLOOKUP(B434,'Baremos actuales'!A:E,5,FALSE),"No encontrado. Revisar código, fecha ejecución y/o contrato."),
IF(M434=$H$4,IFERROR(VLOOKUP(B434,'Baremos anteriores'!A:E,5,FALSE),"No encontrado. Revisar código, fecha ejecución y/o contrato."),
IF(M434=$H$3,IFERROR(VLOOKUP(B434,#REF!,5,FALSE),"No encontrado. Revisar código, fecha ejecución y/o contrato."),
IF(D434="","Código no encontrado",
IF(D434="ERROR","No encontrado. Revisar Código, fecha de ejecución y/o contrato.",
IF(D434="MATE",
IF(C433="DESCRIPCION","NO SE PUEDE COMENZAR SIN CÓDIGO DE TAREA",
IF(C433="","FALTA CÓDIGO DE TAREA",
CONCATENATE("          ",VLOOKUP(B434,'Maestro Materiales'!A:C,3,FALSE)))),IFERROR(VLOOKUP(B434,#REF!,5,FALSE),"No encontrado. Revisar código, fecha ejecución y/o contrato."))))))))</f>
        <v/>
      </c>
      <c r="D434" s="88" t="str">
        <f>IF(B434="","",
IFERROR(VLOOKUP(B434,'Maestro Materiales'!A:C,2,FALSE),
IFERROR(VLOOKUP(B434,'Baremos actuales'!A:B,2,FALSE),
IFERROR(VLOOKUP(B434,'Baremos anteriores'!A:B,2,FALSE),
""))))</f>
        <v/>
      </c>
      <c r="E434" s="9"/>
      <c r="F434" s="89" t="str">
        <f>IF(D434="MATE",
IF(E434="","¿Unidades?",""),
IF(D434="",IF(E434="","","¿Código?"),
IF(E434="","¿Unidades?",
IF(D434="TARE",
IF(M434=$H$3,IFERROR(VLOOKUP(B434,'Baremos actuales'!A:C,3,FALSE),0),
IF(M434=$H$4,IFERROR(VLOOKUP(B434,'Baremos anteriores'!A:C,3,FALSE),0),0))))))</f>
        <v/>
      </c>
      <c r="G434" s="7"/>
      <c r="H434" s="8"/>
      <c r="I434" s="8"/>
      <c r="J434" s="78" t="str">
        <f>IF($D434="","",
IF($E434="","",
IF($D434="MATE","",
IF(VLOOKUP($B434,'Baremos actuales'!A:D,4,FALSE)=J$9,$E434*$F434,IF(VLOOKUP($B434,'Baremos anteriores'!A:D,4,FALSE)="Sin Definir",$E434*$F434,"")))))</f>
        <v/>
      </c>
      <c r="K434" s="79" t="str">
        <f>IF($D434="","",
IF($E434="","",
IF($D434="MATE","",
IF(VLOOKUP($B434,'Baremos actuales'!$A:$D,4,FALSE)=K$9,$E434*$F434,IF(VLOOKUP($B434,'Baremos anteriores'!$A:$D,4,FALSE)="Desmonte",$E434*$F434,"")))))</f>
        <v/>
      </c>
      <c r="L434" s="80" t="str">
        <f>IF($D434="","",
IF($E434="","",
IF($D434="MATE","",
IF(VLOOKUP($B434,'Baremos actuales'!$A:$D,4,FALSE)=L$9,$E434*$F434,""))))</f>
        <v/>
      </c>
      <c r="M434" s="91" t="str">
        <f t="shared" si="6"/>
        <v/>
      </c>
      <c r="N434" s="96"/>
      <c r="O434" s="95"/>
      <c r="P434" s="96"/>
      <c r="Q434" s="98"/>
    </row>
    <row r="435" spans="1:17" ht="15.75" x14ac:dyDescent="0.2">
      <c r="A435" s="17"/>
      <c r="B435" s="18"/>
      <c r="C435" s="87" t="str">
        <f>IF(B435="","",
IF(M435=$H$5,IFERROR(VLOOKUP(B435,'Baremos actuales'!A:E,5,FALSE),"No encontrado. Revisar código, fecha ejecución y/o contrato."),
IF(M435=$H$4,IFERROR(VLOOKUP(B435,'Baremos anteriores'!A:E,5,FALSE),"No encontrado. Revisar código, fecha ejecución y/o contrato."),
IF(M435=$H$3,IFERROR(VLOOKUP(B435,#REF!,5,FALSE),"No encontrado. Revisar código, fecha ejecución y/o contrato."),
IF(D435="","Código no encontrado",
IF(D435="ERROR","No encontrado. Revisar Código, fecha de ejecución y/o contrato.",
IF(D435="MATE",
IF(C434="DESCRIPCION","NO SE PUEDE COMENZAR SIN CÓDIGO DE TAREA",
IF(C434="","FALTA CÓDIGO DE TAREA",
CONCATENATE("          ",VLOOKUP(B435,'Maestro Materiales'!A:C,3,FALSE)))),IFERROR(VLOOKUP(B435,#REF!,5,FALSE),"No encontrado. Revisar código, fecha ejecución y/o contrato."))))))))</f>
        <v/>
      </c>
      <c r="D435" s="88" t="str">
        <f>IF(B435="","",
IFERROR(VLOOKUP(B435,'Maestro Materiales'!A:C,2,FALSE),
IFERROR(VLOOKUP(B435,'Baremos actuales'!A:B,2,FALSE),
IFERROR(VLOOKUP(B435,'Baremos anteriores'!A:B,2,FALSE),
""))))</f>
        <v/>
      </c>
      <c r="E435" s="9"/>
      <c r="F435" s="89" t="str">
        <f>IF(D435="MATE",
IF(E435="","¿Unidades?",""),
IF(D435="",IF(E435="","","¿Código?"),
IF(E435="","¿Unidades?",
IF(D435="TARE",
IF(M435=$H$3,IFERROR(VLOOKUP(B435,'Baremos actuales'!A:C,3,FALSE),0),
IF(M435=$H$4,IFERROR(VLOOKUP(B435,'Baremos anteriores'!A:C,3,FALSE),0),0))))))</f>
        <v/>
      </c>
      <c r="G435" s="7"/>
      <c r="H435" s="8"/>
      <c r="I435" s="8"/>
      <c r="J435" s="78" t="str">
        <f>IF($D435="","",
IF($E435="","",
IF($D435="MATE","",
IF(VLOOKUP($B435,'Baremos actuales'!A:D,4,FALSE)=J$9,$E435*$F435,IF(VLOOKUP($B435,'Baremos anteriores'!A:D,4,FALSE)="Sin Definir",$E435*$F435,"")))))</f>
        <v/>
      </c>
      <c r="K435" s="79" t="str">
        <f>IF($D435="","",
IF($E435="","",
IF($D435="MATE","",
IF(VLOOKUP($B435,'Baremos actuales'!$A:$D,4,FALSE)=K$9,$E435*$F435,IF(VLOOKUP($B435,'Baremos anteriores'!$A:$D,4,FALSE)="Desmonte",$E435*$F435,"")))))</f>
        <v/>
      </c>
      <c r="L435" s="80" t="str">
        <f>IF($D435="","",
IF($E435="","",
IF($D435="MATE","",
IF(VLOOKUP($B435,'Baremos actuales'!$A:$D,4,FALSE)=L$9,$E435*$F435,""))))</f>
        <v/>
      </c>
      <c r="M435" s="91" t="str">
        <f t="shared" si="6"/>
        <v/>
      </c>
      <c r="N435" s="96"/>
      <c r="O435" s="95"/>
      <c r="P435" s="96"/>
      <c r="Q435" s="98"/>
    </row>
    <row r="436" spans="1:17" ht="15.75" x14ac:dyDescent="0.2">
      <c r="A436" s="17"/>
      <c r="B436" s="18"/>
      <c r="C436" s="87" t="str">
        <f>IF(B436="","",
IF(M436=$H$5,IFERROR(VLOOKUP(B436,'Baremos actuales'!A:E,5,FALSE),"No encontrado. Revisar código, fecha ejecución y/o contrato."),
IF(M436=$H$4,IFERROR(VLOOKUP(B436,'Baremos anteriores'!A:E,5,FALSE),"No encontrado. Revisar código, fecha ejecución y/o contrato."),
IF(M436=$H$3,IFERROR(VLOOKUP(B436,#REF!,5,FALSE),"No encontrado. Revisar código, fecha ejecución y/o contrato."),
IF(D436="","Código no encontrado",
IF(D436="ERROR","No encontrado. Revisar Código, fecha de ejecución y/o contrato.",
IF(D436="MATE",
IF(C435="DESCRIPCION","NO SE PUEDE COMENZAR SIN CÓDIGO DE TAREA",
IF(C435="","FALTA CÓDIGO DE TAREA",
CONCATENATE("          ",VLOOKUP(B436,'Maestro Materiales'!A:C,3,FALSE)))),IFERROR(VLOOKUP(B436,#REF!,5,FALSE),"No encontrado. Revisar código, fecha ejecución y/o contrato."))))))))</f>
        <v/>
      </c>
      <c r="D436" s="88" t="str">
        <f>IF(B436="","",
IFERROR(VLOOKUP(B436,'Maestro Materiales'!A:C,2,FALSE),
IFERROR(VLOOKUP(B436,'Baremos actuales'!A:B,2,FALSE),
IFERROR(VLOOKUP(B436,'Baremos anteriores'!A:B,2,FALSE),
""))))</f>
        <v/>
      </c>
      <c r="E436" s="9"/>
      <c r="F436" s="89" t="str">
        <f>IF(D436="MATE",
IF(E436="","¿Unidades?",""),
IF(D436="",IF(E436="","","¿Código?"),
IF(E436="","¿Unidades?",
IF(D436="TARE",
IF(M436=$H$3,IFERROR(VLOOKUP(B436,'Baremos actuales'!A:C,3,FALSE),0),
IF(M436=$H$4,IFERROR(VLOOKUP(B436,'Baremos anteriores'!A:C,3,FALSE),0),0))))))</f>
        <v/>
      </c>
      <c r="G436" s="7"/>
      <c r="H436" s="8"/>
      <c r="I436" s="8"/>
      <c r="J436" s="78" t="str">
        <f>IF($D436="","",
IF($E436="","",
IF($D436="MATE","",
IF(VLOOKUP($B436,'Baremos actuales'!A:D,4,FALSE)=J$9,$E436*$F436,IF(VLOOKUP($B436,'Baremos anteriores'!A:D,4,FALSE)="Sin Definir",$E436*$F436,"")))))</f>
        <v/>
      </c>
      <c r="K436" s="79" t="str">
        <f>IF($D436="","",
IF($E436="","",
IF($D436="MATE","",
IF(VLOOKUP($B436,'Baremos actuales'!$A:$D,4,FALSE)=K$9,$E436*$F436,IF(VLOOKUP($B436,'Baremos anteriores'!$A:$D,4,FALSE)="Desmonte",$E436*$F436,"")))))</f>
        <v/>
      </c>
      <c r="L436" s="80" t="str">
        <f>IF($D436="","",
IF($E436="","",
IF($D436="MATE","",
IF(VLOOKUP($B436,'Baremos actuales'!$A:$D,4,FALSE)=L$9,$E436*$F436,""))))</f>
        <v/>
      </c>
      <c r="M436" s="91" t="str">
        <f t="shared" si="6"/>
        <v/>
      </c>
      <c r="N436" s="96"/>
      <c r="O436" s="95"/>
      <c r="P436" s="96"/>
      <c r="Q436" s="98"/>
    </row>
    <row r="437" spans="1:17" ht="15.75" x14ac:dyDescent="0.2">
      <c r="A437" s="17"/>
      <c r="B437" s="18"/>
      <c r="C437" s="87" t="str">
        <f>IF(B437="","",
IF(M437=$H$5,IFERROR(VLOOKUP(B437,'Baremos actuales'!A:E,5,FALSE),"No encontrado. Revisar código, fecha ejecución y/o contrato."),
IF(M437=$H$4,IFERROR(VLOOKUP(B437,'Baremos anteriores'!A:E,5,FALSE),"No encontrado. Revisar código, fecha ejecución y/o contrato."),
IF(M437=$H$3,IFERROR(VLOOKUP(B437,#REF!,5,FALSE),"No encontrado. Revisar código, fecha ejecución y/o contrato."),
IF(D437="","Código no encontrado",
IF(D437="ERROR","No encontrado. Revisar Código, fecha de ejecución y/o contrato.",
IF(D437="MATE",
IF(C436="DESCRIPCION","NO SE PUEDE COMENZAR SIN CÓDIGO DE TAREA",
IF(C436="","FALTA CÓDIGO DE TAREA",
CONCATENATE("          ",VLOOKUP(B437,'Maestro Materiales'!A:C,3,FALSE)))),IFERROR(VLOOKUP(B437,#REF!,5,FALSE),"No encontrado. Revisar código, fecha ejecución y/o contrato."))))))))</f>
        <v/>
      </c>
      <c r="D437" s="88" t="str">
        <f>IF(B437="","",
IFERROR(VLOOKUP(B437,'Maestro Materiales'!A:C,2,FALSE),
IFERROR(VLOOKUP(B437,'Baremos actuales'!A:B,2,FALSE),
IFERROR(VLOOKUP(B437,'Baremos anteriores'!A:B,2,FALSE),
""))))</f>
        <v/>
      </c>
      <c r="E437" s="9"/>
      <c r="F437" s="89" t="str">
        <f>IF(D437="MATE",
IF(E437="","¿Unidades?",""),
IF(D437="",IF(E437="","","¿Código?"),
IF(E437="","¿Unidades?",
IF(D437="TARE",
IF(M437=$H$3,IFERROR(VLOOKUP(B437,'Baremos actuales'!A:C,3,FALSE),0),
IF(M437=$H$4,IFERROR(VLOOKUP(B437,'Baremos anteriores'!A:C,3,FALSE),0),0))))))</f>
        <v/>
      </c>
      <c r="G437" s="7"/>
      <c r="H437" s="8"/>
      <c r="I437" s="8"/>
      <c r="J437" s="78" t="str">
        <f>IF($D437="","",
IF($E437="","",
IF($D437="MATE","",
IF(VLOOKUP($B437,'Baremos actuales'!A:D,4,FALSE)=J$9,$E437*$F437,IF(VLOOKUP($B437,'Baremos anteriores'!A:D,4,FALSE)="Sin Definir",$E437*$F437,"")))))</f>
        <v/>
      </c>
      <c r="K437" s="79" t="str">
        <f>IF($D437="","",
IF($E437="","",
IF($D437="MATE","",
IF(VLOOKUP($B437,'Baremos actuales'!$A:$D,4,FALSE)=K$9,$E437*$F437,IF(VLOOKUP($B437,'Baremos anteriores'!$A:$D,4,FALSE)="Desmonte",$E437*$F437,"")))))</f>
        <v/>
      </c>
      <c r="L437" s="80" t="str">
        <f>IF($D437="","",
IF($E437="","",
IF($D437="MATE","",
IF(VLOOKUP($B437,'Baremos actuales'!$A:$D,4,FALSE)=L$9,$E437*$F437,""))))</f>
        <v/>
      </c>
      <c r="M437" s="91" t="str">
        <f t="shared" si="6"/>
        <v/>
      </c>
      <c r="N437" s="96"/>
      <c r="O437" s="95"/>
      <c r="P437" s="96"/>
      <c r="Q437" s="98"/>
    </row>
    <row r="438" spans="1:17" ht="15.75" x14ac:dyDescent="0.2">
      <c r="A438" s="17"/>
      <c r="B438" s="18"/>
      <c r="C438" s="87" t="str">
        <f>IF(B438="","",
IF(M438=$H$5,IFERROR(VLOOKUP(B438,'Baremos actuales'!A:E,5,FALSE),"No encontrado. Revisar código, fecha ejecución y/o contrato."),
IF(M438=$H$4,IFERROR(VLOOKUP(B438,'Baremos anteriores'!A:E,5,FALSE),"No encontrado. Revisar código, fecha ejecución y/o contrato."),
IF(M438=$H$3,IFERROR(VLOOKUP(B438,#REF!,5,FALSE),"No encontrado. Revisar código, fecha ejecución y/o contrato."),
IF(D438="","Código no encontrado",
IF(D438="ERROR","No encontrado. Revisar Código, fecha de ejecución y/o contrato.",
IF(D438="MATE",
IF(C437="DESCRIPCION","NO SE PUEDE COMENZAR SIN CÓDIGO DE TAREA",
IF(C437="","FALTA CÓDIGO DE TAREA",
CONCATENATE("          ",VLOOKUP(B438,'Maestro Materiales'!A:C,3,FALSE)))),IFERROR(VLOOKUP(B438,#REF!,5,FALSE),"No encontrado. Revisar código, fecha ejecución y/o contrato."))))))))</f>
        <v/>
      </c>
      <c r="D438" s="88" t="str">
        <f>IF(B438="","",
IFERROR(VLOOKUP(B438,'Maestro Materiales'!A:C,2,FALSE),
IFERROR(VLOOKUP(B438,'Baremos actuales'!A:B,2,FALSE),
IFERROR(VLOOKUP(B438,'Baremos anteriores'!A:B,2,FALSE),
""))))</f>
        <v/>
      </c>
      <c r="E438" s="9"/>
      <c r="F438" s="89" t="str">
        <f>IF(D438="MATE",
IF(E438="","¿Unidades?",""),
IF(D438="",IF(E438="","","¿Código?"),
IF(E438="","¿Unidades?",
IF(D438="TARE",
IF(M438=$H$3,IFERROR(VLOOKUP(B438,'Baremos actuales'!A:C,3,FALSE),0),
IF(M438=$H$4,IFERROR(VLOOKUP(B438,'Baremos anteriores'!A:C,3,FALSE),0),0))))))</f>
        <v/>
      </c>
      <c r="G438" s="7"/>
      <c r="H438" s="8"/>
      <c r="I438" s="8"/>
      <c r="J438" s="78" t="str">
        <f>IF($D438="","",
IF($E438="","",
IF($D438="MATE","",
IF(VLOOKUP($B438,'Baremos actuales'!A:D,4,FALSE)=J$9,$E438*$F438,IF(VLOOKUP($B438,'Baremos anteriores'!A:D,4,FALSE)="Sin Definir",$E438*$F438,"")))))</f>
        <v/>
      </c>
      <c r="K438" s="79" t="str">
        <f>IF($D438="","",
IF($E438="","",
IF($D438="MATE","",
IF(VLOOKUP($B438,'Baremos actuales'!$A:$D,4,FALSE)=K$9,$E438*$F438,IF(VLOOKUP($B438,'Baremos anteriores'!$A:$D,4,FALSE)="Desmonte",$E438*$F438,"")))))</f>
        <v/>
      </c>
      <c r="L438" s="80" t="str">
        <f>IF($D438="","",
IF($E438="","",
IF($D438="MATE","",
IF(VLOOKUP($B438,'Baremos actuales'!$A:$D,4,FALSE)=L$9,$E438*$F438,""))))</f>
        <v/>
      </c>
      <c r="M438" s="91" t="str">
        <f t="shared" si="6"/>
        <v/>
      </c>
      <c r="N438" s="96"/>
      <c r="O438" s="95"/>
      <c r="P438" s="96"/>
      <c r="Q438" s="98"/>
    </row>
    <row r="439" spans="1:17" ht="15.75" x14ac:dyDescent="0.2">
      <c r="A439" s="17"/>
      <c r="B439" s="18"/>
      <c r="C439" s="87" t="str">
        <f>IF(B439="","",
IF(M439=$H$5,IFERROR(VLOOKUP(B439,'Baremos actuales'!A:E,5,FALSE),"No encontrado. Revisar código, fecha ejecución y/o contrato."),
IF(M439=$H$4,IFERROR(VLOOKUP(B439,'Baremos anteriores'!A:E,5,FALSE),"No encontrado. Revisar código, fecha ejecución y/o contrato."),
IF(M439=$H$3,IFERROR(VLOOKUP(B439,#REF!,5,FALSE),"No encontrado. Revisar código, fecha ejecución y/o contrato."),
IF(D439="","Código no encontrado",
IF(D439="ERROR","No encontrado. Revisar Código, fecha de ejecución y/o contrato.",
IF(D439="MATE",
IF(C438="DESCRIPCION","NO SE PUEDE COMENZAR SIN CÓDIGO DE TAREA",
IF(C438="","FALTA CÓDIGO DE TAREA",
CONCATENATE("          ",VLOOKUP(B439,'Maestro Materiales'!A:C,3,FALSE)))),IFERROR(VLOOKUP(B439,#REF!,5,FALSE),"No encontrado. Revisar código, fecha ejecución y/o contrato."))))))))</f>
        <v/>
      </c>
      <c r="D439" s="88" t="str">
        <f>IF(B439="","",
IFERROR(VLOOKUP(B439,'Maestro Materiales'!A:C,2,FALSE),
IFERROR(VLOOKUP(B439,'Baremos actuales'!A:B,2,FALSE),
IFERROR(VLOOKUP(B439,'Baremos anteriores'!A:B,2,FALSE),
""))))</f>
        <v/>
      </c>
      <c r="E439" s="9"/>
      <c r="F439" s="89" t="str">
        <f>IF(D439="MATE",
IF(E439="","¿Unidades?",""),
IF(D439="",IF(E439="","","¿Código?"),
IF(E439="","¿Unidades?",
IF(D439="TARE",
IF(M439=$H$3,IFERROR(VLOOKUP(B439,'Baremos actuales'!A:C,3,FALSE),0),
IF(M439=$H$4,IFERROR(VLOOKUP(B439,'Baremos anteriores'!A:C,3,FALSE),0),0))))))</f>
        <v/>
      </c>
      <c r="G439" s="7"/>
      <c r="H439" s="8"/>
      <c r="I439" s="8"/>
      <c r="J439" s="78" t="str">
        <f>IF($D439="","",
IF($E439="","",
IF($D439="MATE","",
IF(VLOOKUP($B439,'Baremos actuales'!A:D,4,FALSE)=J$9,$E439*$F439,IF(VLOOKUP($B439,'Baremos anteriores'!A:D,4,FALSE)="Sin Definir",$E439*$F439,"")))))</f>
        <v/>
      </c>
      <c r="K439" s="79" t="str">
        <f>IF($D439="","",
IF($E439="","",
IF($D439="MATE","",
IF(VLOOKUP($B439,'Baremos actuales'!$A:$D,4,FALSE)=K$9,$E439*$F439,IF(VLOOKUP($B439,'Baremos anteriores'!$A:$D,4,FALSE)="Desmonte",$E439*$F439,"")))))</f>
        <v/>
      </c>
      <c r="L439" s="80" t="str">
        <f>IF($D439="","",
IF($E439="","",
IF($D439="MATE","",
IF(VLOOKUP($B439,'Baremos actuales'!$A:$D,4,FALSE)=L$9,$E439*$F439,""))))</f>
        <v/>
      </c>
      <c r="M439" s="91" t="str">
        <f t="shared" si="6"/>
        <v/>
      </c>
      <c r="N439" s="96"/>
      <c r="O439" s="95"/>
      <c r="P439" s="96"/>
      <c r="Q439" s="98"/>
    </row>
    <row r="440" spans="1:17" ht="15.75" x14ac:dyDescent="0.2">
      <c r="A440" s="17"/>
      <c r="B440" s="18"/>
      <c r="C440" s="87" t="str">
        <f>IF(B440="","",
IF(M440=$H$5,IFERROR(VLOOKUP(B440,'Baremos actuales'!A:E,5,FALSE),"No encontrado. Revisar código, fecha ejecución y/o contrato."),
IF(M440=$H$4,IFERROR(VLOOKUP(B440,'Baremos anteriores'!A:E,5,FALSE),"No encontrado. Revisar código, fecha ejecución y/o contrato."),
IF(M440=$H$3,IFERROR(VLOOKUP(B440,#REF!,5,FALSE),"No encontrado. Revisar código, fecha ejecución y/o contrato."),
IF(D440="","Código no encontrado",
IF(D440="ERROR","No encontrado. Revisar Código, fecha de ejecución y/o contrato.",
IF(D440="MATE",
IF(C439="DESCRIPCION","NO SE PUEDE COMENZAR SIN CÓDIGO DE TAREA",
IF(C439="","FALTA CÓDIGO DE TAREA",
CONCATENATE("          ",VLOOKUP(B440,'Maestro Materiales'!A:C,3,FALSE)))),IFERROR(VLOOKUP(B440,#REF!,5,FALSE),"No encontrado. Revisar código, fecha ejecución y/o contrato."))))))))</f>
        <v/>
      </c>
      <c r="D440" s="88" t="str">
        <f>IF(B440="","",
IFERROR(VLOOKUP(B440,'Maestro Materiales'!A:C,2,FALSE),
IFERROR(VLOOKUP(B440,'Baremos actuales'!A:B,2,FALSE),
IFERROR(VLOOKUP(B440,'Baremos anteriores'!A:B,2,FALSE),
""))))</f>
        <v/>
      </c>
      <c r="E440" s="9"/>
      <c r="F440" s="89" t="str">
        <f>IF(D440="MATE",
IF(E440="","¿Unidades?",""),
IF(D440="",IF(E440="","","¿Código?"),
IF(E440="","¿Unidades?",
IF(D440="TARE",
IF(M440=$H$3,IFERROR(VLOOKUP(B440,'Baremos actuales'!A:C,3,FALSE),0),
IF(M440=$H$4,IFERROR(VLOOKUP(B440,'Baremos anteriores'!A:C,3,FALSE),0),0))))))</f>
        <v/>
      </c>
      <c r="G440" s="7"/>
      <c r="H440" s="8"/>
      <c r="I440" s="8"/>
      <c r="J440" s="78" t="str">
        <f>IF($D440="","",
IF($E440="","",
IF($D440="MATE","",
IF(VLOOKUP($B440,'Baremos actuales'!A:D,4,FALSE)=J$9,$E440*$F440,IF(VLOOKUP($B440,'Baremos anteriores'!A:D,4,FALSE)="Sin Definir",$E440*$F440,"")))))</f>
        <v/>
      </c>
      <c r="K440" s="79" t="str">
        <f>IF($D440="","",
IF($E440="","",
IF($D440="MATE","",
IF(VLOOKUP($B440,'Baremos actuales'!$A:$D,4,FALSE)=K$9,$E440*$F440,IF(VLOOKUP($B440,'Baremos anteriores'!$A:$D,4,FALSE)="Desmonte",$E440*$F440,"")))))</f>
        <v/>
      </c>
      <c r="L440" s="80" t="str">
        <f>IF($D440="","",
IF($E440="","",
IF($D440="MATE","",
IF(VLOOKUP($B440,'Baremos actuales'!$A:$D,4,FALSE)=L$9,$E440*$F440,""))))</f>
        <v/>
      </c>
      <c r="M440" s="91" t="str">
        <f t="shared" si="6"/>
        <v/>
      </c>
      <c r="N440" s="96"/>
      <c r="O440" s="95"/>
      <c r="P440" s="96"/>
      <c r="Q440" s="98"/>
    </row>
    <row r="441" spans="1:17" ht="15.75" x14ac:dyDescent="0.2">
      <c r="A441" s="17"/>
      <c r="B441" s="18"/>
      <c r="C441" s="87" t="str">
        <f>IF(B441="","",
IF(M441=$H$5,IFERROR(VLOOKUP(B441,'Baremos actuales'!A:E,5,FALSE),"No encontrado. Revisar código, fecha ejecución y/o contrato."),
IF(M441=$H$4,IFERROR(VLOOKUP(B441,'Baremos anteriores'!A:E,5,FALSE),"No encontrado. Revisar código, fecha ejecución y/o contrato."),
IF(M441=$H$3,IFERROR(VLOOKUP(B441,#REF!,5,FALSE),"No encontrado. Revisar código, fecha ejecución y/o contrato."),
IF(D441="","Código no encontrado",
IF(D441="ERROR","No encontrado. Revisar Código, fecha de ejecución y/o contrato.",
IF(D441="MATE",
IF(C440="DESCRIPCION","NO SE PUEDE COMENZAR SIN CÓDIGO DE TAREA",
IF(C440="","FALTA CÓDIGO DE TAREA",
CONCATENATE("          ",VLOOKUP(B441,'Maestro Materiales'!A:C,3,FALSE)))),IFERROR(VLOOKUP(B441,#REF!,5,FALSE),"No encontrado. Revisar código, fecha ejecución y/o contrato."))))))))</f>
        <v/>
      </c>
      <c r="D441" s="88" t="str">
        <f>IF(B441="","",
IFERROR(VLOOKUP(B441,'Maestro Materiales'!A:C,2,FALSE),
IFERROR(VLOOKUP(B441,'Baremos actuales'!A:B,2,FALSE),
IFERROR(VLOOKUP(B441,'Baremos anteriores'!A:B,2,FALSE),
""))))</f>
        <v/>
      </c>
      <c r="E441" s="9"/>
      <c r="F441" s="89" t="str">
        <f>IF(D441="MATE",
IF(E441="","¿Unidades?",""),
IF(D441="",IF(E441="","","¿Código?"),
IF(E441="","¿Unidades?",
IF(D441="TARE",
IF(M441=$H$3,IFERROR(VLOOKUP(B441,'Baremos actuales'!A:C,3,FALSE),0),
IF(M441=$H$4,IFERROR(VLOOKUP(B441,'Baremos anteriores'!A:C,3,FALSE),0),0))))))</f>
        <v/>
      </c>
      <c r="G441" s="7"/>
      <c r="H441" s="8"/>
      <c r="I441" s="8"/>
      <c r="J441" s="78" t="str">
        <f>IF($D441="","",
IF($E441="","",
IF($D441="MATE","",
IF(VLOOKUP($B441,'Baremos actuales'!A:D,4,FALSE)=J$9,$E441*$F441,IF(VLOOKUP($B441,'Baremos anteriores'!A:D,4,FALSE)="Sin Definir",$E441*$F441,"")))))</f>
        <v/>
      </c>
      <c r="K441" s="79" t="str">
        <f>IF($D441="","",
IF($E441="","",
IF($D441="MATE","",
IF(VLOOKUP($B441,'Baremos actuales'!$A:$D,4,FALSE)=K$9,$E441*$F441,IF(VLOOKUP($B441,'Baremos anteriores'!$A:$D,4,FALSE)="Desmonte",$E441*$F441,"")))))</f>
        <v/>
      </c>
      <c r="L441" s="80" t="str">
        <f>IF($D441="","",
IF($E441="","",
IF($D441="MATE","",
IF(VLOOKUP($B441,'Baremos actuales'!$A:$D,4,FALSE)=L$9,$E441*$F441,""))))</f>
        <v/>
      </c>
      <c r="M441" s="91" t="str">
        <f t="shared" si="6"/>
        <v/>
      </c>
      <c r="N441" s="96"/>
      <c r="O441" s="95"/>
      <c r="P441" s="96"/>
      <c r="Q441" s="98"/>
    </row>
    <row r="442" spans="1:17" ht="15.75" x14ac:dyDescent="0.2">
      <c r="A442" s="17"/>
      <c r="B442" s="18"/>
      <c r="C442" s="87" t="str">
        <f>IF(B442="","",
IF(M442=$H$5,IFERROR(VLOOKUP(B442,'Baremos actuales'!A:E,5,FALSE),"No encontrado. Revisar código, fecha ejecución y/o contrato."),
IF(M442=$H$4,IFERROR(VLOOKUP(B442,'Baremos anteriores'!A:E,5,FALSE),"No encontrado. Revisar código, fecha ejecución y/o contrato."),
IF(M442=$H$3,IFERROR(VLOOKUP(B442,#REF!,5,FALSE),"No encontrado. Revisar código, fecha ejecución y/o contrato."),
IF(D442="","Código no encontrado",
IF(D442="ERROR","No encontrado. Revisar Código, fecha de ejecución y/o contrato.",
IF(D442="MATE",
IF(C441="DESCRIPCION","NO SE PUEDE COMENZAR SIN CÓDIGO DE TAREA",
IF(C441="","FALTA CÓDIGO DE TAREA",
CONCATENATE("          ",VLOOKUP(B442,'Maestro Materiales'!A:C,3,FALSE)))),IFERROR(VLOOKUP(B442,#REF!,5,FALSE),"No encontrado. Revisar código, fecha ejecución y/o contrato."))))))))</f>
        <v/>
      </c>
      <c r="D442" s="88" t="str">
        <f>IF(B442="","",
IFERROR(VLOOKUP(B442,'Maestro Materiales'!A:C,2,FALSE),
IFERROR(VLOOKUP(B442,'Baremos actuales'!A:B,2,FALSE),
IFERROR(VLOOKUP(B442,'Baremos anteriores'!A:B,2,FALSE),
""))))</f>
        <v/>
      </c>
      <c r="E442" s="9"/>
      <c r="F442" s="89" t="str">
        <f>IF(D442="MATE",
IF(E442="","¿Unidades?",""),
IF(D442="",IF(E442="","","¿Código?"),
IF(E442="","¿Unidades?",
IF(D442="TARE",
IF(M442=$H$3,IFERROR(VLOOKUP(B442,'Baremos actuales'!A:C,3,FALSE),0),
IF(M442=$H$4,IFERROR(VLOOKUP(B442,'Baremos anteriores'!A:C,3,FALSE),0),0))))))</f>
        <v/>
      </c>
      <c r="G442" s="7"/>
      <c r="H442" s="8"/>
      <c r="I442" s="8"/>
      <c r="J442" s="78" t="str">
        <f>IF($D442="","",
IF($E442="","",
IF($D442="MATE","",
IF(VLOOKUP($B442,'Baremos actuales'!A:D,4,FALSE)=J$9,$E442*$F442,IF(VLOOKUP($B442,'Baremos anteriores'!A:D,4,FALSE)="Sin Definir",$E442*$F442,"")))))</f>
        <v/>
      </c>
      <c r="K442" s="79" t="str">
        <f>IF($D442="","",
IF($E442="","",
IF($D442="MATE","",
IF(VLOOKUP($B442,'Baremos actuales'!$A:$D,4,FALSE)=K$9,$E442*$F442,IF(VLOOKUP($B442,'Baremos anteriores'!$A:$D,4,FALSE)="Desmonte",$E442*$F442,"")))))</f>
        <v/>
      </c>
      <c r="L442" s="80" t="str">
        <f>IF($D442="","",
IF($E442="","",
IF($D442="MATE","",
IF(VLOOKUP($B442,'Baremos actuales'!$A:$D,4,FALSE)=L$9,$E442*$F442,""))))</f>
        <v/>
      </c>
      <c r="M442" s="91" t="str">
        <f t="shared" si="6"/>
        <v/>
      </c>
      <c r="N442" s="96"/>
      <c r="O442" s="95"/>
      <c r="P442" s="96"/>
      <c r="Q442" s="98"/>
    </row>
    <row r="443" spans="1:17" ht="15.75" x14ac:dyDescent="0.2">
      <c r="A443" s="17"/>
      <c r="B443" s="18"/>
      <c r="C443" s="87" t="str">
        <f>IF(B443="","",
IF(M443=$H$5,IFERROR(VLOOKUP(B443,'Baremos actuales'!A:E,5,FALSE),"No encontrado. Revisar código, fecha ejecución y/o contrato."),
IF(M443=$H$4,IFERROR(VLOOKUP(B443,'Baremos anteriores'!A:E,5,FALSE),"No encontrado. Revisar código, fecha ejecución y/o contrato."),
IF(M443=$H$3,IFERROR(VLOOKUP(B443,#REF!,5,FALSE),"No encontrado. Revisar código, fecha ejecución y/o contrato."),
IF(D443="","Código no encontrado",
IF(D443="ERROR","No encontrado. Revisar Código, fecha de ejecución y/o contrato.",
IF(D443="MATE",
IF(C442="DESCRIPCION","NO SE PUEDE COMENZAR SIN CÓDIGO DE TAREA",
IF(C442="","FALTA CÓDIGO DE TAREA",
CONCATENATE("          ",VLOOKUP(B443,'Maestro Materiales'!A:C,3,FALSE)))),IFERROR(VLOOKUP(B443,#REF!,5,FALSE),"No encontrado. Revisar código, fecha ejecución y/o contrato."))))))))</f>
        <v/>
      </c>
      <c r="D443" s="88" t="str">
        <f>IF(B443="","",
IFERROR(VLOOKUP(B443,'Maestro Materiales'!A:C,2,FALSE),
IFERROR(VLOOKUP(B443,'Baremos actuales'!A:B,2,FALSE),
IFERROR(VLOOKUP(B443,'Baremos anteriores'!A:B,2,FALSE),
""))))</f>
        <v/>
      </c>
      <c r="E443" s="9"/>
      <c r="F443" s="89" t="str">
        <f>IF(D443="MATE",
IF(E443="","¿Unidades?",""),
IF(D443="",IF(E443="","","¿Código?"),
IF(E443="","¿Unidades?",
IF(D443="TARE",
IF(M443=$H$3,IFERROR(VLOOKUP(B443,'Baremos actuales'!A:C,3,FALSE),0),
IF(M443=$H$4,IFERROR(VLOOKUP(B443,'Baremos anteriores'!A:C,3,FALSE),0),0))))))</f>
        <v/>
      </c>
      <c r="G443" s="7"/>
      <c r="H443" s="8"/>
      <c r="I443" s="8"/>
      <c r="J443" s="78" t="str">
        <f>IF($D443="","",
IF($E443="","",
IF($D443="MATE","",
IF(VLOOKUP($B443,'Baremos actuales'!A:D,4,FALSE)=J$9,$E443*$F443,IF(VLOOKUP($B443,'Baremos anteriores'!A:D,4,FALSE)="Sin Definir",$E443*$F443,"")))))</f>
        <v/>
      </c>
      <c r="K443" s="79" t="str">
        <f>IF($D443="","",
IF($E443="","",
IF($D443="MATE","",
IF(VLOOKUP($B443,'Baremos actuales'!$A:$D,4,FALSE)=K$9,$E443*$F443,IF(VLOOKUP($B443,'Baremos anteriores'!$A:$D,4,FALSE)="Desmonte",$E443*$F443,"")))))</f>
        <v/>
      </c>
      <c r="L443" s="80" t="str">
        <f>IF($D443="","",
IF($E443="","",
IF($D443="MATE","",
IF(VLOOKUP($B443,'Baremos actuales'!$A:$D,4,FALSE)=L$9,$E443*$F443,""))))</f>
        <v/>
      </c>
      <c r="M443" s="91" t="str">
        <f t="shared" si="6"/>
        <v/>
      </c>
      <c r="N443" s="96"/>
      <c r="O443" s="95"/>
      <c r="P443" s="96"/>
      <c r="Q443" s="98"/>
    </row>
    <row r="444" spans="1:17" ht="15.75" x14ac:dyDescent="0.2">
      <c r="A444" s="17"/>
      <c r="B444" s="18"/>
      <c r="C444" s="87" t="str">
        <f>IF(B444="","",
IF(M444=$H$5,IFERROR(VLOOKUP(B444,'Baremos actuales'!A:E,5,FALSE),"No encontrado. Revisar código, fecha ejecución y/o contrato."),
IF(M444=$H$4,IFERROR(VLOOKUP(B444,'Baremos anteriores'!A:E,5,FALSE),"No encontrado. Revisar código, fecha ejecución y/o contrato."),
IF(M444=$H$3,IFERROR(VLOOKUP(B444,#REF!,5,FALSE),"No encontrado. Revisar código, fecha ejecución y/o contrato."),
IF(D444="","Código no encontrado",
IF(D444="ERROR","No encontrado. Revisar Código, fecha de ejecución y/o contrato.",
IF(D444="MATE",
IF(C443="DESCRIPCION","NO SE PUEDE COMENZAR SIN CÓDIGO DE TAREA",
IF(C443="","FALTA CÓDIGO DE TAREA",
CONCATENATE("          ",VLOOKUP(B444,'Maestro Materiales'!A:C,3,FALSE)))),IFERROR(VLOOKUP(B444,#REF!,5,FALSE),"No encontrado. Revisar código, fecha ejecución y/o contrato."))))))))</f>
        <v/>
      </c>
      <c r="D444" s="88" t="str">
        <f>IF(B444="","",
IFERROR(VLOOKUP(B444,'Maestro Materiales'!A:C,2,FALSE),
IFERROR(VLOOKUP(B444,'Baremos actuales'!A:B,2,FALSE),
IFERROR(VLOOKUP(B444,'Baremos anteriores'!A:B,2,FALSE),
""))))</f>
        <v/>
      </c>
      <c r="E444" s="9"/>
      <c r="F444" s="89" t="str">
        <f>IF(D444="MATE",
IF(E444="","¿Unidades?",""),
IF(D444="",IF(E444="","","¿Código?"),
IF(E444="","¿Unidades?",
IF(D444="TARE",
IF(M444=$H$3,IFERROR(VLOOKUP(B444,'Baremos actuales'!A:C,3,FALSE),0),
IF(M444=$H$4,IFERROR(VLOOKUP(B444,'Baremos anteriores'!A:C,3,FALSE),0),0))))))</f>
        <v/>
      </c>
      <c r="G444" s="7"/>
      <c r="H444" s="8"/>
      <c r="I444" s="8"/>
      <c r="J444" s="78" t="str">
        <f>IF($D444="","",
IF($E444="","",
IF($D444="MATE","",
IF(VLOOKUP($B444,'Baremos actuales'!A:D,4,FALSE)=J$9,$E444*$F444,IF(VLOOKUP($B444,'Baremos anteriores'!A:D,4,FALSE)="Sin Definir",$E444*$F444,"")))))</f>
        <v/>
      </c>
      <c r="K444" s="79" t="str">
        <f>IF($D444="","",
IF($E444="","",
IF($D444="MATE","",
IF(VLOOKUP($B444,'Baremos actuales'!$A:$D,4,FALSE)=K$9,$E444*$F444,IF(VLOOKUP($B444,'Baremos anteriores'!$A:$D,4,FALSE)="Desmonte",$E444*$F444,"")))))</f>
        <v/>
      </c>
      <c r="L444" s="80" t="str">
        <f>IF($D444="","",
IF($E444="","",
IF($D444="MATE","",
IF(VLOOKUP($B444,'Baremos actuales'!$A:$D,4,FALSE)=L$9,$E444*$F444,""))))</f>
        <v/>
      </c>
      <c r="M444" s="91" t="str">
        <f t="shared" si="6"/>
        <v/>
      </c>
      <c r="N444" s="96"/>
      <c r="O444" s="95"/>
      <c r="P444" s="96"/>
      <c r="Q444" s="98"/>
    </row>
    <row r="445" spans="1:17" ht="15.75" x14ac:dyDescent="0.2">
      <c r="A445" s="17"/>
      <c r="B445" s="18"/>
      <c r="C445" s="87" t="str">
        <f>IF(B445="","",
IF(M445=$H$5,IFERROR(VLOOKUP(B445,'Baremos actuales'!A:E,5,FALSE),"No encontrado. Revisar código, fecha ejecución y/o contrato."),
IF(M445=$H$4,IFERROR(VLOOKUP(B445,'Baremos anteriores'!A:E,5,FALSE),"No encontrado. Revisar código, fecha ejecución y/o contrato."),
IF(M445=$H$3,IFERROR(VLOOKUP(B445,#REF!,5,FALSE),"No encontrado. Revisar código, fecha ejecución y/o contrato."),
IF(D445="","Código no encontrado",
IF(D445="ERROR","No encontrado. Revisar Código, fecha de ejecución y/o contrato.",
IF(D445="MATE",
IF(C444="DESCRIPCION","NO SE PUEDE COMENZAR SIN CÓDIGO DE TAREA",
IF(C444="","FALTA CÓDIGO DE TAREA",
CONCATENATE("          ",VLOOKUP(B445,'Maestro Materiales'!A:C,3,FALSE)))),IFERROR(VLOOKUP(B445,#REF!,5,FALSE),"No encontrado. Revisar código, fecha ejecución y/o contrato."))))))))</f>
        <v/>
      </c>
      <c r="D445" s="88" t="str">
        <f>IF(B445="","",
IFERROR(VLOOKUP(B445,'Maestro Materiales'!A:C,2,FALSE),
IFERROR(VLOOKUP(B445,'Baremos actuales'!A:B,2,FALSE),
IFERROR(VLOOKUP(B445,'Baremos anteriores'!A:B,2,FALSE),
""))))</f>
        <v/>
      </c>
      <c r="E445" s="9"/>
      <c r="F445" s="89" t="str">
        <f>IF(D445="MATE",
IF(E445="","¿Unidades?",""),
IF(D445="",IF(E445="","","¿Código?"),
IF(E445="","¿Unidades?",
IF(D445="TARE",
IF(M445=$H$3,IFERROR(VLOOKUP(B445,'Baremos actuales'!A:C,3,FALSE),0),
IF(M445=$H$4,IFERROR(VLOOKUP(B445,'Baremos anteriores'!A:C,3,FALSE),0),0))))))</f>
        <v/>
      </c>
      <c r="G445" s="7"/>
      <c r="H445" s="8"/>
      <c r="I445" s="8"/>
      <c r="J445" s="78" t="str">
        <f>IF($D445="","",
IF($E445="","",
IF($D445="MATE","",
IF(VLOOKUP($B445,'Baremos actuales'!A:D,4,FALSE)=J$9,$E445*$F445,IF(VLOOKUP($B445,'Baremos anteriores'!A:D,4,FALSE)="Sin Definir",$E445*$F445,"")))))</f>
        <v/>
      </c>
      <c r="K445" s="79" t="str">
        <f>IF($D445="","",
IF($E445="","",
IF($D445="MATE","",
IF(VLOOKUP($B445,'Baremos actuales'!$A:$D,4,FALSE)=K$9,$E445*$F445,IF(VLOOKUP($B445,'Baremos anteriores'!$A:$D,4,FALSE)="Desmonte",$E445*$F445,"")))))</f>
        <v/>
      </c>
      <c r="L445" s="80" t="str">
        <f>IF($D445="","",
IF($E445="","",
IF($D445="MATE","",
IF(VLOOKUP($B445,'Baremos actuales'!$A:$D,4,FALSE)=L$9,$E445*$F445,""))))</f>
        <v/>
      </c>
      <c r="M445" s="91" t="str">
        <f t="shared" si="6"/>
        <v/>
      </c>
      <c r="N445" s="96"/>
      <c r="O445" s="95"/>
      <c r="P445" s="96"/>
      <c r="Q445" s="98"/>
    </row>
    <row r="446" spans="1:17" ht="15.75" x14ac:dyDescent="0.2">
      <c r="A446" s="17"/>
      <c r="B446" s="18"/>
      <c r="C446" s="87" t="str">
        <f>IF(B446="","",
IF(M446=$H$5,IFERROR(VLOOKUP(B446,'Baremos actuales'!A:E,5,FALSE),"No encontrado. Revisar código, fecha ejecución y/o contrato."),
IF(M446=$H$4,IFERROR(VLOOKUP(B446,'Baremos anteriores'!A:E,5,FALSE),"No encontrado. Revisar código, fecha ejecución y/o contrato."),
IF(M446=$H$3,IFERROR(VLOOKUP(B446,#REF!,5,FALSE),"No encontrado. Revisar código, fecha ejecución y/o contrato."),
IF(D446="","Código no encontrado",
IF(D446="ERROR","No encontrado. Revisar Código, fecha de ejecución y/o contrato.",
IF(D446="MATE",
IF(C445="DESCRIPCION","NO SE PUEDE COMENZAR SIN CÓDIGO DE TAREA",
IF(C445="","FALTA CÓDIGO DE TAREA",
CONCATENATE("          ",VLOOKUP(B446,'Maestro Materiales'!A:C,3,FALSE)))),IFERROR(VLOOKUP(B446,#REF!,5,FALSE),"No encontrado. Revisar código, fecha ejecución y/o contrato."))))))))</f>
        <v/>
      </c>
      <c r="D446" s="88" t="str">
        <f>IF(B446="","",
IFERROR(VLOOKUP(B446,'Maestro Materiales'!A:C,2,FALSE),
IFERROR(VLOOKUP(B446,'Baremos actuales'!A:B,2,FALSE),
IFERROR(VLOOKUP(B446,'Baremos anteriores'!A:B,2,FALSE),
""))))</f>
        <v/>
      </c>
      <c r="E446" s="9"/>
      <c r="F446" s="89" t="str">
        <f>IF(D446="MATE",
IF(E446="","¿Unidades?",""),
IF(D446="",IF(E446="","","¿Código?"),
IF(E446="","¿Unidades?",
IF(D446="TARE",
IF(M446=$H$3,IFERROR(VLOOKUP(B446,'Baremos actuales'!A:C,3,FALSE),0),
IF(M446=$H$4,IFERROR(VLOOKUP(B446,'Baremos anteriores'!A:C,3,FALSE),0),0))))))</f>
        <v/>
      </c>
      <c r="G446" s="7"/>
      <c r="H446" s="8"/>
      <c r="I446" s="8"/>
      <c r="J446" s="78" t="str">
        <f>IF($D446="","",
IF($E446="","",
IF($D446="MATE","",
IF(VLOOKUP($B446,'Baremos actuales'!A:D,4,FALSE)=J$9,$E446*$F446,IF(VLOOKUP($B446,'Baremos anteriores'!A:D,4,FALSE)="Sin Definir",$E446*$F446,"")))))</f>
        <v/>
      </c>
      <c r="K446" s="79" t="str">
        <f>IF($D446="","",
IF($E446="","",
IF($D446="MATE","",
IF(VLOOKUP($B446,'Baremos actuales'!$A:$D,4,FALSE)=K$9,$E446*$F446,IF(VLOOKUP($B446,'Baremos anteriores'!$A:$D,4,FALSE)="Desmonte",$E446*$F446,"")))))</f>
        <v/>
      </c>
      <c r="L446" s="80" t="str">
        <f>IF($D446="","",
IF($E446="","",
IF($D446="MATE","",
IF(VLOOKUP($B446,'Baremos actuales'!$A:$D,4,FALSE)=L$9,$E446*$F446,""))))</f>
        <v/>
      </c>
      <c r="M446" s="91" t="str">
        <f t="shared" si="6"/>
        <v/>
      </c>
      <c r="N446" s="96"/>
      <c r="O446" s="95"/>
      <c r="P446" s="96"/>
      <c r="Q446" s="98"/>
    </row>
    <row r="447" spans="1:17" ht="15.75" x14ac:dyDescent="0.2">
      <c r="A447" s="17"/>
      <c r="B447" s="18"/>
      <c r="C447" s="87" t="str">
        <f>IF(B447="","",
IF(M447=$H$5,IFERROR(VLOOKUP(B447,'Baremos actuales'!A:E,5,FALSE),"No encontrado. Revisar código, fecha ejecución y/o contrato."),
IF(M447=$H$4,IFERROR(VLOOKUP(B447,'Baremos anteriores'!A:E,5,FALSE),"No encontrado. Revisar código, fecha ejecución y/o contrato."),
IF(M447=$H$3,IFERROR(VLOOKUP(B447,#REF!,5,FALSE),"No encontrado. Revisar código, fecha ejecución y/o contrato."),
IF(D447="","Código no encontrado",
IF(D447="ERROR","No encontrado. Revisar Código, fecha de ejecución y/o contrato.",
IF(D447="MATE",
IF(C446="DESCRIPCION","NO SE PUEDE COMENZAR SIN CÓDIGO DE TAREA",
IF(C446="","FALTA CÓDIGO DE TAREA",
CONCATENATE("          ",VLOOKUP(B447,'Maestro Materiales'!A:C,3,FALSE)))),IFERROR(VLOOKUP(B447,#REF!,5,FALSE),"No encontrado. Revisar código, fecha ejecución y/o contrato."))))))))</f>
        <v/>
      </c>
      <c r="D447" s="88" t="str">
        <f>IF(B447="","",
IFERROR(VLOOKUP(B447,'Maestro Materiales'!A:C,2,FALSE),
IFERROR(VLOOKUP(B447,'Baremos actuales'!A:B,2,FALSE),
IFERROR(VLOOKUP(B447,'Baremos anteriores'!A:B,2,FALSE),
""))))</f>
        <v/>
      </c>
      <c r="E447" s="9"/>
      <c r="F447" s="89" t="str">
        <f>IF(D447="MATE",
IF(E447="","¿Unidades?",""),
IF(D447="",IF(E447="","","¿Código?"),
IF(E447="","¿Unidades?",
IF(D447="TARE",
IF(M447=$H$3,IFERROR(VLOOKUP(B447,'Baremos actuales'!A:C,3,FALSE),0),
IF(M447=$H$4,IFERROR(VLOOKUP(B447,'Baremos anteriores'!A:C,3,FALSE),0),0))))))</f>
        <v/>
      </c>
      <c r="G447" s="7"/>
      <c r="H447" s="8"/>
      <c r="I447" s="8"/>
      <c r="J447" s="78" t="str">
        <f>IF($D447="","",
IF($E447="","",
IF($D447="MATE","",
IF(VLOOKUP($B447,'Baremos actuales'!A:D,4,FALSE)=J$9,$E447*$F447,IF(VLOOKUP($B447,'Baremos anteriores'!A:D,4,FALSE)="Sin Definir",$E447*$F447,"")))))</f>
        <v/>
      </c>
      <c r="K447" s="79" t="str">
        <f>IF($D447="","",
IF($E447="","",
IF($D447="MATE","",
IF(VLOOKUP($B447,'Baremos actuales'!$A:$D,4,FALSE)=K$9,$E447*$F447,IF(VLOOKUP($B447,'Baremos anteriores'!$A:$D,4,FALSE)="Desmonte",$E447*$F447,"")))))</f>
        <v/>
      </c>
      <c r="L447" s="80" t="str">
        <f>IF($D447="","",
IF($E447="","",
IF($D447="MATE","",
IF(VLOOKUP($B447,'Baremos actuales'!$A:$D,4,FALSE)=L$9,$E447*$F447,""))))</f>
        <v/>
      </c>
      <c r="M447" s="91" t="str">
        <f t="shared" si="6"/>
        <v/>
      </c>
      <c r="N447" s="96"/>
      <c r="O447" s="95"/>
      <c r="P447" s="96"/>
      <c r="Q447" s="98"/>
    </row>
    <row r="448" spans="1:17" ht="15.75" x14ac:dyDescent="0.2">
      <c r="A448" s="17"/>
      <c r="B448" s="18"/>
      <c r="C448" s="87" t="str">
        <f>IF(B448="","",
IF(M448=$H$5,IFERROR(VLOOKUP(B448,'Baremos actuales'!A:E,5,FALSE),"No encontrado. Revisar código, fecha ejecución y/o contrato."),
IF(M448=$H$4,IFERROR(VLOOKUP(B448,'Baremos anteriores'!A:E,5,FALSE),"No encontrado. Revisar código, fecha ejecución y/o contrato."),
IF(M448=$H$3,IFERROR(VLOOKUP(B448,#REF!,5,FALSE),"No encontrado. Revisar código, fecha ejecución y/o contrato."),
IF(D448="","Código no encontrado",
IF(D448="ERROR","No encontrado. Revisar Código, fecha de ejecución y/o contrato.",
IF(D448="MATE",
IF(C447="DESCRIPCION","NO SE PUEDE COMENZAR SIN CÓDIGO DE TAREA",
IF(C447="","FALTA CÓDIGO DE TAREA",
CONCATENATE("          ",VLOOKUP(B448,'Maestro Materiales'!A:C,3,FALSE)))),IFERROR(VLOOKUP(B448,#REF!,5,FALSE),"No encontrado. Revisar código, fecha ejecución y/o contrato."))))))))</f>
        <v/>
      </c>
      <c r="D448" s="88" t="str">
        <f>IF(B448="","",
IFERROR(VLOOKUP(B448,'Maestro Materiales'!A:C,2,FALSE),
IFERROR(VLOOKUP(B448,'Baremos actuales'!A:B,2,FALSE),
IFERROR(VLOOKUP(B448,'Baremos anteriores'!A:B,2,FALSE),
""))))</f>
        <v/>
      </c>
      <c r="E448" s="9"/>
      <c r="F448" s="89" t="str">
        <f>IF(D448="MATE",
IF(E448="","¿Unidades?",""),
IF(D448="",IF(E448="","","¿Código?"),
IF(E448="","¿Unidades?",
IF(D448="TARE",
IF(M448=$H$3,IFERROR(VLOOKUP(B448,'Baremos actuales'!A:C,3,FALSE),0),
IF(M448=$H$4,IFERROR(VLOOKUP(B448,'Baremos anteriores'!A:C,3,FALSE),0),0))))))</f>
        <v/>
      </c>
      <c r="G448" s="7"/>
      <c r="H448" s="8"/>
      <c r="I448" s="8"/>
      <c r="J448" s="78" t="str">
        <f>IF($D448="","",
IF($E448="","",
IF($D448="MATE","",
IF(VLOOKUP($B448,'Baremos actuales'!A:D,4,FALSE)=J$9,$E448*$F448,IF(VLOOKUP($B448,'Baremos anteriores'!A:D,4,FALSE)="Sin Definir",$E448*$F448,"")))))</f>
        <v/>
      </c>
      <c r="K448" s="79" t="str">
        <f>IF($D448="","",
IF($E448="","",
IF($D448="MATE","",
IF(VLOOKUP($B448,'Baremos actuales'!$A:$D,4,FALSE)=K$9,$E448*$F448,IF(VLOOKUP($B448,'Baremos anteriores'!$A:$D,4,FALSE)="Desmonte",$E448*$F448,"")))))</f>
        <v/>
      </c>
      <c r="L448" s="80" t="str">
        <f>IF($D448="","",
IF($E448="","",
IF($D448="MATE","",
IF(VLOOKUP($B448,'Baremos actuales'!$A:$D,4,FALSE)=L$9,$E448*$F448,""))))</f>
        <v/>
      </c>
      <c r="M448" s="91" t="str">
        <f t="shared" si="6"/>
        <v/>
      </c>
      <c r="N448" s="96"/>
      <c r="O448" s="95"/>
      <c r="P448" s="96"/>
      <c r="Q448" s="98"/>
    </row>
    <row r="449" spans="1:17" ht="15.75" x14ac:dyDescent="0.2">
      <c r="A449" s="17"/>
      <c r="B449" s="18"/>
      <c r="C449" s="87" t="str">
        <f>IF(B449="","",
IF(M449=$H$5,IFERROR(VLOOKUP(B449,'Baremos actuales'!A:E,5,FALSE),"No encontrado. Revisar código, fecha ejecución y/o contrato."),
IF(M449=$H$4,IFERROR(VLOOKUP(B449,'Baremos anteriores'!A:E,5,FALSE),"No encontrado. Revisar código, fecha ejecución y/o contrato."),
IF(M449=$H$3,IFERROR(VLOOKUP(B449,#REF!,5,FALSE),"No encontrado. Revisar código, fecha ejecución y/o contrato."),
IF(D449="","Código no encontrado",
IF(D449="ERROR","No encontrado. Revisar Código, fecha de ejecución y/o contrato.",
IF(D449="MATE",
IF(C448="DESCRIPCION","NO SE PUEDE COMENZAR SIN CÓDIGO DE TAREA",
IF(C448="","FALTA CÓDIGO DE TAREA",
CONCATENATE("          ",VLOOKUP(B449,'Maestro Materiales'!A:C,3,FALSE)))),IFERROR(VLOOKUP(B449,#REF!,5,FALSE),"No encontrado. Revisar código, fecha ejecución y/o contrato."))))))))</f>
        <v/>
      </c>
      <c r="D449" s="88" t="str">
        <f>IF(B449="","",
IFERROR(VLOOKUP(B449,'Maestro Materiales'!A:C,2,FALSE),
IFERROR(VLOOKUP(B449,'Baremos actuales'!A:B,2,FALSE),
IFERROR(VLOOKUP(B449,'Baremos anteriores'!A:B,2,FALSE),
""))))</f>
        <v/>
      </c>
      <c r="E449" s="9"/>
      <c r="F449" s="89" t="str">
        <f>IF(D449="MATE",
IF(E449="","¿Unidades?",""),
IF(D449="",IF(E449="","","¿Código?"),
IF(E449="","¿Unidades?",
IF(D449="TARE",
IF(M449=$H$3,IFERROR(VLOOKUP(B449,'Baremos actuales'!A:C,3,FALSE),0),
IF(M449=$H$4,IFERROR(VLOOKUP(B449,'Baremos anteriores'!A:C,3,FALSE),0),0))))))</f>
        <v/>
      </c>
      <c r="G449" s="7"/>
      <c r="H449" s="8"/>
      <c r="I449" s="8"/>
      <c r="J449" s="78" t="str">
        <f>IF($D449="","",
IF($E449="","",
IF($D449="MATE","",
IF(VLOOKUP($B449,'Baremos actuales'!A:D,4,FALSE)=J$9,$E449*$F449,IF(VLOOKUP($B449,'Baremos anteriores'!A:D,4,FALSE)="Sin Definir",$E449*$F449,"")))))</f>
        <v/>
      </c>
      <c r="K449" s="79" t="str">
        <f>IF($D449="","",
IF($E449="","",
IF($D449="MATE","",
IF(VLOOKUP($B449,'Baremos actuales'!$A:$D,4,FALSE)=K$9,$E449*$F449,IF(VLOOKUP($B449,'Baremos anteriores'!$A:$D,4,FALSE)="Desmonte",$E449*$F449,"")))))</f>
        <v/>
      </c>
      <c r="L449" s="80" t="str">
        <f>IF($D449="","",
IF($E449="","",
IF($D449="MATE","",
IF(VLOOKUP($B449,'Baremos actuales'!$A:$D,4,FALSE)=L$9,$E449*$F449,""))))</f>
        <v/>
      </c>
      <c r="M449" s="91" t="str">
        <f t="shared" si="6"/>
        <v/>
      </c>
      <c r="N449" s="96"/>
      <c r="O449" s="95"/>
      <c r="P449" s="96"/>
      <c r="Q449" s="98"/>
    </row>
    <row r="450" spans="1:17" ht="15.75" x14ac:dyDescent="0.2">
      <c r="A450" s="17"/>
      <c r="B450" s="18"/>
      <c r="C450" s="87" t="str">
        <f>IF(B450="","",
IF(M450=$H$5,IFERROR(VLOOKUP(B450,'Baremos actuales'!A:E,5,FALSE),"No encontrado. Revisar código, fecha ejecución y/o contrato."),
IF(M450=$H$4,IFERROR(VLOOKUP(B450,'Baremos anteriores'!A:E,5,FALSE),"No encontrado. Revisar código, fecha ejecución y/o contrato."),
IF(M450=$H$3,IFERROR(VLOOKUP(B450,#REF!,5,FALSE),"No encontrado. Revisar código, fecha ejecución y/o contrato."),
IF(D450="","Código no encontrado",
IF(D450="ERROR","No encontrado. Revisar Código, fecha de ejecución y/o contrato.",
IF(D450="MATE",
IF(C449="DESCRIPCION","NO SE PUEDE COMENZAR SIN CÓDIGO DE TAREA",
IF(C449="","FALTA CÓDIGO DE TAREA",
CONCATENATE("          ",VLOOKUP(B450,'Maestro Materiales'!A:C,3,FALSE)))),IFERROR(VLOOKUP(B450,#REF!,5,FALSE),"No encontrado. Revisar código, fecha ejecución y/o contrato."))))))))</f>
        <v/>
      </c>
      <c r="D450" s="88" t="str">
        <f>IF(B450="","",
IFERROR(VLOOKUP(B450,'Maestro Materiales'!A:C,2,FALSE),
IFERROR(VLOOKUP(B450,'Baremos actuales'!A:B,2,FALSE),
IFERROR(VLOOKUP(B450,'Baremos anteriores'!A:B,2,FALSE),
""))))</f>
        <v/>
      </c>
      <c r="E450" s="9"/>
      <c r="F450" s="89" t="str">
        <f>IF(D450="MATE",
IF(E450="","¿Unidades?",""),
IF(D450="",IF(E450="","","¿Código?"),
IF(E450="","¿Unidades?",
IF(D450="TARE",
IF(M450=$H$3,IFERROR(VLOOKUP(B450,'Baremos actuales'!A:C,3,FALSE),0),
IF(M450=$H$4,IFERROR(VLOOKUP(B450,'Baremos anteriores'!A:C,3,FALSE),0),0))))))</f>
        <v/>
      </c>
      <c r="G450" s="7"/>
      <c r="H450" s="8"/>
      <c r="I450" s="8"/>
      <c r="J450" s="78" t="str">
        <f>IF($D450="","",
IF($E450="","",
IF($D450="MATE","",
IF(VLOOKUP($B450,'Baremos actuales'!A:D,4,FALSE)=J$9,$E450*$F450,IF(VLOOKUP($B450,'Baremos anteriores'!A:D,4,FALSE)="Sin Definir",$E450*$F450,"")))))</f>
        <v/>
      </c>
      <c r="K450" s="79" t="str">
        <f>IF($D450="","",
IF($E450="","",
IF($D450="MATE","",
IF(VLOOKUP($B450,'Baremos actuales'!$A:$D,4,FALSE)=K$9,$E450*$F450,IF(VLOOKUP($B450,'Baremos anteriores'!$A:$D,4,FALSE)="Desmonte",$E450*$F450,"")))))</f>
        <v/>
      </c>
      <c r="L450" s="80" t="str">
        <f>IF($D450="","",
IF($E450="","",
IF($D450="MATE","",
IF(VLOOKUP($B450,'Baremos actuales'!$A:$D,4,FALSE)=L$9,$E450*$F450,""))))</f>
        <v/>
      </c>
      <c r="M450" s="91" t="str">
        <f t="shared" si="6"/>
        <v/>
      </c>
      <c r="N450" s="96"/>
      <c r="O450" s="95"/>
      <c r="P450" s="96"/>
      <c r="Q450" s="98"/>
    </row>
    <row r="451" spans="1:17" ht="15.75" x14ac:dyDescent="0.2">
      <c r="A451" s="17"/>
      <c r="B451" s="18"/>
      <c r="C451" s="87" t="str">
        <f>IF(B451="","",
IF(M451=$H$5,IFERROR(VLOOKUP(B451,'Baremos actuales'!A:E,5,FALSE),"No encontrado. Revisar código, fecha ejecución y/o contrato."),
IF(M451=$H$4,IFERROR(VLOOKUP(B451,'Baremos anteriores'!A:E,5,FALSE),"No encontrado. Revisar código, fecha ejecución y/o contrato."),
IF(M451=$H$3,IFERROR(VLOOKUP(B451,#REF!,5,FALSE),"No encontrado. Revisar código, fecha ejecución y/o contrato."),
IF(D451="","Código no encontrado",
IF(D451="ERROR","No encontrado. Revisar Código, fecha de ejecución y/o contrato.",
IF(D451="MATE",
IF(C450="DESCRIPCION","NO SE PUEDE COMENZAR SIN CÓDIGO DE TAREA",
IF(C450="","FALTA CÓDIGO DE TAREA",
CONCATENATE("          ",VLOOKUP(B451,'Maestro Materiales'!A:C,3,FALSE)))),IFERROR(VLOOKUP(B451,#REF!,5,FALSE),"No encontrado. Revisar código, fecha ejecución y/o contrato."))))))))</f>
        <v/>
      </c>
      <c r="D451" s="88" t="str">
        <f>IF(B451="","",
IFERROR(VLOOKUP(B451,'Maestro Materiales'!A:C,2,FALSE),
IFERROR(VLOOKUP(B451,'Baremos actuales'!A:B,2,FALSE),
IFERROR(VLOOKUP(B451,'Baremos anteriores'!A:B,2,FALSE),
""))))</f>
        <v/>
      </c>
      <c r="E451" s="9"/>
      <c r="F451" s="89" t="str">
        <f>IF(D451="MATE",
IF(E451="","¿Unidades?",""),
IF(D451="",IF(E451="","","¿Código?"),
IF(E451="","¿Unidades?",
IF(D451="TARE",
IF(M451=$H$3,IFERROR(VLOOKUP(B451,'Baremos actuales'!A:C,3,FALSE),0),
IF(M451=$H$4,IFERROR(VLOOKUP(B451,'Baremos anteriores'!A:C,3,FALSE),0),0))))))</f>
        <v/>
      </c>
      <c r="G451" s="7"/>
      <c r="H451" s="8"/>
      <c r="I451" s="8"/>
      <c r="J451" s="78" t="str">
        <f>IF($D451="","",
IF($E451="","",
IF($D451="MATE","",
IF(VLOOKUP($B451,'Baremos actuales'!A:D,4,FALSE)=J$9,$E451*$F451,IF(VLOOKUP($B451,'Baremos anteriores'!A:D,4,FALSE)="Sin Definir",$E451*$F451,"")))))</f>
        <v/>
      </c>
      <c r="K451" s="79" t="str">
        <f>IF($D451="","",
IF($E451="","",
IF($D451="MATE","",
IF(VLOOKUP($B451,'Baremos actuales'!$A:$D,4,FALSE)=K$9,$E451*$F451,IF(VLOOKUP($B451,'Baremos anteriores'!$A:$D,4,FALSE)="Desmonte",$E451*$F451,"")))))</f>
        <v/>
      </c>
      <c r="L451" s="80" t="str">
        <f>IF($D451="","",
IF($E451="","",
IF($D451="MATE","",
IF(VLOOKUP($B451,'Baremos actuales'!$A:$D,4,FALSE)=L$9,$E451*$F451,""))))</f>
        <v/>
      </c>
      <c r="M451" s="91" t="str">
        <f t="shared" si="6"/>
        <v/>
      </c>
      <c r="N451" s="96"/>
      <c r="O451" s="95"/>
      <c r="P451" s="96"/>
      <c r="Q451" s="98"/>
    </row>
    <row r="452" spans="1:17" ht="15.75" x14ac:dyDescent="0.2">
      <c r="A452" s="17"/>
      <c r="B452" s="18"/>
      <c r="C452" s="87" t="str">
        <f>IF(B452="","",
IF(M452=$H$5,IFERROR(VLOOKUP(B452,'Baremos actuales'!A:E,5,FALSE),"No encontrado. Revisar código, fecha ejecución y/o contrato."),
IF(M452=$H$4,IFERROR(VLOOKUP(B452,'Baremos anteriores'!A:E,5,FALSE),"No encontrado. Revisar código, fecha ejecución y/o contrato."),
IF(M452=$H$3,IFERROR(VLOOKUP(B452,#REF!,5,FALSE),"No encontrado. Revisar código, fecha ejecución y/o contrato."),
IF(D452="","Código no encontrado",
IF(D452="ERROR","No encontrado. Revisar Código, fecha de ejecución y/o contrato.",
IF(D452="MATE",
IF(C451="DESCRIPCION","NO SE PUEDE COMENZAR SIN CÓDIGO DE TAREA",
IF(C451="","FALTA CÓDIGO DE TAREA",
CONCATENATE("          ",VLOOKUP(B452,'Maestro Materiales'!A:C,3,FALSE)))),IFERROR(VLOOKUP(B452,#REF!,5,FALSE),"No encontrado. Revisar código, fecha ejecución y/o contrato."))))))))</f>
        <v/>
      </c>
      <c r="D452" s="88" t="str">
        <f>IF(B452="","",
IFERROR(VLOOKUP(B452,'Maestro Materiales'!A:C,2,FALSE),
IFERROR(VLOOKUP(B452,'Baremos actuales'!A:B,2,FALSE),
IFERROR(VLOOKUP(B452,'Baremos anteriores'!A:B,2,FALSE),
""))))</f>
        <v/>
      </c>
      <c r="E452" s="9"/>
      <c r="F452" s="89" t="str">
        <f>IF(D452="MATE",
IF(E452="","¿Unidades?",""),
IF(D452="",IF(E452="","","¿Código?"),
IF(E452="","¿Unidades?",
IF(D452="TARE",
IF(M452=$H$3,IFERROR(VLOOKUP(B452,'Baremos actuales'!A:C,3,FALSE),0),
IF(M452=$H$4,IFERROR(VLOOKUP(B452,'Baremos anteriores'!A:C,3,FALSE),0),0))))))</f>
        <v/>
      </c>
      <c r="G452" s="7"/>
      <c r="H452" s="8"/>
      <c r="I452" s="8"/>
      <c r="J452" s="78" t="str">
        <f>IF($D452="","",
IF($E452="","",
IF($D452="MATE","",
IF(VLOOKUP($B452,'Baremos actuales'!A:D,4,FALSE)=J$9,$E452*$F452,IF(VLOOKUP($B452,'Baremos anteriores'!A:D,4,FALSE)="Sin Definir",$E452*$F452,"")))))</f>
        <v/>
      </c>
      <c r="K452" s="79" t="str">
        <f>IF($D452="","",
IF($E452="","",
IF($D452="MATE","",
IF(VLOOKUP($B452,'Baremos actuales'!$A:$D,4,FALSE)=K$9,$E452*$F452,IF(VLOOKUP($B452,'Baremos anteriores'!$A:$D,4,FALSE)="Desmonte",$E452*$F452,"")))))</f>
        <v/>
      </c>
      <c r="L452" s="80" t="str">
        <f>IF($D452="","",
IF($E452="","",
IF($D452="MATE","",
IF(VLOOKUP($B452,'Baremos actuales'!$A:$D,4,FALSE)=L$9,$E452*$F452,""))))</f>
        <v/>
      </c>
      <c r="M452" s="91" t="str">
        <f t="shared" si="6"/>
        <v/>
      </c>
      <c r="N452" s="96"/>
      <c r="O452" s="95"/>
      <c r="P452" s="96"/>
      <c r="Q452" s="98"/>
    </row>
    <row r="453" spans="1:17" ht="15.75" x14ac:dyDescent="0.2">
      <c r="A453" s="17"/>
      <c r="B453" s="18"/>
      <c r="C453" s="87" t="str">
        <f>IF(B453="","",
IF(M453=$H$5,IFERROR(VLOOKUP(B453,'Baremos actuales'!A:E,5,FALSE),"No encontrado. Revisar código, fecha ejecución y/o contrato."),
IF(M453=$H$4,IFERROR(VLOOKUP(B453,'Baremos anteriores'!A:E,5,FALSE),"No encontrado. Revisar código, fecha ejecución y/o contrato."),
IF(M453=$H$3,IFERROR(VLOOKUP(B453,#REF!,5,FALSE),"No encontrado. Revisar código, fecha ejecución y/o contrato."),
IF(D453="","Código no encontrado",
IF(D453="ERROR","No encontrado. Revisar Código, fecha de ejecución y/o contrato.",
IF(D453="MATE",
IF(C452="DESCRIPCION","NO SE PUEDE COMENZAR SIN CÓDIGO DE TAREA",
IF(C452="","FALTA CÓDIGO DE TAREA",
CONCATENATE("          ",VLOOKUP(B453,'Maestro Materiales'!A:C,3,FALSE)))),IFERROR(VLOOKUP(B453,#REF!,5,FALSE),"No encontrado. Revisar código, fecha ejecución y/o contrato."))))))))</f>
        <v/>
      </c>
      <c r="D453" s="88" t="str">
        <f>IF(B453="","",
IFERROR(VLOOKUP(B453,'Maestro Materiales'!A:C,2,FALSE),
IFERROR(VLOOKUP(B453,'Baremos actuales'!A:B,2,FALSE),
IFERROR(VLOOKUP(B453,'Baremos anteriores'!A:B,2,FALSE),
""))))</f>
        <v/>
      </c>
      <c r="E453" s="9"/>
      <c r="F453" s="89" t="str">
        <f>IF(D453="MATE",
IF(E453="","¿Unidades?",""),
IF(D453="",IF(E453="","","¿Código?"),
IF(E453="","¿Unidades?",
IF(D453="TARE",
IF(M453=$H$3,IFERROR(VLOOKUP(B453,'Baremos actuales'!A:C,3,FALSE),0),
IF(M453=$H$4,IFERROR(VLOOKUP(B453,'Baremos anteriores'!A:C,3,FALSE),0),0))))))</f>
        <v/>
      </c>
      <c r="G453" s="7"/>
      <c r="H453" s="8"/>
      <c r="I453" s="8"/>
      <c r="J453" s="78" t="str">
        <f>IF($D453="","",
IF($E453="","",
IF($D453="MATE","",
IF(VLOOKUP($B453,'Baremos actuales'!A:D,4,FALSE)=J$9,$E453*$F453,IF(VLOOKUP($B453,'Baremos anteriores'!A:D,4,FALSE)="Sin Definir",$E453*$F453,"")))))</f>
        <v/>
      </c>
      <c r="K453" s="79" t="str">
        <f>IF($D453="","",
IF($E453="","",
IF($D453="MATE","",
IF(VLOOKUP($B453,'Baremos actuales'!$A:$D,4,FALSE)=K$9,$E453*$F453,IF(VLOOKUP($B453,'Baremos anteriores'!$A:$D,4,FALSE)="Desmonte",$E453*$F453,"")))))</f>
        <v/>
      </c>
      <c r="L453" s="80" t="str">
        <f>IF($D453="","",
IF($E453="","",
IF($D453="MATE","",
IF(VLOOKUP($B453,'Baremos actuales'!$A:$D,4,FALSE)=L$9,$E453*$F453,""))))</f>
        <v/>
      </c>
      <c r="M453" s="91" t="str">
        <f t="shared" si="6"/>
        <v/>
      </c>
      <c r="N453" s="96"/>
      <c r="O453" s="95"/>
      <c r="P453" s="96"/>
      <c r="Q453" s="98"/>
    </row>
    <row r="454" spans="1:17" ht="15.75" x14ac:dyDescent="0.2">
      <c r="A454" s="17"/>
      <c r="B454" s="18"/>
      <c r="C454" s="87" t="str">
        <f>IF(B454="","",
IF(M454=$H$5,IFERROR(VLOOKUP(B454,'Baremos actuales'!A:E,5,FALSE),"No encontrado. Revisar código, fecha ejecución y/o contrato."),
IF(M454=$H$4,IFERROR(VLOOKUP(B454,'Baremos anteriores'!A:E,5,FALSE),"No encontrado. Revisar código, fecha ejecución y/o contrato."),
IF(M454=$H$3,IFERROR(VLOOKUP(B454,#REF!,5,FALSE),"No encontrado. Revisar código, fecha ejecución y/o contrato."),
IF(D454="","Código no encontrado",
IF(D454="ERROR","No encontrado. Revisar Código, fecha de ejecución y/o contrato.",
IF(D454="MATE",
IF(C453="DESCRIPCION","NO SE PUEDE COMENZAR SIN CÓDIGO DE TAREA",
IF(C453="","FALTA CÓDIGO DE TAREA",
CONCATENATE("          ",VLOOKUP(B454,'Maestro Materiales'!A:C,3,FALSE)))),IFERROR(VLOOKUP(B454,#REF!,5,FALSE),"No encontrado. Revisar código, fecha ejecución y/o contrato."))))))))</f>
        <v/>
      </c>
      <c r="D454" s="88" t="str">
        <f>IF(B454="","",
IFERROR(VLOOKUP(B454,'Maestro Materiales'!A:C,2,FALSE),
IFERROR(VLOOKUP(B454,'Baremos actuales'!A:B,2,FALSE),
IFERROR(VLOOKUP(B454,'Baremos anteriores'!A:B,2,FALSE),
""))))</f>
        <v/>
      </c>
      <c r="E454" s="9"/>
      <c r="F454" s="89" t="str">
        <f>IF(D454="MATE",
IF(E454="","¿Unidades?",""),
IF(D454="",IF(E454="","","¿Código?"),
IF(E454="","¿Unidades?",
IF(D454="TARE",
IF(M454=$H$3,IFERROR(VLOOKUP(B454,'Baremos actuales'!A:C,3,FALSE),0),
IF(M454=$H$4,IFERROR(VLOOKUP(B454,'Baremos anteriores'!A:C,3,FALSE),0),0))))))</f>
        <v/>
      </c>
      <c r="G454" s="7"/>
      <c r="H454" s="8"/>
      <c r="I454" s="8"/>
      <c r="J454" s="78" t="str">
        <f>IF($D454="","",
IF($E454="","",
IF($D454="MATE","",
IF(VLOOKUP($B454,'Baremos actuales'!A:D,4,FALSE)=J$9,$E454*$F454,IF(VLOOKUP($B454,'Baremos anteriores'!A:D,4,FALSE)="Sin Definir",$E454*$F454,"")))))</f>
        <v/>
      </c>
      <c r="K454" s="79" t="str">
        <f>IF($D454="","",
IF($E454="","",
IF($D454="MATE","",
IF(VLOOKUP($B454,'Baremos actuales'!$A:$D,4,FALSE)=K$9,$E454*$F454,IF(VLOOKUP($B454,'Baremos anteriores'!$A:$D,4,FALSE)="Desmonte",$E454*$F454,"")))))</f>
        <v/>
      </c>
      <c r="L454" s="80" t="str">
        <f>IF($D454="","",
IF($E454="","",
IF($D454="MATE","",
IF(VLOOKUP($B454,'Baremos actuales'!$A:$D,4,FALSE)=L$9,$E454*$F454,""))))</f>
        <v/>
      </c>
      <c r="M454" s="91" t="str">
        <f t="shared" si="6"/>
        <v/>
      </c>
      <c r="N454" s="96"/>
      <c r="O454" s="95"/>
      <c r="P454" s="96"/>
      <c r="Q454" s="98"/>
    </row>
    <row r="455" spans="1:17" ht="15.75" x14ac:dyDescent="0.2">
      <c r="A455" s="17"/>
      <c r="B455" s="18"/>
      <c r="C455" s="87" t="str">
        <f>IF(B455="","",
IF(M455=$H$5,IFERROR(VLOOKUP(B455,'Baremos actuales'!A:E,5,FALSE),"No encontrado. Revisar código, fecha ejecución y/o contrato."),
IF(M455=$H$4,IFERROR(VLOOKUP(B455,'Baremos anteriores'!A:E,5,FALSE),"No encontrado. Revisar código, fecha ejecución y/o contrato."),
IF(M455=$H$3,IFERROR(VLOOKUP(B455,#REF!,5,FALSE),"No encontrado. Revisar código, fecha ejecución y/o contrato."),
IF(D455="","Código no encontrado",
IF(D455="ERROR","No encontrado. Revisar Código, fecha de ejecución y/o contrato.",
IF(D455="MATE",
IF(C454="DESCRIPCION","NO SE PUEDE COMENZAR SIN CÓDIGO DE TAREA",
IF(C454="","FALTA CÓDIGO DE TAREA",
CONCATENATE("          ",VLOOKUP(B455,'Maestro Materiales'!A:C,3,FALSE)))),IFERROR(VLOOKUP(B455,#REF!,5,FALSE),"No encontrado. Revisar código, fecha ejecución y/o contrato."))))))))</f>
        <v/>
      </c>
      <c r="D455" s="88" t="str">
        <f>IF(B455="","",
IFERROR(VLOOKUP(B455,'Maestro Materiales'!A:C,2,FALSE),
IFERROR(VLOOKUP(B455,'Baremos actuales'!A:B,2,FALSE),
IFERROR(VLOOKUP(B455,'Baremos anteriores'!A:B,2,FALSE),
""))))</f>
        <v/>
      </c>
      <c r="E455" s="9"/>
      <c r="F455" s="89" t="str">
        <f>IF(D455="MATE",
IF(E455="","¿Unidades?",""),
IF(D455="",IF(E455="","","¿Código?"),
IF(E455="","¿Unidades?",
IF(D455="TARE",
IF(M455=$H$3,IFERROR(VLOOKUP(B455,'Baremos actuales'!A:C,3,FALSE),0),
IF(M455=$H$4,IFERROR(VLOOKUP(B455,'Baremos anteriores'!A:C,3,FALSE),0),0))))))</f>
        <v/>
      </c>
      <c r="G455" s="7"/>
      <c r="H455" s="8"/>
      <c r="I455" s="8"/>
      <c r="J455" s="78" t="str">
        <f>IF($D455="","",
IF($E455="","",
IF($D455="MATE","",
IF(VLOOKUP($B455,'Baremos actuales'!A:D,4,FALSE)=J$9,$E455*$F455,IF(VLOOKUP($B455,'Baremos anteriores'!A:D,4,FALSE)="Sin Definir",$E455*$F455,"")))))</f>
        <v/>
      </c>
      <c r="K455" s="79" t="str">
        <f>IF($D455="","",
IF($E455="","",
IF($D455="MATE","",
IF(VLOOKUP($B455,'Baremos actuales'!$A:$D,4,FALSE)=K$9,$E455*$F455,IF(VLOOKUP($B455,'Baremos anteriores'!$A:$D,4,FALSE)="Desmonte",$E455*$F455,"")))))</f>
        <v/>
      </c>
      <c r="L455" s="80" t="str">
        <f>IF($D455="","",
IF($E455="","",
IF($D455="MATE","",
IF(VLOOKUP($B455,'Baremos actuales'!$A:$D,4,FALSE)=L$9,$E455*$F455,""))))</f>
        <v/>
      </c>
      <c r="M455" s="91" t="str">
        <f t="shared" si="6"/>
        <v/>
      </c>
      <c r="N455" s="96"/>
      <c r="O455" s="95"/>
      <c r="P455" s="96"/>
      <c r="Q455" s="98"/>
    </row>
    <row r="456" spans="1:17" ht="15.75" x14ac:dyDescent="0.2">
      <c r="A456" s="17"/>
      <c r="B456" s="18"/>
      <c r="C456" s="87" t="str">
        <f>IF(B456="","",
IF(M456=$H$5,IFERROR(VLOOKUP(B456,'Baremos actuales'!A:E,5,FALSE),"No encontrado. Revisar código, fecha ejecución y/o contrato."),
IF(M456=$H$4,IFERROR(VLOOKUP(B456,'Baremos anteriores'!A:E,5,FALSE),"No encontrado. Revisar código, fecha ejecución y/o contrato."),
IF(M456=$H$3,IFERROR(VLOOKUP(B456,#REF!,5,FALSE),"No encontrado. Revisar código, fecha ejecución y/o contrato."),
IF(D456="","Código no encontrado",
IF(D456="ERROR","No encontrado. Revisar Código, fecha de ejecución y/o contrato.",
IF(D456="MATE",
IF(C455="DESCRIPCION","NO SE PUEDE COMENZAR SIN CÓDIGO DE TAREA",
IF(C455="","FALTA CÓDIGO DE TAREA",
CONCATENATE("          ",VLOOKUP(B456,'Maestro Materiales'!A:C,3,FALSE)))),IFERROR(VLOOKUP(B456,#REF!,5,FALSE),"No encontrado. Revisar código, fecha ejecución y/o contrato."))))))))</f>
        <v/>
      </c>
      <c r="D456" s="88" t="str">
        <f>IF(B456="","",
IFERROR(VLOOKUP(B456,'Maestro Materiales'!A:C,2,FALSE),
IFERROR(VLOOKUP(B456,'Baremos actuales'!A:B,2,FALSE),
IFERROR(VLOOKUP(B456,'Baremos anteriores'!A:B,2,FALSE),
""))))</f>
        <v/>
      </c>
      <c r="E456" s="9"/>
      <c r="F456" s="89" t="str">
        <f>IF(D456="MATE",
IF(E456="","¿Unidades?",""),
IF(D456="",IF(E456="","","¿Código?"),
IF(E456="","¿Unidades?",
IF(D456="TARE",
IF(M456=$H$3,IFERROR(VLOOKUP(B456,'Baremos actuales'!A:C,3,FALSE),0),
IF(M456=$H$4,IFERROR(VLOOKUP(B456,'Baremos anteriores'!A:C,3,FALSE),0),0))))))</f>
        <v/>
      </c>
      <c r="G456" s="7"/>
      <c r="H456" s="8"/>
      <c r="I456" s="8"/>
      <c r="J456" s="78" t="str">
        <f>IF($D456="","",
IF($E456="","",
IF($D456="MATE","",
IF(VLOOKUP($B456,'Baremos actuales'!A:D,4,FALSE)=J$9,$E456*$F456,IF(VLOOKUP($B456,'Baremos anteriores'!A:D,4,FALSE)="Sin Definir",$E456*$F456,"")))))</f>
        <v/>
      </c>
      <c r="K456" s="79" t="str">
        <f>IF($D456="","",
IF($E456="","",
IF($D456="MATE","",
IF(VLOOKUP($B456,'Baremos actuales'!$A:$D,4,FALSE)=K$9,$E456*$F456,IF(VLOOKUP($B456,'Baremos anteriores'!$A:$D,4,FALSE)="Desmonte",$E456*$F456,"")))))</f>
        <v/>
      </c>
      <c r="L456" s="80" t="str">
        <f>IF($D456="","",
IF($E456="","",
IF($D456="MATE","",
IF(VLOOKUP($B456,'Baremos actuales'!$A:$D,4,FALSE)=L$9,$E456*$F456,""))))</f>
        <v/>
      </c>
      <c r="M456" s="91" t="str">
        <f t="shared" si="6"/>
        <v/>
      </c>
      <c r="N456" s="96"/>
      <c r="O456" s="95"/>
      <c r="P456" s="96"/>
      <c r="Q456" s="98"/>
    </row>
    <row r="457" spans="1:17" ht="15.75" x14ac:dyDescent="0.2">
      <c r="A457" s="17"/>
      <c r="B457" s="18"/>
      <c r="C457" s="87" t="str">
        <f>IF(B457="","",
IF(M457=$H$5,IFERROR(VLOOKUP(B457,'Baremos actuales'!A:E,5,FALSE),"No encontrado. Revisar código, fecha ejecución y/o contrato."),
IF(M457=$H$4,IFERROR(VLOOKUP(B457,'Baremos anteriores'!A:E,5,FALSE),"No encontrado. Revisar código, fecha ejecución y/o contrato."),
IF(M457=$H$3,IFERROR(VLOOKUP(B457,#REF!,5,FALSE),"No encontrado. Revisar código, fecha ejecución y/o contrato."),
IF(D457="","Código no encontrado",
IF(D457="ERROR","No encontrado. Revisar Código, fecha de ejecución y/o contrato.",
IF(D457="MATE",
IF(C456="DESCRIPCION","NO SE PUEDE COMENZAR SIN CÓDIGO DE TAREA",
IF(C456="","FALTA CÓDIGO DE TAREA",
CONCATENATE("          ",VLOOKUP(B457,'Maestro Materiales'!A:C,3,FALSE)))),IFERROR(VLOOKUP(B457,#REF!,5,FALSE),"No encontrado. Revisar código, fecha ejecución y/o contrato."))))))))</f>
        <v/>
      </c>
      <c r="D457" s="88" t="str">
        <f>IF(B457="","",
IFERROR(VLOOKUP(B457,'Maestro Materiales'!A:C,2,FALSE),
IFERROR(VLOOKUP(B457,'Baremos actuales'!A:B,2,FALSE),
IFERROR(VLOOKUP(B457,'Baremos anteriores'!A:B,2,FALSE),
""))))</f>
        <v/>
      </c>
      <c r="E457" s="9"/>
      <c r="F457" s="89" t="str">
        <f>IF(D457="MATE",
IF(E457="","¿Unidades?",""),
IF(D457="",IF(E457="","","¿Código?"),
IF(E457="","¿Unidades?",
IF(D457="TARE",
IF(M457=$H$3,IFERROR(VLOOKUP(B457,'Baremos actuales'!A:C,3,FALSE),0),
IF(M457=$H$4,IFERROR(VLOOKUP(B457,'Baremos anteriores'!A:C,3,FALSE),0),0))))))</f>
        <v/>
      </c>
      <c r="G457" s="7"/>
      <c r="H457" s="8"/>
      <c r="I457" s="8"/>
      <c r="J457" s="78" t="str">
        <f>IF($D457="","",
IF($E457="","",
IF($D457="MATE","",
IF(VLOOKUP($B457,'Baremos actuales'!A:D,4,FALSE)=J$9,$E457*$F457,IF(VLOOKUP($B457,'Baremos anteriores'!A:D,4,FALSE)="Sin Definir",$E457*$F457,"")))))</f>
        <v/>
      </c>
      <c r="K457" s="79" t="str">
        <f>IF($D457="","",
IF($E457="","",
IF($D457="MATE","",
IF(VLOOKUP($B457,'Baremos actuales'!$A:$D,4,FALSE)=K$9,$E457*$F457,IF(VLOOKUP($B457,'Baremos anteriores'!$A:$D,4,FALSE)="Desmonte",$E457*$F457,"")))))</f>
        <v/>
      </c>
      <c r="L457" s="80" t="str">
        <f>IF($D457="","",
IF($E457="","",
IF($D457="MATE","",
IF(VLOOKUP($B457,'Baremos actuales'!$A:$D,4,FALSE)=L$9,$E457*$F457,""))))</f>
        <v/>
      </c>
      <c r="M457" s="91" t="str">
        <f t="shared" si="6"/>
        <v/>
      </c>
      <c r="N457" s="96"/>
      <c r="O457" s="95"/>
      <c r="P457" s="96"/>
      <c r="Q457" s="98"/>
    </row>
    <row r="458" spans="1:17" ht="15.75" x14ac:dyDescent="0.2">
      <c r="A458" s="17"/>
      <c r="B458" s="18"/>
      <c r="C458" s="87" t="str">
        <f>IF(B458="","",
IF(M458=$H$5,IFERROR(VLOOKUP(B458,'Baremos actuales'!A:E,5,FALSE),"No encontrado. Revisar código, fecha ejecución y/o contrato."),
IF(M458=$H$4,IFERROR(VLOOKUP(B458,'Baremos anteriores'!A:E,5,FALSE),"No encontrado. Revisar código, fecha ejecución y/o contrato."),
IF(M458=$H$3,IFERROR(VLOOKUP(B458,#REF!,5,FALSE),"No encontrado. Revisar código, fecha ejecución y/o contrato."),
IF(D458="","Código no encontrado",
IF(D458="ERROR","No encontrado. Revisar Código, fecha de ejecución y/o contrato.",
IF(D458="MATE",
IF(C457="DESCRIPCION","NO SE PUEDE COMENZAR SIN CÓDIGO DE TAREA",
IF(C457="","FALTA CÓDIGO DE TAREA",
CONCATENATE("          ",VLOOKUP(B458,'Maestro Materiales'!A:C,3,FALSE)))),IFERROR(VLOOKUP(B458,#REF!,5,FALSE),"No encontrado. Revisar código, fecha ejecución y/o contrato."))))))))</f>
        <v/>
      </c>
      <c r="D458" s="88" t="str">
        <f>IF(B458="","",
IFERROR(VLOOKUP(B458,'Maestro Materiales'!A:C,2,FALSE),
IFERROR(VLOOKUP(B458,'Baremos actuales'!A:B,2,FALSE),
IFERROR(VLOOKUP(B458,'Baremos anteriores'!A:B,2,FALSE),
""))))</f>
        <v/>
      </c>
      <c r="E458" s="9"/>
      <c r="F458" s="89" t="str">
        <f>IF(D458="MATE",
IF(E458="","¿Unidades?",""),
IF(D458="",IF(E458="","","¿Código?"),
IF(E458="","¿Unidades?",
IF(D458="TARE",
IF(M458=$H$3,IFERROR(VLOOKUP(B458,'Baremos actuales'!A:C,3,FALSE),0),
IF(M458=$H$4,IFERROR(VLOOKUP(B458,'Baremos anteriores'!A:C,3,FALSE),0),0))))))</f>
        <v/>
      </c>
      <c r="G458" s="7"/>
      <c r="H458" s="8"/>
      <c r="I458" s="8"/>
      <c r="J458" s="78" t="str">
        <f>IF($D458="","",
IF($E458="","",
IF($D458="MATE","",
IF(VLOOKUP($B458,'Baremos actuales'!A:D,4,FALSE)=J$9,$E458*$F458,IF(VLOOKUP($B458,'Baremos anteriores'!A:D,4,FALSE)="Sin Definir",$E458*$F458,"")))))</f>
        <v/>
      </c>
      <c r="K458" s="79" t="str">
        <f>IF($D458="","",
IF($E458="","",
IF($D458="MATE","",
IF(VLOOKUP($B458,'Baremos actuales'!$A:$D,4,FALSE)=K$9,$E458*$F458,IF(VLOOKUP($B458,'Baremos anteriores'!$A:$D,4,FALSE)="Desmonte",$E458*$F458,"")))))</f>
        <v/>
      </c>
      <c r="L458" s="80" t="str">
        <f>IF($D458="","",
IF($E458="","",
IF($D458="MATE","",
IF(VLOOKUP($B458,'Baremos actuales'!$A:$D,4,FALSE)=L$9,$E458*$F458,""))))</f>
        <v/>
      </c>
      <c r="M458" s="91" t="str">
        <f t="shared" si="6"/>
        <v/>
      </c>
      <c r="N458" s="96"/>
      <c r="O458" s="95"/>
      <c r="P458" s="96"/>
      <c r="Q458" s="98"/>
    </row>
    <row r="459" spans="1:17" ht="15.75" x14ac:dyDescent="0.2">
      <c r="A459" s="17"/>
      <c r="B459" s="18"/>
      <c r="C459" s="87" t="str">
        <f>IF(B459="","",
IF(M459=$H$5,IFERROR(VLOOKUP(B459,'Baremos actuales'!A:E,5,FALSE),"No encontrado. Revisar código, fecha ejecución y/o contrato."),
IF(M459=$H$4,IFERROR(VLOOKUP(B459,'Baremos anteriores'!A:E,5,FALSE),"No encontrado. Revisar código, fecha ejecución y/o contrato."),
IF(M459=$H$3,IFERROR(VLOOKUP(B459,#REF!,5,FALSE),"No encontrado. Revisar código, fecha ejecución y/o contrato."),
IF(D459="","Código no encontrado",
IF(D459="ERROR","No encontrado. Revisar Código, fecha de ejecución y/o contrato.",
IF(D459="MATE",
IF(C458="DESCRIPCION","NO SE PUEDE COMENZAR SIN CÓDIGO DE TAREA",
IF(C458="","FALTA CÓDIGO DE TAREA",
CONCATENATE("          ",VLOOKUP(B459,'Maestro Materiales'!A:C,3,FALSE)))),IFERROR(VLOOKUP(B459,#REF!,5,FALSE),"No encontrado. Revisar código, fecha ejecución y/o contrato."))))))))</f>
        <v/>
      </c>
      <c r="D459" s="88" t="str">
        <f>IF(B459="","",
IFERROR(VLOOKUP(B459,'Maestro Materiales'!A:C,2,FALSE),
IFERROR(VLOOKUP(B459,'Baremos actuales'!A:B,2,FALSE),
IFERROR(VLOOKUP(B459,'Baremos anteriores'!A:B,2,FALSE),
""))))</f>
        <v/>
      </c>
      <c r="E459" s="9"/>
      <c r="F459" s="89" t="str">
        <f>IF(D459="MATE",
IF(E459="","¿Unidades?",""),
IF(D459="",IF(E459="","","¿Código?"),
IF(E459="","¿Unidades?",
IF(D459="TARE",
IF(M459=$H$3,IFERROR(VLOOKUP(B459,'Baremos actuales'!A:C,3,FALSE),0),
IF(M459=$H$4,IFERROR(VLOOKUP(B459,'Baremos anteriores'!A:C,3,FALSE),0),0))))))</f>
        <v/>
      </c>
      <c r="G459" s="7"/>
      <c r="H459" s="8"/>
      <c r="I459" s="8"/>
      <c r="J459" s="78" t="str">
        <f>IF($D459="","",
IF($E459="","",
IF($D459="MATE","",
IF(VLOOKUP($B459,'Baremos actuales'!A:D,4,FALSE)=J$9,$E459*$F459,IF(VLOOKUP($B459,'Baremos anteriores'!A:D,4,FALSE)="Sin Definir",$E459*$F459,"")))))</f>
        <v/>
      </c>
      <c r="K459" s="79" t="str">
        <f>IF($D459="","",
IF($E459="","",
IF($D459="MATE","",
IF(VLOOKUP($B459,'Baremos actuales'!$A:$D,4,FALSE)=K$9,$E459*$F459,IF(VLOOKUP($B459,'Baremos anteriores'!$A:$D,4,FALSE)="Desmonte",$E459*$F459,"")))))</f>
        <v/>
      </c>
      <c r="L459" s="80" t="str">
        <f>IF($D459="","",
IF($E459="","",
IF($D459="MATE","",
IF(VLOOKUP($B459,'Baremos actuales'!$A:$D,4,FALSE)=L$9,$E459*$F459,""))))</f>
        <v/>
      </c>
      <c r="M459" s="91" t="str">
        <f t="shared" ref="M459:M522" si="7">IF(D459="MATE","Materiales",IF(B459="","",
IF($Q$1="O","Obsoleto",$F$2)))</f>
        <v/>
      </c>
      <c r="N459" s="96"/>
      <c r="O459" s="95"/>
      <c r="P459" s="96"/>
      <c r="Q459" s="98"/>
    </row>
    <row r="460" spans="1:17" ht="15.75" x14ac:dyDescent="0.2">
      <c r="A460" s="17"/>
      <c r="B460" s="18"/>
      <c r="C460" s="87" t="str">
        <f>IF(B460="","",
IF(M460=$H$5,IFERROR(VLOOKUP(B460,'Baremos actuales'!A:E,5,FALSE),"No encontrado. Revisar código, fecha ejecución y/o contrato."),
IF(M460=$H$4,IFERROR(VLOOKUP(B460,'Baremos anteriores'!A:E,5,FALSE),"No encontrado. Revisar código, fecha ejecución y/o contrato."),
IF(M460=$H$3,IFERROR(VLOOKUP(B460,#REF!,5,FALSE),"No encontrado. Revisar código, fecha ejecución y/o contrato."),
IF(D460="","Código no encontrado",
IF(D460="ERROR","No encontrado. Revisar Código, fecha de ejecución y/o contrato.",
IF(D460="MATE",
IF(C459="DESCRIPCION","NO SE PUEDE COMENZAR SIN CÓDIGO DE TAREA",
IF(C459="","FALTA CÓDIGO DE TAREA",
CONCATENATE("          ",VLOOKUP(B460,'Maestro Materiales'!A:C,3,FALSE)))),IFERROR(VLOOKUP(B460,#REF!,5,FALSE),"No encontrado. Revisar código, fecha ejecución y/o contrato."))))))))</f>
        <v/>
      </c>
      <c r="D460" s="88" t="str">
        <f>IF(B460="","",
IFERROR(VLOOKUP(B460,'Maestro Materiales'!A:C,2,FALSE),
IFERROR(VLOOKUP(B460,'Baremos actuales'!A:B,2,FALSE),
IFERROR(VLOOKUP(B460,'Baremos anteriores'!A:B,2,FALSE),
""))))</f>
        <v/>
      </c>
      <c r="E460" s="9"/>
      <c r="F460" s="89" t="str">
        <f>IF(D460="MATE",
IF(E460="","¿Unidades?",""),
IF(D460="",IF(E460="","","¿Código?"),
IF(E460="","¿Unidades?",
IF(D460="TARE",
IF(M460=$H$3,IFERROR(VLOOKUP(B460,'Baremos actuales'!A:C,3,FALSE),0),
IF(M460=$H$4,IFERROR(VLOOKUP(B460,'Baremos anteriores'!A:C,3,FALSE),0),0))))))</f>
        <v/>
      </c>
      <c r="G460" s="7"/>
      <c r="H460" s="8"/>
      <c r="I460" s="8"/>
      <c r="J460" s="78" t="str">
        <f>IF($D460="","",
IF($E460="","",
IF($D460="MATE","",
IF(VLOOKUP($B460,'Baremos actuales'!A:D,4,FALSE)=J$9,$E460*$F460,IF(VLOOKUP($B460,'Baremos anteriores'!A:D,4,FALSE)="Sin Definir",$E460*$F460,"")))))</f>
        <v/>
      </c>
      <c r="K460" s="79" t="str">
        <f>IF($D460="","",
IF($E460="","",
IF($D460="MATE","",
IF(VLOOKUP($B460,'Baremos actuales'!$A:$D,4,FALSE)=K$9,$E460*$F460,IF(VLOOKUP($B460,'Baremos anteriores'!$A:$D,4,FALSE)="Desmonte",$E460*$F460,"")))))</f>
        <v/>
      </c>
      <c r="L460" s="80" t="str">
        <f>IF($D460="","",
IF($E460="","",
IF($D460="MATE","",
IF(VLOOKUP($B460,'Baremos actuales'!$A:$D,4,FALSE)=L$9,$E460*$F460,""))))</f>
        <v/>
      </c>
      <c r="M460" s="91" t="str">
        <f t="shared" si="7"/>
        <v/>
      </c>
      <c r="N460" s="96"/>
      <c r="O460" s="95"/>
      <c r="P460" s="96"/>
      <c r="Q460" s="98"/>
    </row>
    <row r="461" spans="1:17" ht="15.75" x14ac:dyDescent="0.2">
      <c r="A461" s="17"/>
      <c r="B461" s="18"/>
      <c r="C461" s="87" t="str">
        <f>IF(B461="","",
IF(M461=$H$5,IFERROR(VLOOKUP(B461,'Baremos actuales'!A:E,5,FALSE),"No encontrado. Revisar código, fecha ejecución y/o contrato."),
IF(M461=$H$4,IFERROR(VLOOKUP(B461,'Baremos anteriores'!A:E,5,FALSE),"No encontrado. Revisar código, fecha ejecución y/o contrato."),
IF(M461=$H$3,IFERROR(VLOOKUP(B461,#REF!,5,FALSE),"No encontrado. Revisar código, fecha ejecución y/o contrato."),
IF(D461="","Código no encontrado",
IF(D461="ERROR","No encontrado. Revisar Código, fecha de ejecución y/o contrato.",
IF(D461="MATE",
IF(C460="DESCRIPCION","NO SE PUEDE COMENZAR SIN CÓDIGO DE TAREA",
IF(C460="","FALTA CÓDIGO DE TAREA",
CONCATENATE("          ",VLOOKUP(B461,'Maestro Materiales'!A:C,3,FALSE)))),IFERROR(VLOOKUP(B461,#REF!,5,FALSE),"No encontrado. Revisar código, fecha ejecución y/o contrato."))))))))</f>
        <v/>
      </c>
      <c r="D461" s="88" t="str">
        <f>IF(B461="","",
IFERROR(VLOOKUP(B461,'Maestro Materiales'!A:C,2,FALSE),
IFERROR(VLOOKUP(B461,'Baremos actuales'!A:B,2,FALSE),
IFERROR(VLOOKUP(B461,'Baremos anteriores'!A:B,2,FALSE),
""))))</f>
        <v/>
      </c>
      <c r="E461" s="9"/>
      <c r="F461" s="89" t="str">
        <f>IF(D461="MATE",
IF(E461="","¿Unidades?",""),
IF(D461="",IF(E461="","","¿Código?"),
IF(E461="","¿Unidades?",
IF(D461="TARE",
IF(M461=$H$3,IFERROR(VLOOKUP(B461,'Baremos actuales'!A:C,3,FALSE),0),
IF(M461=$H$4,IFERROR(VLOOKUP(B461,'Baremos anteriores'!A:C,3,FALSE),0),0))))))</f>
        <v/>
      </c>
      <c r="G461" s="7"/>
      <c r="H461" s="8"/>
      <c r="I461" s="8"/>
      <c r="J461" s="78" t="str">
        <f>IF($D461="","",
IF($E461="","",
IF($D461="MATE","",
IF(VLOOKUP($B461,'Baremos actuales'!A:D,4,FALSE)=J$9,$E461*$F461,IF(VLOOKUP($B461,'Baremos anteriores'!A:D,4,FALSE)="Sin Definir",$E461*$F461,"")))))</f>
        <v/>
      </c>
      <c r="K461" s="79" t="str">
        <f>IF($D461="","",
IF($E461="","",
IF($D461="MATE","",
IF(VLOOKUP($B461,'Baremos actuales'!$A:$D,4,FALSE)=K$9,$E461*$F461,IF(VLOOKUP($B461,'Baremos anteriores'!$A:$D,4,FALSE)="Desmonte",$E461*$F461,"")))))</f>
        <v/>
      </c>
      <c r="L461" s="80" t="str">
        <f>IF($D461="","",
IF($E461="","",
IF($D461="MATE","",
IF(VLOOKUP($B461,'Baremos actuales'!$A:$D,4,FALSE)=L$9,$E461*$F461,""))))</f>
        <v/>
      </c>
      <c r="M461" s="91" t="str">
        <f t="shared" si="7"/>
        <v/>
      </c>
      <c r="N461" s="96"/>
      <c r="O461" s="95"/>
      <c r="P461" s="96"/>
      <c r="Q461" s="98"/>
    </row>
    <row r="462" spans="1:17" ht="15.75" x14ac:dyDescent="0.2">
      <c r="A462" s="17"/>
      <c r="B462" s="18"/>
      <c r="C462" s="87" t="str">
        <f>IF(B462="","",
IF(M462=$H$5,IFERROR(VLOOKUP(B462,'Baremos actuales'!A:E,5,FALSE),"No encontrado. Revisar código, fecha ejecución y/o contrato."),
IF(M462=$H$4,IFERROR(VLOOKUP(B462,'Baremos anteriores'!A:E,5,FALSE),"No encontrado. Revisar código, fecha ejecución y/o contrato."),
IF(M462=$H$3,IFERROR(VLOOKUP(B462,#REF!,5,FALSE),"No encontrado. Revisar código, fecha ejecución y/o contrato."),
IF(D462="","Código no encontrado",
IF(D462="ERROR","No encontrado. Revisar Código, fecha de ejecución y/o contrato.",
IF(D462="MATE",
IF(C461="DESCRIPCION","NO SE PUEDE COMENZAR SIN CÓDIGO DE TAREA",
IF(C461="","FALTA CÓDIGO DE TAREA",
CONCATENATE("          ",VLOOKUP(B462,'Maestro Materiales'!A:C,3,FALSE)))),IFERROR(VLOOKUP(B462,#REF!,5,FALSE),"No encontrado. Revisar código, fecha ejecución y/o contrato."))))))))</f>
        <v/>
      </c>
      <c r="D462" s="88" t="str">
        <f>IF(B462="","",
IFERROR(VLOOKUP(B462,'Maestro Materiales'!A:C,2,FALSE),
IFERROR(VLOOKUP(B462,'Baremos actuales'!A:B,2,FALSE),
IFERROR(VLOOKUP(B462,'Baremos anteriores'!A:B,2,FALSE),
""))))</f>
        <v/>
      </c>
      <c r="E462" s="9"/>
      <c r="F462" s="89" t="str">
        <f>IF(D462="MATE",
IF(E462="","¿Unidades?",""),
IF(D462="",IF(E462="","","¿Código?"),
IF(E462="","¿Unidades?",
IF(D462="TARE",
IF(M462=$H$3,IFERROR(VLOOKUP(B462,'Baremos actuales'!A:C,3,FALSE),0),
IF(M462=$H$4,IFERROR(VLOOKUP(B462,'Baremos anteriores'!A:C,3,FALSE),0),0))))))</f>
        <v/>
      </c>
      <c r="G462" s="7"/>
      <c r="H462" s="8"/>
      <c r="I462" s="8"/>
      <c r="J462" s="78" t="str">
        <f>IF($D462="","",
IF($E462="","",
IF($D462="MATE","",
IF(VLOOKUP($B462,'Baremos actuales'!A:D,4,FALSE)=J$9,$E462*$F462,IF(VLOOKUP($B462,'Baremos anteriores'!A:D,4,FALSE)="Sin Definir",$E462*$F462,"")))))</f>
        <v/>
      </c>
      <c r="K462" s="79" t="str">
        <f>IF($D462="","",
IF($E462="","",
IF($D462="MATE","",
IF(VLOOKUP($B462,'Baremos actuales'!$A:$D,4,FALSE)=K$9,$E462*$F462,IF(VLOOKUP($B462,'Baremos anteriores'!$A:$D,4,FALSE)="Desmonte",$E462*$F462,"")))))</f>
        <v/>
      </c>
      <c r="L462" s="80" t="str">
        <f>IF($D462="","",
IF($E462="","",
IF($D462="MATE","",
IF(VLOOKUP($B462,'Baremos actuales'!$A:$D,4,FALSE)=L$9,$E462*$F462,""))))</f>
        <v/>
      </c>
      <c r="M462" s="91" t="str">
        <f t="shared" si="7"/>
        <v/>
      </c>
      <c r="N462" s="96"/>
      <c r="O462" s="95"/>
      <c r="P462" s="96"/>
      <c r="Q462" s="98"/>
    </row>
    <row r="463" spans="1:17" ht="15.75" x14ac:dyDescent="0.2">
      <c r="A463" s="17"/>
      <c r="B463" s="18"/>
      <c r="C463" s="87" t="str">
        <f>IF(B463="","",
IF(M463=$H$5,IFERROR(VLOOKUP(B463,'Baremos actuales'!A:E,5,FALSE),"No encontrado. Revisar código, fecha ejecución y/o contrato."),
IF(M463=$H$4,IFERROR(VLOOKUP(B463,'Baremos anteriores'!A:E,5,FALSE),"No encontrado. Revisar código, fecha ejecución y/o contrato."),
IF(M463=$H$3,IFERROR(VLOOKUP(B463,#REF!,5,FALSE),"No encontrado. Revisar código, fecha ejecución y/o contrato."),
IF(D463="","Código no encontrado",
IF(D463="ERROR","No encontrado. Revisar Código, fecha de ejecución y/o contrato.",
IF(D463="MATE",
IF(C462="DESCRIPCION","NO SE PUEDE COMENZAR SIN CÓDIGO DE TAREA",
IF(C462="","FALTA CÓDIGO DE TAREA",
CONCATENATE("          ",VLOOKUP(B463,'Maestro Materiales'!A:C,3,FALSE)))),IFERROR(VLOOKUP(B463,#REF!,5,FALSE),"No encontrado. Revisar código, fecha ejecución y/o contrato."))))))))</f>
        <v/>
      </c>
      <c r="D463" s="88" t="str">
        <f>IF(B463="","",
IFERROR(VLOOKUP(B463,'Maestro Materiales'!A:C,2,FALSE),
IFERROR(VLOOKUP(B463,'Baremos actuales'!A:B,2,FALSE),
IFERROR(VLOOKUP(B463,'Baremos anteriores'!A:B,2,FALSE),
""))))</f>
        <v/>
      </c>
      <c r="E463" s="9"/>
      <c r="F463" s="89" t="str">
        <f>IF(D463="MATE",
IF(E463="","¿Unidades?",""),
IF(D463="",IF(E463="","","¿Código?"),
IF(E463="","¿Unidades?",
IF(D463="TARE",
IF(M463=$H$3,IFERROR(VLOOKUP(B463,'Baremos actuales'!A:C,3,FALSE),0),
IF(M463=$H$4,IFERROR(VLOOKUP(B463,'Baremos anteriores'!A:C,3,FALSE),0),0))))))</f>
        <v/>
      </c>
      <c r="G463" s="7"/>
      <c r="H463" s="8"/>
      <c r="I463" s="8"/>
      <c r="J463" s="78" t="str">
        <f>IF($D463="","",
IF($E463="","",
IF($D463="MATE","",
IF(VLOOKUP($B463,'Baremos actuales'!A:D,4,FALSE)=J$9,$E463*$F463,IF(VLOOKUP($B463,'Baremos anteriores'!A:D,4,FALSE)="Sin Definir",$E463*$F463,"")))))</f>
        <v/>
      </c>
      <c r="K463" s="79" t="str">
        <f>IF($D463="","",
IF($E463="","",
IF($D463="MATE","",
IF(VLOOKUP($B463,'Baremos actuales'!$A:$D,4,FALSE)=K$9,$E463*$F463,IF(VLOOKUP($B463,'Baremos anteriores'!$A:$D,4,FALSE)="Desmonte",$E463*$F463,"")))))</f>
        <v/>
      </c>
      <c r="L463" s="80" t="str">
        <f>IF($D463="","",
IF($E463="","",
IF($D463="MATE","",
IF(VLOOKUP($B463,'Baremos actuales'!$A:$D,4,FALSE)=L$9,$E463*$F463,""))))</f>
        <v/>
      </c>
      <c r="M463" s="91" t="str">
        <f t="shared" si="7"/>
        <v/>
      </c>
      <c r="N463" s="96"/>
      <c r="O463" s="95"/>
      <c r="P463" s="96"/>
      <c r="Q463" s="98"/>
    </row>
    <row r="464" spans="1:17" ht="15.75" x14ac:dyDescent="0.2">
      <c r="A464" s="17"/>
      <c r="B464" s="18"/>
      <c r="C464" s="87" t="str">
        <f>IF(B464="","",
IF(M464=$H$5,IFERROR(VLOOKUP(B464,'Baremos actuales'!A:E,5,FALSE),"No encontrado. Revisar código, fecha ejecución y/o contrato."),
IF(M464=$H$4,IFERROR(VLOOKUP(B464,'Baremos anteriores'!A:E,5,FALSE),"No encontrado. Revisar código, fecha ejecución y/o contrato."),
IF(M464=$H$3,IFERROR(VLOOKUP(B464,#REF!,5,FALSE),"No encontrado. Revisar código, fecha ejecución y/o contrato."),
IF(D464="","Código no encontrado",
IF(D464="ERROR","No encontrado. Revisar Código, fecha de ejecución y/o contrato.",
IF(D464="MATE",
IF(C463="DESCRIPCION","NO SE PUEDE COMENZAR SIN CÓDIGO DE TAREA",
IF(C463="","FALTA CÓDIGO DE TAREA",
CONCATENATE("          ",VLOOKUP(B464,'Maestro Materiales'!A:C,3,FALSE)))),IFERROR(VLOOKUP(B464,#REF!,5,FALSE),"No encontrado. Revisar código, fecha ejecución y/o contrato."))))))))</f>
        <v/>
      </c>
      <c r="D464" s="88" t="str">
        <f>IF(B464="","",
IFERROR(VLOOKUP(B464,'Maestro Materiales'!A:C,2,FALSE),
IFERROR(VLOOKUP(B464,'Baremos actuales'!A:B,2,FALSE),
IFERROR(VLOOKUP(B464,'Baremos anteriores'!A:B,2,FALSE),
""))))</f>
        <v/>
      </c>
      <c r="E464" s="9"/>
      <c r="F464" s="89" t="str">
        <f>IF(D464="MATE",
IF(E464="","¿Unidades?",""),
IF(D464="",IF(E464="","","¿Código?"),
IF(E464="","¿Unidades?",
IF(D464="TARE",
IF(M464=$H$3,IFERROR(VLOOKUP(B464,'Baremos actuales'!A:C,3,FALSE),0),
IF(M464=$H$4,IFERROR(VLOOKUP(B464,'Baremos anteriores'!A:C,3,FALSE),0),0))))))</f>
        <v/>
      </c>
      <c r="G464" s="7"/>
      <c r="H464" s="8"/>
      <c r="I464" s="8"/>
      <c r="J464" s="78" t="str">
        <f>IF($D464="","",
IF($E464="","",
IF($D464="MATE","",
IF(VLOOKUP($B464,'Baremos actuales'!A:D,4,FALSE)=J$9,$E464*$F464,IF(VLOOKUP($B464,'Baremos anteriores'!A:D,4,FALSE)="Sin Definir",$E464*$F464,"")))))</f>
        <v/>
      </c>
      <c r="K464" s="79" t="str">
        <f>IF($D464="","",
IF($E464="","",
IF($D464="MATE","",
IF(VLOOKUP($B464,'Baremos actuales'!$A:$D,4,FALSE)=K$9,$E464*$F464,IF(VLOOKUP($B464,'Baremos anteriores'!$A:$D,4,FALSE)="Desmonte",$E464*$F464,"")))))</f>
        <v/>
      </c>
      <c r="L464" s="80" t="str">
        <f>IF($D464="","",
IF($E464="","",
IF($D464="MATE","",
IF(VLOOKUP($B464,'Baremos actuales'!$A:$D,4,FALSE)=L$9,$E464*$F464,""))))</f>
        <v/>
      </c>
      <c r="M464" s="91" t="str">
        <f t="shared" si="7"/>
        <v/>
      </c>
      <c r="N464" s="96"/>
      <c r="O464" s="95"/>
      <c r="P464" s="96"/>
      <c r="Q464" s="98"/>
    </row>
    <row r="465" spans="1:17" ht="15.75" x14ac:dyDescent="0.2">
      <c r="A465" s="17"/>
      <c r="B465" s="18"/>
      <c r="C465" s="87" t="str">
        <f>IF(B465="","",
IF(M465=$H$5,IFERROR(VLOOKUP(B465,'Baremos actuales'!A:E,5,FALSE),"No encontrado. Revisar código, fecha ejecución y/o contrato."),
IF(M465=$H$4,IFERROR(VLOOKUP(B465,'Baremos anteriores'!A:E,5,FALSE),"No encontrado. Revisar código, fecha ejecución y/o contrato."),
IF(M465=$H$3,IFERROR(VLOOKUP(B465,#REF!,5,FALSE),"No encontrado. Revisar código, fecha ejecución y/o contrato."),
IF(D465="","Código no encontrado",
IF(D465="ERROR","No encontrado. Revisar Código, fecha de ejecución y/o contrato.",
IF(D465="MATE",
IF(C464="DESCRIPCION","NO SE PUEDE COMENZAR SIN CÓDIGO DE TAREA",
IF(C464="","FALTA CÓDIGO DE TAREA",
CONCATENATE("          ",VLOOKUP(B465,'Maestro Materiales'!A:C,3,FALSE)))),IFERROR(VLOOKUP(B465,#REF!,5,FALSE),"No encontrado. Revisar código, fecha ejecución y/o contrato."))))))))</f>
        <v/>
      </c>
      <c r="D465" s="88" t="str">
        <f>IF(B465="","",
IFERROR(VLOOKUP(B465,'Maestro Materiales'!A:C,2,FALSE),
IFERROR(VLOOKUP(B465,'Baremos actuales'!A:B,2,FALSE),
IFERROR(VLOOKUP(B465,'Baremos anteriores'!A:B,2,FALSE),
""))))</f>
        <v/>
      </c>
      <c r="E465" s="9"/>
      <c r="F465" s="89" t="str">
        <f>IF(D465="MATE",
IF(E465="","¿Unidades?",""),
IF(D465="",IF(E465="","","¿Código?"),
IF(E465="","¿Unidades?",
IF(D465="TARE",
IF(M465=$H$3,IFERROR(VLOOKUP(B465,'Baremos actuales'!A:C,3,FALSE),0),
IF(M465=$H$4,IFERROR(VLOOKUP(B465,'Baremos anteriores'!A:C,3,FALSE),0),0))))))</f>
        <v/>
      </c>
      <c r="G465" s="7"/>
      <c r="H465" s="8"/>
      <c r="I465" s="8"/>
      <c r="J465" s="78" t="str">
        <f>IF($D465="","",
IF($E465="","",
IF($D465="MATE","",
IF(VLOOKUP($B465,'Baremos actuales'!A:D,4,FALSE)=J$9,$E465*$F465,IF(VLOOKUP($B465,'Baremos anteriores'!A:D,4,FALSE)="Sin Definir",$E465*$F465,"")))))</f>
        <v/>
      </c>
      <c r="K465" s="79" t="str">
        <f>IF($D465="","",
IF($E465="","",
IF($D465="MATE","",
IF(VLOOKUP($B465,'Baremos actuales'!$A:$D,4,FALSE)=K$9,$E465*$F465,IF(VLOOKUP($B465,'Baremos anteriores'!$A:$D,4,FALSE)="Desmonte",$E465*$F465,"")))))</f>
        <v/>
      </c>
      <c r="L465" s="80" t="str">
        <f>IF($D465="","",
IF($E465="","",
IF($D465="MATE","",
IF(VLOOKUP($B465,'Baremos actuales'!$A:$D,4,FALSE)=L$9,$E465*$F465,""))))</f>
        <v/>
      </c>
      <c r="M465" s="91" t="str">
        <f t="shared" si="7"/>
        <v/>
      </c>
      <c r="N465" s="96"/>
      <c r="O465" s="95"/>
      <c r="P465" s="96"/>
      <c r="Q465" s="98"/>
    </row>
    <row r="466" spans="1:17" ht="15.75" x14ac:dyDescent="0.2">
      <c r="A466" s="17"/>
      <c r="B466" s="18"/>
      <c r="C466" s="87" t="str">
        <f>IF(B466="","",
IF(M466=$H$5,IFERROR(VLOOKUP(B466,'Baremos actuales'!A:E,5,FALSE),"No encontrado. Revisar código, fecha ejecución y/o contrato."),
IF(M466=$H$4,IFERROR(VLOOKUP(B466,'Baremos anteriores'!A:E,5,FALSE),"No encontrado. Revisar código, fecha ejecución y/o contrato."),
IF(M466=$H$3,IFERROR(VLOOKUP(B466,#REF!,5,FALSE),"No encontrado. Revisar código, fecha ejecución y/o contrato."),
IF(D466="","Código no encontrado",
IF(D466="ERROR","No encontrado. Revisar Código, fecha de ejecución y/o contrato.",
IF(D466="MATE",
IF(C465="DESCRIPCION","NO SE PUEDE COMENZAR SIN CÓDIGO DE TAREA",
IF(C465="","FALTA CÓDIGO DE TAREA",
CONCATENATE("          ",VLOOKUP(B466,'Maestro Materiales'!A:C,3,FALSE)))),IFERROR(VLOOKUP(B466,#REF!,5,FALSE),"No encontrado. Revisar código, fecha ejecución y/o contrato."))))))))</f>
        <v/>
      </c>
      <c r="D466" s="88" t="str">
        <f>IF(B466="","",
IFERROR(VLOOKUP(B466,'Maestro Materiales'!A:C,2,FALSE),
IFERROR(VLOOKUP(B466,'Baremos actuales'!A:B,2,FALSE),
IFERROR(VLOOKUP(B466,'Baremos anteriores'!A:B,2,FALSE),
""))))</f>
        <v/>
      </c>
      <c r="E466" s="9"/>
      <c r="F466" s="89" t="str">
        <f>IF(D466="MATE",
IF(E466="","¿Unidades?",""),
IF(D466="",IF(E466="","","¿Código?"),
IF(E466="","¿Unidades?",
IF(D466="TARE",
IF(M466=$H$3,IFERROR(VLOOKUP(B466,'Baremos actuales'!A:C,3,FALSE),0),
IF(M466=$H$4,IFERROR(VLOOKUP(B466,'Baremos anteriores'!A:C,3,FALSE),0),0))))))</f>
        <v/>
      </c>
      <c r="G466" s="7"/>
      <c r="H466" s="8"/>
      <c r="I466" s="8"/>
      <c r="J466" s="78" t="str">
        <f>IF($D466="","",
IF($E466="","",
IF($D466="MATE","",
IF(VLOOKUP($B466,'Baremos actuales'!A:D,4,FALSE)=J$9,$E466*$F466,IF(VLOOKUP($B466,'Baremos anteriores'!A:D,4,FALSE)="Sin Definir",$E466*$F466,"")))))</f>
        <v/>
      </c>
      <c r="K466" s="79" t="str">
        <f>IF($D466="","",
IF($E466="","",
IF($D466="MATE","",
IF(VLOOKUP($B466,'Baremos actuales'!$A:$D,4,FALSE)=K$9,$E466*$F466,IF(VLOOKUP($B466,'Baremos anteriores'!$A:$D,4,FALSE)="Desmonte",$E466*$F466,"")))))</f>
        <v/>
      </c>
      <c r="L466" s="80" t="str">
        <f>IF($D466="","",
IF($E466="","",
IF($D466="MATE","",
IF(VLOOKUP($B466,'Baremos actuales'!$A:$D,4,FALSE)=L$9,$E466*$F466,""))))</f>
        <v/>
      </c>
      <c r="M466" s="91" t="str">
        <f t="shared" si="7"/>
        <v/>
      </c>
      <c r="N466" s="96"/>
      <c r="O466" s="95"/>
      <c r="P466" s="96"/>
      <c r="Q466" s="98"/>
    </row>
    <row r="467" spans="1:17" ht="15.75" x14ac:dyDescent="0.2">
      <c r="A467" s="17"/>
      <c r="B467" s="18"/>
      <c r="C467" s="87" t="str">
        <f>IF(B467="","",
IF(M467=$H$5,IFERROR(VLOOKUP(B467,'Baremos actuales'!A:E,5,FALSE),"No encontrado. Revisar código, fecha ejecución y/o contrato."),
IF(M467=$H$4,IFERROR(VLOOKUP(B467,'Baremos anteriores'!A:E,5,FALSE),"No encontrado. Revisar código, fecha ejecución y/o contrato."),
IF(M467=$H$3,IFERROR(VLOOKUP(B467,#REF!,5,FALSE),"No encontrado. Revisar código, fecha ejecución y/o contrato."),
IF(D467="","Código no encontrado",
IF(D467="ERROR","No encontrado. Revisar Código, fecha de ejecución y/o contrato.",
IF(D467="MATE",
IF(C466="DESCRIPCION","NO SE PUEDE COMENZAR SIN CÓDIGO DE TAREA",
IF(C466="","FALTA CÓDIGO DE TAREA",
CONCATENATE("          ",VLOOKUP(B467,'Maestro Materiales'!A:C,3,FALSE)))),IFERROR(VLOOKUP(B467,#REF!,5,FALSE),"No encontrado. Revisar código, fecha ejecución y/o contrato."))))))))</f>
        <v/>
      </c>
      <c r="D467" s="88" t="str">
        <f>IF(B467="","",
IFERROR(VLOOKUP(B467,'Maestro Materiales'!A:C,2,FALSE),
IFERROR(VLOOKUP(B467,'Baremos actuales'!A:B,2,FALSE),
IFERROR(VLOOKUP(B467,'Baremos anteriores'!A:B,2,FALSE),
""))))</f>
        <v/>
      </c>
      <c r="E467" s="9"/>
      <c r="F467" s="89" t="str">
        <f>IF(D467="MATE",
IF(E467="","¿Unidades?",""),
IF(D467="",IF(E467="","","¿Código?"),
IF(E467="","¿Unidades?",
IF(D467="TARE",
IF(M467=$H$3,IFERROR(VLOOKUP(B467,'Baremos actuales'!A:C,3,FALSE),0),
IF(M467=$H$4,IFERROR(VLOOKUP(B467,'Baremos anteriores'!A:C,3,FALSE),0),0))))))</f>
        <v/>
      </c>
      <c r="G467" s="7"/>
      <c r="H467" s="8"/>
      <c r="I467" s="8"/>
      <c r="J467" s="78" t="str">
        <f>IF($D467="","",
IF($E467="","",
IF($D467="MATE","",
IF(VLOOKUP($B467,'Baremos actuales'!A:D,4,FALSE)=J$9,$E467*$F467,IF(VLOOKUP($B467,'Baremos anteriores'!A:D,4,FALSE)="Sin Definir",$E467*$F467,"")))))</f>
        <v/>
      </c>
      <c r="K467" s="79" t="str">
        <f>IF($D467="","",
IF($E467="","",
IF($D467="MATE","",
IF(VLOOKUP($B467,'Baremos actuales'!$A:$D,4,FALSE)=K$9,$E467*$F467,IF(VLOOKUP($B467,'Baremos anteriores'!$A:$D,4,FALSE)="Desmonte",$E467*$F467,"")))))</f>
        <v/>
      </c>
      <c r="L467" s="80" t="str">
        <f>IF($D467="","",
IF($E467="","",
IF($D467="MATE","",
IF(VLOOKUP($B467,'Baremos actuales'!$A:$D,4,FALSE)=L$9,$E467*$F467,""))))</f>
        <v/>
      </c>
      <c r="M467" s="91" t="str">
        <f t="shared" si="7"/>
        <v/>
      </c>
      <c r="N467" s="96"/>
      <c r="O467" s="95"/>
      <c r="P467" s="96"/>
      <c r="Q467" s="98"/>
    </row>
    <row r="468" spans="1:17" ht="15.75" x14ac:dyDescent="0.2">
      <c r="A468" s="17"/>
      <c r="B468" s="18"/>
      <c r="C468" s="87" t="str">
        <f>IF(B468="","",
IF(M468=$H$5,IFERROR(VLOOKUP(B468,'Baremos actuales'!A:E,5,FALSE),"No encontrado. Revisar código, fecha ejecución y/o contrato."),
IF(M468=$H$4,IFERROR(VLOOKUP(B468,'Baremos anteriores'!A:E,5,FALSE),"No encontrado. Revisar código, fecha ejecución y/o contrato."),
IF(M468=$H$3,IFERROR(VLOOKUP(B468,#REF!,5,FALSE),"No encontrado. Revisar código, fecha ejecución y/o contrato."),
IF(D468="","Código no encontrado",
IF(D468="ERROR","No encontrado. Revisar Código, fecha de ejecución y/o contrato.",
IF(D468="MATE",
IF(C467="DESCRIPCION","NO SE PUEDE COMENZAR SIN CÓDIGO DE TAREA",
IF(C467="","FALTA CÓDIGO DE TAREA",
CONCATENATE("          ",VLOOKUP(B468,'Maestro Materiales'!A:C,3,FALSE)))),IFERROR(VLOOKUP(B468,#REF!,5,FALSE),"No encontrado. Revisar código, fecha ejecución y/o contrato."))))))))</f>
        <v/>
      </c>
      <c r="D468" s="88" t="str">
        <f>IF(B468="","",
IFERROR(VLOOKUP(B468,'Maestro Materiales'!A:C,2,FALSE),
IFERROR(VLOOKUP(B468,'Baremos actuales'!A:B,2,FALSE),
IFERROR(VLOOKUP(B468,'Baremos anteriores'!A:B,2,FALSE),
""))))</f>
        <v/>
      </c>
      <c r="E468" s="9"/>
      <c r="F468" s="89" t="str">
        <f>IF(D468="MATE",
IF(E468="","¿Unidades?",""),
IF(D468="",IF(E468="","","¿Código?"),
IF(E468="","¿Unidades?",
IF(D468="TARE",
IF(M468=$H$3,IFERROR(VLOOKUP(B468,'Baremos actuales'!A:C,3,FALSE),0),
IF(M468=$H$4,IFERROR(VLOOKUP(B468,'Baremos anteriores'!A:C,3,FALSE),0),0))))))</f>
        <v/>
      </c>
      <c r="G468" s="7"/>
      <c r="H468" s="8"/>
      <c r="I468" s="8"/>
      <c r="J468" s="78" t="str">
        <f>IF($D468="","",
IF($E468="","",
IF($D468="MATE","",
IF(VLOOKUP($B468,'Baremos actuales'!A:D,4,FALSE)=J$9,$E468*$F468,IF(VLOOKUP($B468,'Baremos anteriores'!A:D,4,FALSE)="Sin Definir",$E468*$F468,"")))))</f>
        <v/>
      </c>
      <c r="K468" s="79" t="str">
        <f>IF($D468="","",
IF($E468="","",
IF($D468="MATE","",
IF(VLOOKUP($B468,'Baremos actuales'!$A:$D,4,FALSE)=K$9,$E468*$F468,IF(VLOOKUP($B468,'Baremos anteriores'!$A:$D,4,FALSE)="Desmonte",$E468*$F468,"")))))</f>
        <v/>
      </c>
      <c r="L468" s="80" t="str">
        <f>IF($D468="","",
IF($E468="","",
IF($D468="MATE","",
IF(VLOOKUP($B468,'Baremos actuales'!$A:$D,4,FALSE)=L$9,$E468*$F468,""))))</f>
        <v/>
      </c>
      <c r="M468" s="91" t="str">
        <f t="shared" si="7"/>
        <v/>
      </c>
      <c r="N468" s="96"/>
      <c r="O468" s="95"/>
      <c r="P468" s="96"/>
      <c r="Q468" s="98"/>
    </row>
    <row r="469" spans="1:17" ht="15.75" x14ac:dyDescent="0.2">
      <c r="A469" s="17"/>
      <c r="B469" s="18"/>
      <c r="C469" s="87" t="str">
        <f>IF(B469="","",
IF(M469=$H$5,IFERROR(VLOOKUP(B469,'Baremos actuales'!A:E,5,FALSE),"No encontrado. Revisar código, fecha ejecución y/o contrato."),
IF(M469=$H$4,IFERROR(VLOOKUP(B469,'Baremos anteriores'!A:E,5,FALSE),"No encontrado. Revisar código, fecha ejecución y/o contrato."),
IF(M469=$H$3,IFERROR(VLOOKUP(B469,#REF!,5,FALSE),"No encontrado. Revisar código, fecha ejecución y/o contrato."),
IF(D469="","Código no encontrado",
IF(D469="ERROR","No encontrado. Revisar Código, fecha de ejecución y/o contrato.",
IF(D469="MATE",
IF(C468="DESCRIPCION","NO SE PUEDE COMENZAR SIN CÓDIGO DE TAREA",
IF(C468="","FALTA CÓDIGO DE TAREA",
CONCATENATE("          ",VLOOKUP(B469,'Maestro Materiales'!A:C,3,FALSE)))),IFERROR(VLOOKUP(B469,#REF!,5,FALSE),"No encontrado. Revisar código, fecha ejecución y/o contrato."))))))))</f>
        <v/>
      </c>
      <c r="D469" s="88" t="str">
        <f>IF(B469="","",
IFERROR(VLOOKUP(B469,'Maestro Materiales'!A:C,2,FALSE),
IFERROR(VLOOKUP(B469,'Baremos actuales'!A:B,2,FALSE),
IFERROR(VLOOKUP(B469,'Baremos anteriores'!A:B,2,FALSE),
""))))</f>
        <v/>
      </c>
      <c r="E469" s="9"/>
      <c r="F469" s="89" t="str">
        <f>IF(D469="MATE",
IF(E469="","¿Unidades?",""),
IF(D469="",IF(E469="","","¿Código?"),
IF(E469="","¿Unidades?",
IF(D469="TARE",
IF(M469=$H$3,IFERROR(VLOOKUP(B469,'Baremos actuales'!A:C,3,FALSE),0),
IF(M469=$H$4,IFERROR(VLOOKUP(B469,'Baremos anteriores'!A:C,3,FALSE),0),0))))))</f>
        <v/>
      </c>
      <c r="G469" s="7"/>
      <c r="H469" s="8"/>
      <c r="I469" s="8"/>
      <c r="J469" s="78" t="str">
        <f>IF($D469="","",
IF($E469="","",
IF($D469="MATE","",
IF(VLOOKUP($B469,'Baremos actuales'!A:D,4,FALSE)=J$9,$E469*$F469,IF(VLOOKUP($B469,'Baremos anteriores'!A:D,4,FALSE)="Sin Definir",$E469*$F469,"")))))</f>
        <v/>
      </c>
      <c r="K469" s="79" t="str">
        <f>IF($D469="","",
IF($E469="","",
IF($D469="MATE","",
IF(VLOOKUP($B469,'Baremos actuales'!$A:$D,4,FALSE)=K$9,$E469*$F469,IF(VLOOKUP($B469,'Baremos anteriores'!$A:$D,4,FALSE)="Desmonte",$E469*$F469,"")))))</f>
        <v/>
      </c>
      <c r="L469" s="80" t="str">
        <f>IF($D469="","",
IF($E469="","",
IF($D469="MATE","",
IF(VLOOKUP($B469,'Baremos actuales'!$A:$D,4,FALSE)=L$9,$E469*$F469,""))))</f>
        <v/>
      </c>
      <c r="M469" s="91" t="str">
        <f t="shared" si="7"/>
        <v/>
      </c>
      <c r="N469" s="96"/>
      <c r="O469" s="95"/>
      <c r="P469" s="96"/>
      <c r="Q469" s="98"/>
    </row>
    <row r="470" spans="1:17" ht="15.75" x14ac:dyDescent="0.2">
      <c r="A470" s="17"/>
      <c r="B470" s="18"/>
      <c r="C470" s="87" t="str">
        <f>IF(B470="","",
IF(M470=$H$5,IFERROR(VLOOKUP(B470,'Baremos actuales'!A:E,5,FALSE),"No encontrado. Revisar código, fecha ejecución y/o contrato."),
IF(M470=$H$4,IFERROR(VLOOKUP(B470,'Baremos anteriores'!A:E,5,FALSE),"No encontrado. Revisar código, fecha ejecución y/o contrato."),
IF(M470=$H$3,IFERROR(VLOOKUP(B470,#REF!,5,FALSE),"No encontrado. Revisar código, fecha ejecución y/o contrato."),
IF(D470="","Código no encontrado",
IF(D470="ERROR","No encontrado. Revisar Código, fecha de ejecución y/o contrato.",
IF(D470="MATE",
IF(C469="DESCRIPCION","NO SE PUEDE COMENZAR SIN CÓDIGO DE TAREA",
IF(C469="","FALTA CÓDIGO DE TAREA",
CONCATENATE("          ",VLOOKUP(B470,'Maestro Materiales'!A:C,3,FALSE)))),IFERROR(VLOOKUP(B470,#REF!,5,FALSE),"No encontrado. Revisar código, fecha ejecución y/o contrato."))))))))</f>
        <v/>
      </c>
      <c r="D470" s="88" t="str">
        <f>IF(B470="","",
IFERROR(VLOOKUP(B470,'Maestro Materiales'!A:C,2,FALSE),
IFERROR(VLOOKUP(B470,'Baremos actuales'!A:B,2,FALSE),
IFERROR(VLOOKUP(B470,'Baremos anteriores'!A:B,2,FALSE),
""))))</f>
        <v/>
      </c>
      <c r="E470" s="9"/>
      <c r="F470" s="89" t="str">
        <f>IF(D470="MATE",
IF(E470="","¿Unidades?",""),
IF(D470="",IF(E470="","","¿Código?"),
IF(E470="","¿Unidades?",
IF(D470="TARE",
IF(M470=$H$3,IFERROR(VLOOKUP(B470,'Baremos actuales'!A:C,3,FALSE),0),
IF(M470=$H$4,IFERROR(VLOOKUP(B470,'Baremos anteriores'!A:C,3,FALSE),0),0))))))</f>
        <v/>
      </c>
      <c r="G470" s="7"/>
      <c r="H470" s="8"/>
      <c r="I470" s="8"/>
      <c r="J470" s="78" t="str">
        <f>IF($D470="","",
IF($E470="","",
IF($D470="MATE","",
IF(VLOOKUP($B470,'Baremos actuales'!A:D,4,FALSE)=J$9,$E470*$F470,IF(VLOOKUP($B470,'Baremos anteriores'!A:D,4,FALSE)="Sin Definir",$E470*$F470,"")))))</f>
        <v/>
      </c>
      <c r="K470" s="79" t="str">
        <f>IF($D470="","",
IF($E470="","",
IF($D470="MATE","",
IF(VLOOKUP($B470,'Baremos actuales'!$A:$D,4,FALSE)=K$9,$E470*$F470,IF(VLOOKUP($B470,'Baremos anteriores'!$A:$D,4,FALSE)="Desmonte",$E470*$F470,"")))))</f>
        <v/>
      </c>
      <c r="L470" s="80" t="str">
        <f>IF($D470="","",
IF($E470="","",
IF($D470="MATE","",
IF(VLOOKUP($B470,'Baremos actuales'!$A:$D,4,FALSE)=L$9,$E470*$F470,""))))</f>
        <v/>
      </c>
      <c r="M470" s="91" t="str">
        <f t="shared" si="7"/>
        <v/>
      </c>
      <c r="N470" s="96"/>
      <c r="O470" s="95"/>
      <c r="P470" s="96"/>
      <c r="Q470" s="98"/>
    </row>
    <row r="471" spans="1:17" ht="15.75" x14ac:dyDescent="0.2">
      <c r="A471" s="17"/>
      <c r="B471" s="18"/>
      <c r="C471" s="87" t="str">
        <f>IF(B471="","",
IF(M471=$H$5,IFERROR(VLOOKUP(B471,'Baremos actuales'!A:E,5,FALSE),"No encontrado. Revisar código, fecha ejecución y/o contrato."),
IF(M471=$H$4,IFERROR(VLOOKUP(B471,'Baremos anteriores'!A:E,5,FALSE),"No encontrado. Revisar código, fecha ejecución y/o contrato."),
IF(M471=$H$3,IFERROR(VLOOKUP(B471,#REF!,5,FALSE),"No encontrado. Revisar código, fecha ejecución y/o contrato."),
IF(D471="","Código no encontrado",
IF(D471="ERROR","No encontrado. Revisar Código, fecha de ejecución y/o contrato.",
IF(D471="MATE",
IF(C470="DESCRIPCION","NO SE PUEDE COMENZAR SIN CÓDIGO DE TAREA",
IF(C470="","FALTA CÓDIGO DE TAREA",
CONCATENATE("          ",VLOOKUP(B471,'Maestro Materiales'!A:C,3,FALSE)))),IFERROR(VLOOKUP(B471,#REF!,5,FALSE),"No encontrado. Revisar código, fecha ejecución y/o contrato."))))))))</f>
        <v/>
      </c>
      <c r="D471" s="88" t="str">
        <f>IF(B471="","",
IFERROR(VLOOKUP(B471,'Maestro Materiales'!A:C,2,FALSE),
IFERROR(VLOOKUP(B471,'Baremos actuales'!A:B,2,FALSE),
IFERROR(VLOOKUP(B471,'Baremos anteriores'!A:B,2,FALSE),
""))))</f>
        <v/>
      </c>
      <c r="E471" s="9"/>
      <c r="F471" s="89" t="str">
        <f>IF(D471="MATE",
IF(E471="","¿Unidades?",""),
IF(D471="",IF(E471="","","¿Código?"),
IF(E471="","¿Unidades?",
IF(D471="TARE",
IF(M471=$H$3,IFERROR(VLOOKUP(B471,'Baremos actuales'!A:C,3,FALSE),0),
IF(M471=$H$4,IFERROR(VLOOKUP(B471,'Baremos anteriores'!A:C,3,FALSE),0),0))))))</f>
        <v/>
      </c>
      <c r="G471" s="7"/>
      <c r="H471" s="8"/>
      <c r="I471" s="8"/>
      <c r="J471" s="78" t="str">
        <f>IF($D471="","",
IF($E471="","",
IF($D471="MATE","",
IF(VLOOKUP($B471,'Baremos actuales'!A:D,4,FALSE)=J$9,$E471*$F471,IF(VLOOKUP($B471,'Baremos anteriores'!A:D,4,FALSE)="Sin Definir",$E471*$F471,"")))))</f>
        <v/>
      </c>
      <c r="K471" s="79" t="str">
        <f>IF($D471="","",
IF($E471="","",
IF($D471="MATE","",
IF(VLOOKUP($B471,'Baremos actuales'!$A:$D,4,FALSE)=K$9,$E471*$F471,IF(VLOOKUP($B471,'Baremos anteriores'!$A:$D,4,FALSE)="Desmonte",$E471*$F471,"")))))</f>
        <v/>
      </c>
      <c r="L471" s="80" t="str">
        <f>IF($D471="","",
IF($E471="","",
IF($D471="MATE","",
IF(VLOOKUP($B471,'Baremos actuales'!$A:$D,4,FALSE)=L$9,$E471*$F471,""))))</f>
        <v/>
      </c>
      <c r="M471" s="91" t="str">
        <f t="shared" si="7"/>
        <v/>
      </c>
      <c r="N471" s="96"/>
      <c r="O471" s="95"/>
      <c r="P471" s="96"/>
      <c r="Q471" s="98"/>
    </row>
    <row r="472" spans="1:17" ht="15.75" x14ac:dyDescent="0.2">
      <c r="A472" s="17"/>
      <c r="B472" s="18"/>
      <c r="C472" s="87" t="str">
        <f>IF(B472="","",
IF(M472=$H$5,IFERROR(VLOOKUP(B472,'Baremos actuales'!A:E,5,FALSE),"No encontrado. Revisar código, fecha ejecución y/o contrato."),
IF(M472=$H$4,IFERROR(VLOOKUP(B472,'Baremos anteriores'!A:E,5,FALSE),"No encontrado. Revisar código, fecha ejecución y/o contrato."),
IF(M472=$H$3,IFERROR(VLOOKUP(B472,#REF!,5,FALSE),"No encontrado. Revisar código, fecha ejecución y/o contrato."),
IF(D472="","Código no encontrado",
IF(D472="ERROR","No encontrado. Revisar Código, fecha de ejecución y/o contrato.",
IF(D472="MATE",
IF(C471="DESCRIPCION","NO SE PUEDE COMENZAR SIN CÓDIGO DE TAREA",
IF(C471="","FALTA CÓDIGO DE TAREA",
CONCATENATE("          ",VLOOKUP(B472,'Maestro Materiales'!A:C,3,FALSE)))),IFERROR(VLOOKUP(B472,#REF!,5,FALSE),"No encontrado. Revisar código, fecha ejecución y/o contrato."))))))))</f>
        <v/>
      </c>
      <c r="D472" s="88" t="str">
        <f>IF(B472="","",
IFERROR(VLOOKUP(B472,'Maestro Materiales'!A:C,2,FALSE),
IFERROR(VLOOKUP(B472,'Baremos actuales'!A:B,2,FALSE),
IFERROR(VLOOKUP(B472,'Baremos anteriores'!A:B,2,FALSE),
""))))</f>
        <v/>
      </c>
      <c r="E472" s="9"/>
      <c r="F472" s="89" t="str">
        <f>IF(D472="MATE",
IF(E472="","¿Unidades?",""),
IF(D472="",IF(E472="","","¿Código?"),
IF(E472="","¿Unidades?",
IF(D472="TARE",
IF(M472=$H$3,IFERROR(VLOOKUP(B472,'Baremos actuales'!A:C,3,FALSE),0),
IF(M472=$H$4,IFERROR(VLOOKUP(B472,'Baremos anteriores'!A:C,3,FALSE),0),0))))))</f>
        <v/>
      </c>
      <c r="G472" s="7"/>
      <c r="H472" s="8"/>
      <c r="I472" s="8"/>
      <c r="J472" s="78" t="str">
        <f>IF($D472="","",
IF($E472="","",
IF($D472="MATE","",
IF(VLOOKUP($B472,'Baremos actuales'!A:D,4,FALSE)=J$9,$E472*$F472,IF(VLOOKUP($B472,'Baremos anteriores'!A:D,4,FALSE)="Sin Definir",$E472*$F472,"")))))</f>
        <v/>
      </c>
      <c r="K472" s="79" t="str">
        <f>IF($D472="","",
IF($E472="","",
IF($D472="MATE","",
IF(VLOOKUP($B472,'Baremos actuales'!$A:$D,4,FALSE)=K$9,$E472*$F472,IF(VLOOKUP($B472,'Baremos anteriores'!$A:$D,4,FALSE)="Desmonte",$E472*$F472,"")))))</f>
        <v/>
      </c>
      <c r="L472" s="80" t="str">
        <f>IF($D472="","",
IF($E472="","",
IF($D472="MATE","",
IF(VLOOKUP($B472,'Baremos actuales'!$A:$D,4,FALSE)=L$9,$E472*$F472,""))))</f>
        <v/>
      </c>
      <c r="M472" s="91" t="str">
        <f t="shared" si="7"/>
        <v/>
      </c>
      <c r="N472" s="96"/>
      <c r="O472" s="95"/>
      <c r="P472" s="96"/>
      <c r="Q472" s="98"/>
    </row>
    <row r="473" spans="1:17" ht="15.75" x14ac:dyDescent="0.2">
      <c r="A473" s="17"/>
      <c r="B473" s="18"/>
      <c r="C473" s="87" t="str">
        <f>IF(B473="","",
IF(M473=$H$5,IFERROR(VLOOKUP(B473,'Baremos actuales'!A:E,5,FALSE),"No encontrado. Revisar código, fecha ejecución y/o contrato."),
IF(M473=$H$4,IFERROR(VLOOKUP(B473,'Baremos anteriores'!A:E,5,FALSE),"No encontrado. Revisar código, fecha ejecución y/o contrato."),
IF(M473=$H$3,IFERROR(VLOOKUP(B473,#REF!,5,FALSE),"No encontrado. Revisar código, fecha ejecución y/o contrato."),
IF(D473="","Código no encontrado",
IF(D473="ERROR","No encontrado. Revisar Código, fecha de ejecución y/o contrato.",
IF(D473="MATE",
IF(C472="DESCRIPCION","NO SE PUEDE COMENZAR SIN CÓDIGO DE TAREA",
IF(C472="","FALTA CÓDIGO DE TAREA",
CONCATENATE("          ",VLOOKUP(B473,'Maestro Materiales'!A:C,3,FALSE)))),IFERROR(VLOOKUP(B473,#REF!,5,FALSE),"No encontrado. Revisar código, fecha ejecución y/o contrato."))))))))</f>
        <v/>
      </c>
      <c r="D473" s="88" t="str">
        <f>IF(B473="","",
IFERROR(VLOOKUP(B473,'Maestro Materiales'!A:C,2,FALSE),
IFERROR(VLOOKUP(B473,'Baremos actuales'!A:B,2,FALSE),
IFERROR(VLOOKUP(B473,'Baremos anteriores'!A:B,2,FALSE),
""))))</f>
        <v/>
      </c>
      <c r="E473" s="9"/>
      <c r="F473" s="89" t="str">
        <f>IF(D473="MATE",
IF(E473="","¿Unidades?",""),
IF(D473="",IF(E473="","","¿Código?"),
IF(E473="","¿Unidades?",
IF(D473="TARE",
IF(M473=$H$3,IFERROR(VLOOKUP(B473,'Baremos actuales'!A:C,3,FALSE),0),
IF(M473=$H$4,IFERROR(VLOOKUP(B473,'Baremos anteriores'!A:C,3,FALSE),0),0))))))</f>
        <v/>
      </c>
      <c r="G473" s="7"/>
      <c r="H473" s="8"/>
      <c r="I473" s="8"/>
      <c r="J473" s="78" t="str">
        <f>IF($D473="","",
IF($E473="","",
IF($D473="MATE","",
IF(VLOOKUP($B473,'Baremos actuales'!A:D,4,FALSE)=J$9,$E473*$F473,IF(VLOOKUP($B473,'Baremos anteriores'!A:D,4,FALSE)="Sin Definir",$E473*$F473,"")))))</f>
        <v/>
      </c>
      <c r="K473" s="79" t="str">
        <f>IF($D473="","",
IF($E473="","",
IF($D473="MATE","",
IF(VLOOKUP($B473,'Baremos actuales'!$A:$D,4,FALSE)=K$9,$E473*$F473,IF(VLOOKUP($B473,'Baremos anteriores'!$A:$D,4,FALSE)="Desmonte",$E473*$F473,"")))))</f>
        <v/>
      </c>
      <c r="L473" s="80" t="str">
        <f>IF($D473="","",
IF($E473="","",
IF($D473="MATE","",
IF(VLOOKUP($B473,'Baremos actuales'!$A:$D,4,FALSE)=L$9,$E473*$F473,""))))</f>
        <v/>
      </c>
      <c r="M473" s="91" t="str">
        <f t="shared" si="7"/>
        <v/>
      </c>
      <c r="N473" s="96"/>
      <c r="O473" s="95"/>
      <c r="P473" s="96"/>
      <c r="Q473" s="98"/>
    </row>
    <row r="474" spans="1:17" ht="15.75" x14ac:dyDescent="0.2">
      <c r="A474" s="17"/>
      <c r="B474" s="18"/>
      <c r="C474" s="87" t="str">
        <f>IF(B474="","",
IF(M474=$H$5,IFERROR(VLOOKUP(B474,'Baremos actuales'!A:E,5,FALSE),"No encontrado. Revisar código, fecha ejecución y/o contrato."),
IF(M474=$H$4,IFERROR(VLOOKUP(B474,'Baremos anteriores'!A:E,5,FALSE),"No encontrado. Revisar código, fecha ejecución y/o contrato."),
IF(M474=$H$3,IFERROR(VLOOKUP(B474,#REF!,5,FALSE),"No encontrado. Revisar código, fecha ejecución y/o contrato."),
IF(D474="","Código no encontrado",
IF(D474="ERROR","No encontrado. Revisar Código, fecha de ejecución y/o contrato.",
IF(D474="MATE",
IF(C473="DESCRIPCION","NO SE PUEDE COMENZAR SIN CÓDIGO DE TAREA",
IF(C473="","FALTA CÓDIGO DE TAREA",
CONCATENATE("          ",VLOOKUP(B474,'Maestro Materiales'!A:C,3,FALSE)))),IFERROR(VLOOKUP(B474,#REF!,5,FALSE),"No encontrado. Revisar código, fecha ejecución y/o contrato."))))))))</f>
        <v/>
      </c>
      <c r="D474" s="88" t="str">
        <f>IF(B474="","",
IFERROR(VLOOKUP(B474,'Maestro Materiales'!A:C,2,FALSE),
IFERROR(VLOOKUP(B474,'Baremos actuales'!A:B,2,FALSE),
IFERROR(VLOOKUP(B474,'Baremos anteriores'!A:B,2,FALSE),
""))))</f>
        <v/>
      </c>
      <c r="E474" s="9"/>
      <c r="F474" s="89" t="str">
        <f>IF(D474="MATE",
IF(E474="","¿Unidades?",""),
IF(D474="",IF(E474="","","¿Código?"),
IF(E474="","¿Unidades?",
IF(D474="TARE",
IF(M474=$H$3,IFERROR(VLOOKUP(B474,'Baremos actuales'!A:C,3,FALSE),0),
IF(M474=$H$4,IFERROR(VLOOKUP(B474,'Baremos anteriores'!A:C,3,FALSE),0),0))))))</f>
        <v/>
      </c>
      <c r="G474" s="7"/>
      <c r="H474" s="8"/>
      <c r="I474" s="8"/>
      <c r="J474" s="78" t="str">
        <f>IF($D474="","",
IF($E474="","",
IF($D474="MATE","",
IF(VLOOKUP($B474,'Baremos actuales'!A:D,4,FALSE)=J$9,$E474*$F474,IF(VLOOKUP($B474,'Baremos anteriores'!A:D,4,FALSE)="Sin Definir",$E474*$F474,"")))))</f>
        <v/>
      </c>
      <c r="K474" s="79" t="str">
        <f>IF($D474="","",
IF($E474="","",
IF($D474="MATE","",
IF(VLOOKUP($B474,'Baremos actuales'!$A:$D,4,FALSE)=K$9,$E474*$F474,IF(VLOOKUP($B474,'Baremos anteriores'!$A:$D,4,FALSE)="Desmonte",$E474*$F474,"")))))</f>
        <v/>
      </c>
      <c r="L474" s="80" t="str">
        <f>IF($D474="","",
IF($E474="","",
IF($D474="MATE","",
IF(VLOOKUP($B474,'Baremos actuales'!$A:$D,4,FALSE)=L$9,$E474*$F474,""))))</f>
        <v/>
      </c>
      <c r="M474" s="91" t="str">
        <f t="shared" si="7"/>
        <v/>
      </c>
      <c r="N474" s="96"/>
      <c r="O474" s="95"/>
      <c r="P474" s="96"/>
      <c r="Q474" s="98"/>
    </row>
    <row r="475" spans="1:17" ht="15.75" x14ac:dyDescent="0.2">
      <c r="A475" s="17"/>
      <c r="B475" s="18"/>
      <c r="C475" s="87" t="str">
        <f>IF(B475="","",
IF(M475=$H$5,IFERROR(VLOOKUP(B475,'Baremos actuales'!A:E,5,FALSE),"No encontrado. Revisar código, fecha ejecución y/o contrato."),
IF(M475=$H$4,IFERROR(VLOOKUP(B475,'Baremos anteriores'!A:E,5,FALSE),"No encontrado. Revisar código, fecha ejecución y/o contrato."),
IF(M475=$H$3,IFERROR(VLOOKUP(B475,#REF!,5,FALSE),"No encontrado. Revisar código, fecha ejecución y/o contrato."),
IF(D475="","Código no encontrado",
IF(D475="ERROR","No encontrado. Revisar Código, fecha de ejecución y/o contrato.",
IF(D475="MATE",
IF(C474="DESCRIPCION","NO SE PUEDE COMENZAR SIN CÓDIGO DE TAREA",
IF(C474="","FALTA CÓDIGO DE TAREA",
CONCATENATE("          ",VLOOKUP(B475,'Maestro Materiales'!A:C,3,FALSE)))),IFERROR(VLOOKUP(B475,#REF!,5,FALSE),"No encontrado. Revisar código, fecha ejecución y/o contrato."))))))))</f>
        <v/>
      </c>
      <c r="D475" s="88" t="str">
        <f>IF(B475="","",
IFERROR(VLOOKUP(B475,'Maestro Materiales'!A:C,2,FALSE),
IFERROR(VLOOKUP(B475,'Baremos actuales'!A:B,2,FALSE),
IFERROR(VLOOKUP(B475,'Baremos anteriores'!A:B,2,FALSE),
""))))</f>
        <v/>
      </c>
      <c r="E475" s="9"/>
      <c r="F475" s="89" t="str">
        <f>IF(D475="MATE",
IF(E475="","¿Unidades?",""),
IF(D475="",IF(E475="","","¿Código?"),
IF(E475="","¿Unidades?",
IF(D475="TARE",
IF(M475=$H$3,IFERROR(VLOOKUP(B475,'Baremos actuales'!A:C,3,FALSE),0),
IF(M475=$H$4,IFERROR(VLOOKUP(B475,'Baremos anteriores'!A:C,3,FALSE),0),0))))))</f>
        <v/>
      </c>
      <c r="G475" s="7"/>
      <c r="H475" s="8"/>
      <c r="I475" s="8"/>
      <c r="J475" s="78" t="str">
        <f>IF($D475="","",
IF($E475="","",
IF($D475="MATE","",
IF(VLOOKUP($B475,'Baremos actuales'!A:D,4,FALSE)=J$9,$E475*$F475,IF(VLOOKUP($B475,'Baremos anteriores'!A:D,4,FALSE)="Sin Definir",$E475*$F475,"")))))</f>
        <v/>
      </c>
      <c r="K475" s="79" t="str">
        <f>IF($D475="","",
IF($E475="","",
IF($D475="MATE","",
IF(VLOOKUP($B475,'Baremos actuales'!$A:$D,4,FALSE)=K$9,$E475*$F475,IF(VLOOKUP($B475,'Baremos anteriores'!$A:$D,4,FALSE)="Desmonte",$E475*$F475,"")))))</f>
        <v/>
      </c>
      <c r="L475" s="80" t="str">
        <f>IF($D475="","",
IF($E475="","",
IF($D475="MATE","",
IF(VLOOKUP($B475,'Baremos actuales'!$A:$D,4,FALSE)=L$9,$E475*$F475,""))))</f>
        <v/>
      </c>
      <c r="M475" s="91" t="str">
        <f t="shared" si="7"/>
        <v/>
      </c>
      <c r="N475" s="96"/>
      <c r="O475" s="95"/>
      <c r="P475" s="96"/>
      <c r="Q475" s="98"/>
    </row>
    <row r="476" spans="1:17" ht="15.75" x14ac:dyDescent="0.2">
      <c r="A476" s="17"/>
      <c r="B476" s="18"/>
      <c r="C476" s="87" t="str">
        <f>IF(B476="","",
IF(M476=$H$5,IFERROR(VLOOKUP(B476,'Baremos actuales'!A:E,5,FALSE),"No encontrado. Revisar código, fecha ejecución y/o contrato."),
IF(M476=$H$4,IFERROR(VLOOKUP(B476,'Baremos anteriores'!A:E,5,FALSE),"No encontrado. Revisar código, fecha ejecución y/o contrato."),
IF(M476=$H$3,IFERROR(VLOOKUP(B476,#REF!,5,FALSE),"No encontrado. Revisar código, fecha ejecución y/o contrato."),
IF(D476="","Código no encontrado",
IF(D476="ERROR","No encontrado. Revisar Código, fecha de ejecución y/o contrato.",
IF(D476="MATE",
IF(C475="DESCRIPCION","NO SE PUEDE COMENZAR SIN CÓDIGO DE TAREA",
IF(C475="","FALTA CÓDIGO DE TAREA",
CONCATENATE("          ",VLOOKUP(B476,'Maestro Materiales'!A:C,3,FALSE)))),IFERROR(VLOOKUP(B476,#REF!,5,FALSE),"No encontrado. Revisar código, fecha ejecución y/o contrato."))))))))</f>
        <v/>
      </c>
      <c r="D476" s="88" t="str">
        <f>IF(B476="","",
IFERROR(VLOOKUP(B476,'Maestro Materiales'!A:C,2,FALSE),
IFERROR(VLOOKUP(B476,'Baremos actuales'!A:B,2,FALSE),
IFERROR(VLOOKUP(B476,'Baremos anteriores'!A:B,2,FALSE),
""))))</f>
        <v/>
      </c>
      <c r="E476" s="9"/>
      <c r="F476" s="89" t="str">
        <f>IF(D476="MATE",
IF(E476="","¿Unidades?",""),
IF(D476="",IF(E476="","","¿Código?"),
IF(E476="","¿Unidades?",
IF(D476="TARE",
IF(M476=$H$3,IFERROR(VLOOKUP(B476,'Baremos actuales'!A:C,3,FALSE),0),
IF(M476=$H$4,IFERROR(VLOOKUP(B476,'Baremos anteriores'!A:C,3,FALSE),0),0))))))</f>
        <v/>
      </c>
      <c r="G476" s="7"/>
      <c r="H476" s="8"/>
      <c r="I476" s="8"/>
      <c r="J476" s="78" t="str">
        <f>IF($D476="","",
IF($E476="","",
IF($D476="MATE","",
IF(VLOOKUP($B476,'Baremos actuales'!A:D,4,FALSE)=J$9,$E476*$F476,IF(VLOOKUP($B476,'Baremos anteriores'!A:D,4,FALSE)="Sin Definir",$E476*$F476,"")))))</f>
        <v/>
      </c>
      <c r="K476" s="79" t="str">
        <f>IF($D476="","",
IF($E476="","",
IF($D476="MATE","",
IF(VLOOKUP($B476,'Baremos actuales'!$A:$D,4,FALSE)=K$9,$E476*$F476,IF(VLOOKUP($B476,'Baremos anteriores'!$A:$D,4,FALSE)="Desmonte",$E476*$F476,"")))))</f>
        <v/>
      </c>
      <c r="L476" s="80" t="str">
        <f>IF($D476="","",
IF($E476="","",
IF($D476="MATE","",
IF(VLOOKUP($B476,'Baremos actuales'!$A:$D,4,FALSE)=L$9,$E476*$F476,""))))</f>
        <v/>
      </c>
      <c r="M476" s="91" t="str">
        <f t="shared" si="7"/>
        <v/>
      </c>
      <c r="N476" s="96"/>
      <c r="O476" s="95"/>
      <c r="P476" s="96"/>
      <c r="Q476" s="98"/>
    </row>
    <row r="477" spans="1:17" ht="15.75" x14ac:dyDescent="0.2">
      <c r="A477" s="17"/>
      <c r="B477" s="18"/>
      <c r="C477" s="87" t="str">
        <f>IF(B477="","",
IF(M477=$H$5,IFERROR(VLOOKUP(B477,'Baremos actuales'!A:E,5,FALSE),"No encontrado. Revisar código, fecha ejecución y/o contrato."),
IF(M477=$H$4,IFERROR(VLOOKUP(B477,'Baremos anteriores'!A:E,5,FALSE),"No encontrado. Revisar código, fecha ejecución y/o contrato."),
IF(M477=$H$3,IFERROR(VLOOKUP(B477,#REF!,5,FALSE),"No encontrado. Revisar código, fecha ejecución y/o contrato."),
IF(D477="","Código no encontrado",
IF(D477="ERROR","No encontrado. Revisar Código, fecha de ejecución y/o contrato.",
IF(D477="MATE",
IF(C476="DESCRIPCION","NO SE PUEDE COMENZAR SIN CÓDIGO DE TAREA",
IF(C476="","FALTA CÓDIGO DE TAREA",
CONCATENATE("          ",VLOOKUP(B477,'Maestro Materiales'!A:C,3,FALSE)))),IFERROR(VLOOKUP(B477,#REF!,5,FALSE),"No encontrado. Revisar código, fecha ejecución y/o contrato."))))))))</f>
        <v/>
      </c>
      <c r="D477" s="88" t="str">
        <f>IF(B477="","",
IFERROR(VLOOKUP(B477,'Maestro Materiales'!A:C,2,FALSE),
IFERROR(VLOOKUP(B477,'Baremos actuales'!A:B,2,FALSE),
IFERROR(VLOOKUP(B477,'Baremos anteriores'!A:B,2,FALSE),
""))))</f>
        <v/>
      </c>
      <c r="E477" s="9"/>
      <c r="F477" s="89" t="str">
        <f>IF(D477="MATE",
IF(E477="","¿Unidades?",""),
IF(D477="",IF(E477="","","¿Código?"),
IF(E477="","¿Unidades?",
IF(D477="TARE",
IF(M477=$H$3,IFERROR(VLOOKUP(B477,'Baremos actuales'!A:C,3,FALSE),0),
IF(M477=$H$4,IFERROR(VLOOKUP(B477,'Baremos anteriores'!A:C,3,FALSE),0),0))))))</f>
        <v/>
      </c>
      <c r="G477" s="7"/>
      <c r="H477" s="8"/>
      <c r="I477" s="8"/>
      <c r="J477" s="78" t="str">
        <f>IF($D477="","",
IF($E477="","",
IF($D477="MATE","",
IF(VLOOKUP($B477,'Baremos actuales'!A:D,4,FALSE)=J$9,$E477*$F477,IF(VLOOKUP($B477,'Baremos anteriores'!A:D,4,FALSE)="Sin Definir",$E477*$F477,"")))))</f>
        <v/>
      </c>
      <c r="K477" s="79" t="str">
        <f>IF($D477="","",
IF($E477="","",
IF($D477="MATE","",
IF(VLOOKUP($B477,'Baremos actuales'!$A:$D,4,FALSE)=K$9,$E477*$F477,IF(VLOOKUP($B477,'Baremos anteriores'!$A:$D,4,FALSE)="Desmonte",$E477*$F477,"")))))</f>
        <v/>
      </c>
      <c r="L477" s="80" t="str">
        <f>IF($D477="","",
IF($E477="","",
IF($D477="MATE","",
IF(VLOOKUP($B477,'Baremos actuales'!$A:$D,4,FALSE)=L$9,$E477*$F477,""))))</f>
        <v/>
      </c>
      <c r="M477" s="91" t="str">
        <f t="shared" si="7"/>
        <v/>
      </c>
      <c r="N477" s="96"/>
      <c r="O477" s="95"/>
      <c r="P477" s="96"/>
      <c r="Q477" s="98"/>
    </row>
    <row r="478" spans="1:17" ht="15.75" x14ac:dyDescent="0.2">
      <c r="A478" s="17"/>
      <c r="B478" s="18"/>
      <c r="C478" s="87" t="str">
        <f>IF(B478="","",
IF(M478=$H$5,IFERROR(VLOOKUP(B478,'Baremos actuales'!A:E,5,FALSE),"No encontrado. Revisar código, fecha ejecución y/o contrato."),
IF(M478=$H$4,IFERROR(VLOOKUP(B478,'Baremos anteriores'!A:E,5,FALSE),"No encontrado. Revisar código, fecha ejecución y/o contrato."),
IF(M478=$H$3,IFERROR(VLOOKUP(B478,#REF!,5,FALSE),"No encontrado. Revisar código, fecha ejecución y/o contrato."),
IF(D478="","Código no encontrado",
IF(D478="ERROR","No encontrado. Revisar Código, fecha de ejecución y/o contrato.",
IF(D478="MATE",
IF(C477="DESCRIPCION","NO SE PUEDE COMENZAR SIN CÓDIGO DE TAREA",
IF(C477="","FALTA CÓDIGO DE TAREA",
CONCATENATE("          ",VLOOKUP(B478,'Maestro Materiales'!A:C,3,FALSE)))),IFERROR(VLOOKUP(B478,#REF!,5,FALSE),"No encontrado. Revisar código, fecha ejecución y/o contrato."))))))))</f>
        <v/>
      </c>
      <c r="D478" s="88" t="str">
        <f>IF(B478="","",
IFERROR(VLOOKUP(B478,'Maestro Materiales'!A:C,2,FALSE),
IFERROR(VLOOKUP(B478,'Baremos actuales'!A:B,2,FALSE),
IFERROR(VLOOKUP(B478,'Baremos anteriores'!A:B,2,FALSE),
""))))</f>
        <v/>
      </c>
      <c r="E478" s="9"/>
      <c r="F478" s="89" t="str">
        <f>IF(D478="MATE",
IF(E478="","¿Unidades?",""),
IF(D478="",IF(E478="","","¿Código?"),
IF(E478="","¿Unidades?",
IF(D478="TARE",
IF(M478=$H$3,IFERROR(VLOOKUP(B478,'Baremos actuales'!A:C,3,FALSE),0),
IF(M478=$H$4,IFERROR(VLOOKUP(B478,'Baremos anteriores'!A:C,3,FALSE),0),0))))))</f>
        <v/>
      </c>
      <c r="G478" s="7"/>
      <c r="H478" s="8"/>
      <c r="I478" s="8"/>
      <c r="J478" s="78" t="str">
        <f>IF($D478="","",
IF($E478="","",
IF($D478="MATE","",
IF(VLOOKUP($B478,'Baremos actuales'!A:D,4,FALSE)=J$9,$E478*$F478,IF(VLOOKUP($B478,'Baremos anteriores'!A:D,4,FALSE)="Sin Definir",$E478*$F478,"")))))</f>
        <v/>
      </c>
      <c r="K478" s="79" t="str">
        <f>IF($D478="","",
IF($E478="","",
IF($D478="MATE","",
IF(VLOOKUP($B478,'Baremos actuales'!$A:$D,4,FALSE)=K$9,$E478*$F478,IF(VLOOKUP($B478,'Baremos anteriores'!$A:$D,4,FALSE)="Desmonte",$E478*$F478,"")))))</f>
        <v/>
      </c>
      <c r="L478" s="80" t="str">
        <f>IF($D478="","",
IF($E478="","",
IF($D478="MATE","",
IF(VLOOKUP($B478,'Baremos actuales'!$A:$D,4,FALSE)=L$9,$E478*$F478,""))))</f>
        <v/>
      </c>
      <c r="M478" s="91" t="str">
        <f t="shared" si="7"/>
        <v/>
      </c>
      <c r="N478" s="96"/>
      <c r="O478" s="95"/>
      <c r="P478" s="96"/>
      <c r="Q478" s="98"/>
    </row>
    <row r="479" spans="1:17" ht="15.75" x14ac:dyDescent="0.2">
      <c r="A479" s="17"/>
      <c r="B479" s="18"/>
      <c r="C479" s="87" t="str">
        <f>IF(B479="","",
IF(M479=$H$5,IFERROR(VLOOKUP(B479,'Baremos actuales'!A:E,5,FALSE),"No encontrado. Revisar código, fecha ejecución y/o contrato."),
IF(M479=$H$4,IFERROR(VLOOKUP(B479,'Baremos anteriores'!A:E,5,FALSE),"No encontrado. Revisar código, fecha ejecución y/o contrato."),
IF(M479=$H$3,IFERROR(VLOOKUP(B479,#REF!,5,FALSE),"No encontrado. Revisar código, fecha ejecución y/o contrato."),
IF(D479="","Código no encontrado",
IF(D479="ERROR","No encontrado. Revisar Código, fecha de ejecución y/o contrato.",
IF(D479="MATE",
IF(C478="DESCRIPCION","NO SE PUEDE COMENZAR SIN CÓDIGO DE TAREA",
IF(C478="","FALTA CÓDIGO DE TAREA",
CONCATENATE("          ",VLOOKUP(B479,'Maestro Materiales'!A:C,3,FALSE)))),IFERROR(VLOOKUP(B479,#REF!,5,FALSE),"No encontrado. Revisar código, fecha ejecución y/o contrato."))))))))</f>
        <v/>
      </c>
      <c r="D479" s="88" t="str">
        <f>IF(B479="","",
IFERROR(VLOOKUP(B479,'Maestro Materiales'!A:C,2,FALSE),
IFERROR(VLOOKUP(B479,'Baremos actuales'!A:B,2,FALSE),
IFERROR(VLOOKUP(B479,'Baremos anteriores'!A:B,2,FALSE),
""))))</f>
        <v/>
      </c>
      <c r="E479" s="9"/>
      <c r="F479" s="89" t="str">
        <f>IF(D479="MATE",
IF(E479="","¿Unidades?",""),
IF(D479="",IF(E479="","","¿Código?"),
IF(E479="","¿Unidades?",
IF(D479="TARE",
IF(M479=$H$3,IFERROR(VLOOKUP(B479,'Baremos actuales'!A:C,3,FALSE),0),
IF(M479=$H$4,IFERROR(VLOOKUP(B479,'Baremos anteriores'!A:C,3,FALSE),0),0))))))</f>
        <v/>
      </c>
      <c r="G479" s="7"/>
      <c r="H479" s="8"/>
      <c r="I479" s="8"/>
      <c r="J479" s="78" t="str">
        <f>IF($D479="","",
IF($E479="","",
IF($D479="MATE","",
IF(VLOOKUP($B479,'Baremos actuales'!A:D,4,FALSE)=J$9,$E479*$F479,IF(VLOOKUP($B479,'Baremos anteriores'!A:D,4,FALSE)="Sin Definir",$E479*$F479,"")))))</f>
        <v/>
      </c>
      <c r="K479" s="79" t="str">
        <f>IF($D479="","",
IF($E479="","",
IF($D479="MATE","",
IF(VLOOKUP($B479,'Baremos actuales'!$A:$D,4,FALSE)=K$9,$E479*$F479,IF(VLOOKUP($B479,'Baremos anteriores'!$A:$D,4,FALSE)="Desmonte",$E479*$F479,"")))))</f>
        <v/>
      </c>
      <c r="L479" s="80" t="str">
        <f>IF($D479="","",
IF($E479="","",
IF($D479="MATE","",
IF(VLOOKUP($B479,'Baremos actuales'!$A:$D,4,FALSE)=L$9,$E479*$F479,""))))</f>
        <v/>
      </c>
      <c r="M479" s="91" t="str">
        <f t="shared" si="7"/>
        <v/>
      </c>
      <c r="N479" s="96"/>
      <c r="O479" s="95"/>
      <c r="P479" s="96"/>
      <c r="Q479" s="98"/>
    </row>
    <row r="480" spans="1:17" ht="15.75" x14ac:dyDescent="0.2">
      <c r="A480" s="17"/>
      <c r="B480" s="18"/>
      <c r="C480" s="87" t="str">
        <f>IF(B480="","",
IF(M480=$H$5,IFERROR(VLOOKUP(B480,'Baremos actuales'!A:E,5,FALSE),"No encontrado. Revisar código, fecha ejecución y/o contrato."),
IF(M480=$H$4,IFERROR(VLOOKUP(B480,'Baremos anteriores'!A:E,5,FALSE),"No encontrado. Revisar código, fecha ejecución y/o contrato."),
IF(M480=$H$3,IFERROR(VLOOKUP(B480,#REF!,5,FALSE),"No encontrado. Revisar código, fecha ejecución y/o contrato."),
IF(D480="","Código no encontrado",
IF(D480="ERROR","No encontrado. Revisar Código, fecha de ejecución y/o contrato.",
IF(D480="MATE",
IF(C479="DESCRIPCION","NO SE PUEDE COMENZAR SIN CÓDIGO DE TAREA",
IF(C479="","FALTA CÓDIGO DE TAREA",
CONCATENATE("          ",VLOOKUP(B480,'Maestro Materiales'!A:C,3,FALSE)))),IFERROR(VLOOKUP(B480,#REF!,5,FALSE),"No encontrado. Revisar código, fecha ejecución y/o contrato."))))))))</f>
        <v/>
      </c>
      <c r="D480" s="88" t="str">
        <f>IF(B480="","",
IFERROR(VLOOKUP(B480,'Maestro Materiales'!A:C,2,FALSE),
IFERROR(VLOOKUP(B480,'Baremos actuales'!A:B,2,FALSE),
IFERROR(VLOOKUP(B480,'Baremos anteriores'!A:B,2,FALSE),
""))))</f>
        <v/>
      </c>
      <c r="E480" s="9"/>
      <c r="F480" s="89" t="str">
        <f>IF(D480="MATE",
IF(E480="","¿Unidades?",""),
IF(D480="",IF(E480="","","¿Código?"),
IF(E480="","¿Unidades?",
IF(D480="TARE",
IF(M480=$H$3,IFERROR(VLOOKUP(B480,'Baremos actuales'!A:C,3,FALSE),0),
IF(M480=$H$4,IFERROR(VLOOKUP(B480,'Baremos anteriores'!A:C,3,FALSE),0),0))))))</f>
        <v/>
      </c>
      <c r="G480" s="7"/>
      <c r="H480" s="8"/>
      <c r="I480" s="8"/>
      <c r="J480" s="78" t="str">
        <f>IF($D480="","",
IF($E480="","",
IF($D480="MATE","",
IF(VLOOKUP($B480,'Baremos actuales'!A:D,4,FALSE)=J$9,$E480*$F480,IF(VLOOKUP($B480,'Baremos anteriores'!A:D,4,FALSE)="Sin Definir",$E480*$F480,"")))))</f>
        <v/>
      </c>
      <c r="K480" s="79" t="str">
        <f>IF($D480="","",
IF($E480="","",
IF($D480="MATE","",
IF(VLOOKUP($B480,'Baremos actuales'!$A:$D,4,FALSE)=K$9,$E480*$F480,IF(VLOOKUP($B480,'Baremos anteriores'!$A:$D,4,FALSE)="Desmonte",$E480*$F480,"")))))</f>
        <v/>
      </c>
      <c r="L480" s="80" t="str">
        <f>IF($D480="","",
IF($E480="","",
IF($D480="MATE","",
IF(VLOOKUP($B480,'Baremos actuales'!$A:$D,4,FALSE)=L$9,$E480*$F480,""))))</f>
        <v/>
      </c>
      <c r="M480" s="91" t="str">
        <f t="shared" si="7"/>
        <v/>
      </c>
      <c r="N480" s="96"/>
      <c r="O480" s="95"/>
      <c r="P480" s="96"/>
      <c r="Q480" s="98"/>
    </row>
    <row r="481" spans="1:17" ht="15.75" x14ac:dyDescent="0.2">
      <c r="A481" s="17"/>
      <c r="B481" s="18"/>
      <c r="C481" s="87" t="str">
        <f>IF(B481="","",
IF(M481=$H$5,IFERROR(VLOOKUP(B481,'Baremos actuales'!A:E,5,FALSE),"No encontrado. Revisar código, fecha ejecución y/o contrato."),
IF(M481=$H$4,IFERROR(VLOOKUP(B481,'Baremos anteriores'!A:E,5,FALSE),"No encontrado. Revisar código, fecha ejecución y/o contrato."),
IF(M481=$H$3,IFERROR(VLOOKUP(B481,#REF!,5,FALSE),"No encontrado. Revisar código, fecha ejecución y/o contrato."),
IF(D481="","Código no encontrado",
IF(D481="ERROR","No encontrado. Revisar Código, fecha de ejecución y/o contrato.",
IF(D481="MATE",
IF(C480="DESCRIPCION","NO SE PUEDE COMENZAR SIN CÓDIGO DE TAREA",
IF(C480="","FALTA CÓDIGO DE TAREA",
CONCATENATE("          ",VLOOKUP(B481,'Maestro Materiales'!A:C,3,FALSE)))),IFERROR(VLOOKUP(B481,#REF!,5,FALSE),"No encontrado. Revisar código, fecha ejecución y/o contrato."))))))))</f>
        <v/>
      </c>
      <c r="D481" s="88" t="str">
        <f>IF(B481="","",
IFERROR(VLOOKUP(B481,'Maestro Materiales'!A:C,2,FALSE),
IFERROR(VLOOKUP(B481,'Baremos actuales'!A:B,2,FALSE),
IFERROR(VLOOKUP(B481,'Baremos anteriores'!A:B,2,FALSE),
""))))</f>
        <v/>
      </c>
      <c r="E481" s="9"/>
      <c r="F481" s="89" t="str">
        <f>IF(D481="MATE",
IF(E481="","¿Unidades?",""),
IF(D481="",IF(E481="","","¿Código?"),
IF(E481="","¿Unidades?",
IF(D481="TARE",
IF(M481=$H$3,IFERROR(VLOOKUP(B481,'Baremos actuales'!A:C,3,FALSE),0),
IF(M481=$H$4,IFERROR(VLOOKUP(B481,'Baremos anteriores'!A:C,3,FALSE),0),0))))))</f>
        <v/>
      </c>
      <c r="G481" s="7"/>
      <c r="H481" s="8"/>
      <c r="I481" s="8"/>
      <c r="J481" s="78" t="str">
        <f>IF($D481="","",
IF($E481="","",
IF($D481="MATE","",
IF(VLOOKUP($B481,'Baremos actuales'!A:D,4,FALSE)=J$9,$E481*$F481,IF(VLOOKUP($B481,'Baremos anteriores'!A:D,4,FALSE)="Sin Definir",$E481*$F481,"")))))</f>
        <v/>
      </c>
      <c r="K481" s="79" t="str">
        <f>IF($D481="","",
IF($E481="","",
IF($D481="MATE","",
IF(VLOOKUP($B481,'Baremos actuales'!$A:$D,4,FALSE)=K$9,$E481*$F481,IF(VLOOKUP($B481,'Baremos anteriores'!$A:$D,4,FALSE)="Desmonte",$E481*$F481,"")))))</f>
        <v/>
      </c>
      <c r="L481" s="80" t="str">
        <f>IF($D481="","",
IF($E481="","",
IF($D481="MATE","",
IF(VLOOKUP($B481,'Baremos actuales'!$A:$D,4,FALSE)=L$9,$E481*$F481,""))))</f>
        <v/>
      </c>
      <c r="M481" s="91" t="str">
        <f t="shared" si="7"/>
        <v/>
      </c>
      <c r="N481" s="96"/>
      <c r="O481" s="95"/>
      <c r="P481" s="96"/>
      <c r="Q481" s="98"/>
    </row>
    <row r="482" spans="1:17" ht="15.75" x14ac:dyDescent="0.2">
      <c r="A482" s="17"/>
      <c r="B482" s="18"/>
      <c r="C482" s="87" t="str">
        <f>IF(B482="","",
IF(M482=$H$5,IFERROR(VLOOKUP(B482,'Baremos actuales'!A:E,5,FALSE),"No encontrado. Revisar código, fecha ejecución y/o contrato."),
IF(M482=$H$4,IFERROR(VLOOKUP(B482,'Baremos anteriores'!A:E,5,FALSE),"No encontrado. Revisar código, fecha ejecución y/o contrato."),
IF(M482=$H$3,IFERROR(VLOOKUP(B482,#REF!,5,FALSE),"No encontrado. Revisar código, fecha ejecución y/o contrato."),
IF(D482="","Código no encontrado",
IF(D482="ERROR","No encontrado. Revisar Código, fecha de ejecución y/o contrato.",
IF(D482="MATE",
IF(C481="DESCRIPCION","NO SE PUEDE COMENZAR SIN CÓDIGO DE TAREA",
IF(C481="","FALTA CÓDIGO DE TAREA",
CONCATENATE("          ",VLOOKUP(B482,'Maestro Materiales'!A:C,3,FALSE)))),IFERROR(VLOOKUP(B482,#REF!,5,FALSE),"No encontrado. Revisar código, fecha ejecución y/o contrato."))))))))</f>
        <v/>
      </c>
      <c r="D482" s="88" t="str">
        <f>IF(B482="","",
IFERROR(VLOOKUP(B482,'Maestro Materiales'!A:C,2,FALSE),
IFERROR(VLOOKUP(B482,'Baremos actuales'!A:B,2,FALSE),
IFERROR(VLOOKUP(B482,'Baremos anteriores'!A:B,2,FALSE),
""))))</f>
        <v/>
      </c>
      <c r="E482" s="9"/>
      <c r="F482" s="89" t="str">
        <f>IF(D482="MATE",
IF(E482="","¿Unidades?",""),
IF(D482="",IF(E482="","","¿Código?"),
IF(E482="","¿Unidades?",
IF(D482="TARE",
IF(M482=$H$3,IFERROR(VLOOKUP(B482,'Baremos actuales'!A:C,3,FALSE),0),
IF(M482=$H$4,IFERROR(VLOOKUP(B482,'Baremos anteriores'!A:C,3,FALSE),0),0))))))</f>
        <v/>
      </c>
      <c r="G482" s="7"/>
      <c r="H482" s="8"/>
      <c r="I482" s="8"/>
      <c r="J482" s="78" t="str">
        <f>IF($D482="","",
IF($E482="","",
IF($D482="MATE","",
IF(VLOOKUP($B482,'Baremos actuales'!A:D,4,FALSE)=J$9,$E482*$F482,IF(VLOOKUP($B482,'Baremos anteriores'!A:D,4,FALSE)="Sin Definir",$E482*$F482,"")))))</f>
        <v/>
      </c>
      <c r="K482" s="79" t="str">
        <f>IF($D482="","",
IF($E482="","",
IF($D482="MATE","",
IF(VLOOKUP($B482,'Baremos actuales'!$A:$D,4,FALSE)=K$9,$E482*$F482,IF(VLOOKUP($B482,'Baremos anteriores'!$A:$D,4,FALSE)="Desmonte",$E482*$F482,"")))))</f>
        <v/>
      </c>
      <c r="L482" s="80" t="str">
        <f>IF($D482="","",
IF($E482="","",
IF($D482="MATE","",
IF(VLOOKUP($B482,'Baremos actuales'!$A:$D,4,FALSE)=L$9,$E482*$F482,""))))</f>
        <v/>
      </c>
      <c r="M482" s="91" t="str">
        <f t="shared" si="7"/>
        <v/>
      </c>
      <c r="N482" s="96"/>
      <c r="O482" s="95"/>
      <c r="P482" s="96"/>
      <c r="Q482" s="98"/>
    </row>
    <row r="483" spans="1:17" ht="15.75" x14ac:dyDescent="0.2">
      <c r="A483" s="17"/>
      <c r="B483" s="18"/>
      <c r="C483" s="87" t="str">
        <f>IF(B483="","",
IF(M483=$H$5,IFERROR(VLOOKUP(B483,'Baremos actuales'!A:E,5,FALSE),"No encontrado. Revisar código, fecha ejecución y/o contrato."),
IF(M483=$H$4,IFERROR(VLOOKUP(B483,'Baremos anteriores'!A:E,5,FALSE),"No encontrado. Revisar código, fecha ejecución y/o contrato."),
IF(M483=$H$3,IFERROR(VLOOKUP(B483,#REF!,5,FALSE),"No encontrado. Revisar código, fecha ejecución y/o contrato."),
IF(D483="","Código no encontrado",
IF(D483="ERROR","No encontrado. Revisar Código, fecha de ejecución y/o contrato.",
IF(D483="MATE",
IF(C482="DESCRIPCION","NO SE PUEDE COMENZAR SIN CÓDIGO DE TAREA",
IF(C482="","FALTA CÓDIGO DE TAREA",
CONCATENATE("          ",VLOOKUP(B483,'Maestro Materiales'!A:C,3,FALSE)))),IFERROR(VLOOKUP(B483,#REF!,5,FALSE),"No encontrado. Revisar código, fecha ejecución y/o contrato."))))))))</f>
        <v/>
      </c>
      <c r="D483" s="88" t="str">
        <f>IF(B483="","",
IFERROR(VLOOKUP(B483,'Maestro Materiales'!A:C,2,FALSE),
IFERROR(VLOOKUP(B483,'Baremos actuales'!A:B,2,FALSE),
IFERROR(VLOOKUP(B483,'Baremos anteriores'!A:B,2,FALSE),
""))))</f>
        <v/>
      </c>
      <c r="E483" s="9"/>
      <c r="F483" s="89" t="str">
        <f>IF(D483="MATE",
IF(E483="","¿Unidades?",""),
IF(D483="",IF(E483="","","¿Código?"),
IF(E483="","¿Unidades?",
IF(D483="TARE",
IF(M483=$H$3,IFERROR(VLOOKUP(B483,'Baremos actuales'!A:C,3,FALSE),0),
IF(M483=$H$4,IFERROR(VLOOKUP(B483,'Baremos anteriores'!A:C,3,FALSE),0),0))))))</f>
        <v/>
      </c>
      <c r="G483" s="7"/>
      <c r="H483" s="8"/>
      <c r="I483" s="8"/>
      <c r="J483" s="78" t="str">
        <f>IF($D483="","",
IF($E483="","",
IF($D483="MATE","",
IF(VLOOKUP($B483,'Baremos actuales'!A:D,4,FALSE)=J$9,$E483*$F483,IF(VLOOKUP($B483,'Baremos anteriores'!A:D,4,FALSE)="Sin Definir",$E483*$F483,"")))))</f>
        <v/>
      </c>
      <c r="K483" s="79" t="str">
        <f>IF($D483="","",
IF($E483="","",
IF($D483="MATE","",
IF(VLOOKUP($B483,'Baremos actuales'!$A:$D,4,FALSE)=K$9,$E483*$F483,IF(VLOOKUP($B483,'Baremos anteriores'!$A:$D,4,FALSE)="Desmonte",$E483*$F483,"")))))</f>
        <v/>
      </c>
      <c r="L483" s="80" t="str">
        <f>IF($D483="","",
IF($E483="","",
IF($D483="MATE","",
IF(VLOOKUP($B483,'Baremos actuales'!$A:$D,4,FALSE)=L$9,$E483*$F483,""))))</f>
        <v/>
      </c>
      <c r="M483" s="91" t="str">
        <f t="shared" si="7"/>
        <v/>
      </c>
      <c r="N483" s="96"/>
      <c r="O483" s="95"/>
      <c r="P483" s="96"/>
      <c r="Q483" s="98"/>
    </row>
    <row r="484" spans="1:17" ht="15.75" x14ac:dyDescent="0.2">
      <c r="A484" s="17"/>
      <c r="B484" s="18"/>
      <c r="C484" s="87" t="str">
        <f>IF(B484="","",
IF(M484=$H$5,IFERROR(VLOOKUP(B484,'Baremos actuales'!A:E,5,FALSE),"No encontrado. Revisar código, fecha ejecución y/o contrato."),
IF(M484=$H$4,IFERROR(VLOOKUP(B484,'Baremos anteriores'!A:E,5,FALSE),"No encontrado. Revisar código, fecha ejecución y/o contrato."),
IF(M484=$H$3,IFERROR(VLOOKUP(B484,#REF!,5,FALSE),"No encontrado. Revisar código, fecha ejecución y/o contrato."),
IF(D484="","Código no encontrado",
IF(D484="ERROR","No encontrado. Revisar Código, fecha de ejecución y/o contrato.",
IF(D484="MATE",
IF(C483="DESCRIPCION","NO SE PUEDE COMENZAR SIN CÓDIGO DE TAREA",
IF(C483="","FALTA CÓDIGO DE TAREA",
CONCATENATE("          ",VLOOKUP(B484,'Maestro Materiales'!A:C,3,FALSE)))),IFERROR(VLOOKUP(B484,#REF!,5,FALSE),"No encontrado. Revisar código, fecha ejecución y/o contrato."))))))))</f>
        <v/>
      </c>
      <c r="D484" s="88" t="str">
        <f>IF(B484="","",
IFERROR(VLOOKUP(B484,'Maestro Materiales'!A:C,2,FALSE),
IFERROR(VLOOKUP(B484,'Baremos actuales'!A:B,2,FALSE),
IFERROR(VLOOKUP(B484,'Baremos anteriores'!A:B,2,FALSE),
""))))</f>
        <v/>
      </c>
      <c r="E484" s="9"/>
      <c r="F484" s="89" t="str">
        <f>IF(D484="MATE",
IF(E484="","¿Unidades?",""),
IF(D484="",IF(E484="","","¿Código?"),
IF(E484="","¿Unidades?",
IF(D484="TARE",
IF(M484=$H$3,IFERROR(VLOOKUP(B484,'Baremos actuales'!A:C,3,FALSE),0),
IF(M484=$H$4,IFERROR(VLOOKUP(B484,'Baremos anteriores'!A:C,3,FALSE),0),0))))))</f>
        <v/>
      </c>
      <c r="G484" s="7"/>
      <c r="H484" s="8"/>
      <c r="I484" s="8"/>
      <c r="J484" s="78" t="str">
        <f>IF($D484="","",
IF($E484="","",
IF($D484="MATE","",
IF(VLOOKUP($B484,'Baremos actuales'!A:D,4,FALSE)=J$9,$E484*$F484,IF(VLOOKUP($B484,'Baremos anteriores'!A:D,4,FALSE)="Sin Definir",$E484*$F484,"")))))</f>
        <v/>
      </c>
      <c r="K484" s="79" t="str">
        <f>IF($D484="","",
IF($E484="","",
IF($D484="MATE","",
IF(VLOOKUP($B484,'Baremos actuales'!$A:$D,4,FALSE)=K$9,$E484*$F484,IF(VLOOKUP($B484,'Baremos anteriores'!$A:$D,4,FALSE)="Desmonte",$E484*$F484,"")))))</f>
        <v/>
      </c>
      <c r="L484" s="80" t="str">
        <f>IF($D484="","",
IF($E484="","",
IF($D484="MATE","",
IF(VLOOKUP($B484,'Baremos actuales'!$A:$D,4,FALSE)=L$9,$E484*$F484,""))))</f>
        <v/>
      </c>
      <c r="M484" s="91" t="str">
        <f t="shared" si="7"/>
        <v/>
      </c>
      <c r="N484" s="96"/>
      <c r="O484" s="95"/>
      <c r="P484" s="96"/>
      <c r="Q484" s="98"/>
    </row>
    <row r="485" spans="1:17" ht="15.75" x14ac:dyDescent="0.2">
      <c r="A485" s="17"/>
      <c r="B485" s="18"/>
      <c r="C485" s="87" t="str">
        <f>IF(B485="","",
IF(M485=$H$5,IFERROR(VLOOKUP(B485,'Baremos actuales'!A:E,5,FALSE),"No encontrado. Revisar código, fecha ejecución y/o contrato."),
IF(M485=$H$4,IFERROR(VLOOKUP(B485,'Baremos anteriores'!A:E,5,FALSE),"No encontrado. Revisar código, fecha ejecución y/o contrato."),
IF(M485=$H$3,IFERROR(VLOOKUP(B485,#REF!,5,FALSE),"No encontrado. Revisar código, fecha ejecución y/o contrato."),
IF(D485="","Código no encontrado",
IF(D485="ERROR","No encontrado. Revisar Código, fecha de ejecución y/o contrato.",
IF(D485="MATE",
IF(C484="DESCRIPCION","NO SE PUEDE COMENZAR SIN CÓDIGO DE TAREA",
IF(C484="","FALTA CÓDIGO DE TAREA",
CONCATENATE("          ",VLOOKUP(B485,'Maestro Materiales'!A:C,3,FALSE)))),IFERROR(VLOOKUP(B485,#REF!,5,FALSE),"No encontrado. Revisar código, fecha ejecución y/o contrato."))))))))</f>
        <v/>
      </c>
      <c r="D485" s="88" t="str">
        <f>IF(B485="","",
IFERROR(VLOOKUP(B485,'Maestro Materiales'!A:C,2,FALSE),
IFERROR(VLOOKUP(B485,'Baremos actuales'!A:B,2,FALSE),
IFERROR(VLOOKUP(B485,'Baremos anteriores'!A:B,2,FALSE),
""))))</f>
        <v/>
      </c>
      <c r="E485" s="9"/>
      <c r="F485" s="89" t="str">
        <f>IF(D485="MATE",
IF(E485="","¿Unidades?",""),
IF(D485="",IF(E485="","","¿Código?"),
IF(E485="","¿Unidades?",
IF(D485="TARE",
IF(M485=$H$3,IFERROR(VLOOKUP(B485,'Baremos actuales'!A:C,3,FALSE),0),
IF(M485=$H$4,IFERROR(VLOOKUP(B485,'Baremos anteriores'!A:C,3,FALSE),0),0))))))</f>
        <v/>
      </c>
      <c r="G485" s="7"/>
      <c r="H485" s="8"/>
      <c r="I485" s="8"/>
      <c r="J485" s="78" t="str">
        <f>IF($D485="","",
IF($E485="","",
IF($D485="MATE","",
IF(VLOOKUP($B485,'Baremos actuales'!A:D,4,FALSE)=J$9,$E485*$F485,IF(VLOOKUP($B485,'Baremos anteriores'!A:D,4,FALSE)="Sin Definir",$E485*$F485,"")))))</f>
        <v/>
      </c>
      <c r="K485" s="79" t="str">
        <f>IF($D485="","",
IF($E485="","",
IF($D485="MATE","",
IF(VLOOKUP($B485,'Baremos actuales'!$A:$D,4,FALSE)=K$9,$E485*$F485,IF(VLOOKUP($B485,'Baremos anteriores'!$A:$D,4,FALSE)="Desmonte",$E485*$F485,"")))))</f>
        <v/>
      </c>
      <c r="L485" s="80" t="str">
        <f>IF($D485="","",
IF($E485="","",
IF($D485="MATE","",
IF(VLOOKUP($B485,'Baremos actuales'!$A:$D,4,FALSE)=L$9,$E485*$F485,""))))</f>
        <v/>
      </c>
      <c r="M485" s="91" t="str">
        <f t="shared" si="7"/>
        <v/>
      </c>
      <c r="N485" s="96"/>
      <c r="O485" s="95"/>
      <c r="P485" s="96"/>
      <c r="Q485" s="98"/>
    </row>
    <row r="486" spans="1:17" ht="15.75" x14ac:dyDescent="0.2">
      <c r="A486" s="17"/>
      <c r="B486" s="18"/>
      <c r="C486" s="87" t="str">
        <f>IF(B486="","",
IF(M486=$H$5,IFERROR(VLOOKUP(B486,'Baremos actuales'!A:E,5,FALSE),"No encontrado. Revisar código, fecha ejecución y/o contrato."),
IF(M486=$H$4,IFERROR(VLOOKUP(B486,'Baremos anteriores'!A:E,5,FALSE),"No encontrado. Revisar código, fecha ejecución y/o contrato."),
IF(M486=$H$3,IFERROR(VLOOKUP(B486,#REF!,5,FALSE),"No encontrado. Revisar código, fecha ejecución y/o contrato."),
IF(D486="","Código no encontrado",
IF(D486="ERROR","No encontrado. Revisar Código, fecha de ejecución y/o contrato.",
IF(D486="MATE",
IF(C485="DESCRIPCION","NO SE PUEDE COMENZAR SIN CÓDIGO DE TAREA",
IF(C485="","FALTA CÓDIGO DE TAREA",
CONCATENATE("          ",VLOOKUP(B486,'Maestro Materiales'!A:C,3,FALSE)))),IFERROR(VLOOKUP(B486,#REF!,5,FALSE),"No encontrado. Revisar código, fecha ejecución y/o contrato."))))))))</f>
        <v/>
      </c>
      <c r="D486" s="88" t="str">
        <f>IF(B486="","",
IFERROR(VLOOKUP(B486,'Maestro Materiales'!A:C,2,FALSE),
IFERROR(VLOOKUP(B486,'Baremos actuales'!A:B,2,FALSE),
IFERROR(VLOOKUP(B486,'Baremos anteriores'!A:B,2,FALSE),
""))))</f>
        <v/>
      </c>
      <c r="E486" s="9"/>
      <c r="F486" s="89" t="str">
        <f>IF(D486="MATE",
IF(E486="","¿Unidades?",""),
IF(D486="",IF(E486="","","¿Código?"),
IF(E486="","¿Unidades?",
IF(D486="TARE",
IF(M486=$H$3,IFERROR(VLOOKUP(B486,'Baremos actuales'!A:C,3,FALSE),0),
IF(M486=$H$4,IFERROR(VLOOKUP(B486,'Baremos anteriores'!A:C,3,FALSE),0),0))))))</f>
        <v/>
      </c>
      <c r="G486" s="7"/>
      <c r="H486" s="8"/>
      <c r="I486" s="8"/>
      <c r="J486" s="78" t="str">
        <f>IF($D486="","",
IF($E486="","",
IF($D486="MATE","",
IF(VLOOKUP($B486,'Baremos actuales'!A:D,4,FALSE)=J$9,$E486*$F486,IF(VLOOKUP($B486,'Baremos anteriores'!A:D,4,FALSE)="Sin Definir",$E486*$F486,"")))))</f>
        <v/>
      </c>
      <c r="K486" s="79" t="str">
        <f>IF($D486="","",
IF($E486="","",
IF($D486="MATE","",
IF(VLOOKUP($B486,'Baremos actuales'!$A:$D,4,FALSE)=K$9,$E486*$F486,IF(VLOOKUP($B486,'Baremos anteriores'!$A:$D,4,FALSE)="Desmonte",$E486*$F486,"")))))</f>
        <v/>
      </c>
      <c r="L486" s="80" t="str">
        <f>IF($D486="","",
IF($E486="","",
IF($D486="MATE","",
IF(VLOOKUP($B486,'Baremos actuales'!$A:$D,4,FALSE)=L$9,$E486*$F486,""))))</f>
        <v/>
      </c>
      <c r="M486" s="91" t="str">
        <f t="shared" si="7"/>
        <v/>
      </c>
      <c r="N486" s="96"/>
      <c r="O486" s="95"/>
      <c r="P486" s="96"/>
      <c r="Q486" s="98"/>
    </row>
    <row r="487" spans="1:17" ht="15.75" x14ac:dyDescent="0.2">
      <c r="A487" s="17"/>
      <c r="B487" s="18"/>
      <c r="C487" s="87" t="str">
        <f>IF(B487="","",
IF(M487=$H$5,IFERROR(VLOOKUP(B487,'Baremos actuales'!A:E,5,FALSE),"No encontrado. Revisar código, fecha ejecución y/o contrato."),
IF(M487=$H$4,IFERROR(VLOOKUP(B487,'Baremos anteriores'!A:E,5,FALSE),"No encontrado. Revisar código, fecha ejecución y/o contrato."),
IF(M487=$H$3,IFERROR(VLOOKUP(B487,#REF!,5,FALSE),"No encontrado. Revisar código, fecha ejecución y/o contrato."),
IF(D487="","Código no encontrado",
IF(D487="ERROR","No encontrado. Revisar Código, fecha de ejecución y/o contrato.",
IF(D487="MATE",
IF(C486="DESCRIPCION","NO SE PUEDE COMENZAR SIN CÓDIGO DE TAREA",
IF(C486="","FALTA CÓDIGO DE TAREA",
CONCATENATE("          ",VLOOKUP(B487,'Maestro Materiales'!A:C,3,FALSE)))),IFERROR(VLOOKUP(B487,#REF!,5,FALSE),"No encontrado. Revisar código, fecha ejecución y/o contrato."))))))))</f>
        <v/>
      </c>
      <c r="D487" s="88" t="str">
        <f>IF(B487="","",
IFERROR(VLOOKUP(B487,'Maestro Materiales'!A:C,2,FALSE),
IFERROR(VLOOKUP(B487,'Baremos actuales'!A:B,2,FALSE),
IFERROR(VLOOKUP(B487,'Baremos anteriores'!A:B,2,FALSE),
""))))</f>
        <v/>
      </c>
      <c r="E487" s="9"/>
      <c r="F487" s="89" t="str">
        <f>IF(D487="MATE",
IF(E487="","¿Unidades?",""),
IF(D487="",IF(E487="","","¿Código?"),
IF(E487="","¿Unidades?",
IF(D487="TARE",
IF(M487=$H$3,IFERROR(VLOOKUP(B487,'Baremos actuales'!A:C,3,FALSE),0),
IF(M487=$H$4,IFERROR(VLOOKUP(B487,'Baremos anteriores'!A:C,3,FALSE),0),0))))))</f>
        <v/>
      </c>
      <c r="G487" s="7"/>
      <c r="H487" s="8"/>
      <c r="I487" s="8"/>
      <c r="J487" s="78" t="str">
        <f>IF($D487="","",
IF($E487="","",
IF($D487="MATE","",
IF(VLOOKUP($B487,'Baremos actuales'!A:D,4,FALSE)=J$9,$E487*$F487,IF(VLOOKUP($B487,'Baremos anteriores'!A:D,4,FALSE)="Sin Definir",$E487*$F487,"")))))</f>
        <v/>
      </c>
      <c r="K487" s="79" t="str">
        <f>IF($D487="","",
IF($E487="","",
IF($D487="MATE","",
IF(VLOOKUP($B487,'Baremos actuales'!$A:$D,4,FALSE)=K$9,$E487*$F487,IF(VLOOKUP($B487,'Baremos anteriores'!$A:$D,4,FALSE)="Desmonte",$E487*$F487,"")))))</f>
        <v/>
      </c>
      <c r="L487" s="80" t="str">
        <f>IF($D487="","",
IF($E487="","",
IF($D487="MATE","",
IF(VLOOKUP($B487,'Baremos actuales'!$A:$D,4,FALSE)=L$9,$E487*$F487,""))))</f>
        <v/>
      </c>
      <c r="M487" s="91" t="str">
        <f t="shared" si="7"/>
        <v/>
      </c>
      <c r="N487" s="96"/>
      <c r="O487" s="95"/>
      <c r="P487" s="96"/>
      <c r="Q487" s="98"/>
    </row>
    <row r="488" spans="1:17" ht="15.75" x14ac:dyDescent="0.2">
      <c r="A488" s="17"/>
      <c r="B488" s="18"/>
      <c r="C488" s="87" t="str">
        <f>IF(B488="","",
IF(M488=$H$5,IFERROR(VLOOKUP(B488,'Baremos actuales'!A:E,5,FALSE),"No encontrado. Revisar código, fecha ejecución y/o contrato."),
IF(M488=$H$4,IFERROR(VLOOKUP(B488,'Baremos anteriores'!A:E,5,FALSE),"No encontrado. Revisar código, fecha ejecución y/o contrato."),
IF(M488=$H$3,IFERROR(VLOOKUP(B488,#REF!,5,FALSE),"No encontrado. Revisar código, fecha ejecución y/o contrato."),
IF(D488="","Código no encontrado",
IF(D488="ERROR","No encontrado. Revisar Código, fecha de ejecución y/o contrato.",
IF(D488="MATE",
IF(C487="DESCRIPCION","NO SE PUEDE COMENZAR SIN CÓDIGO DE TAREA",
IF(C487="","FALTA CÓDIGO DE TAREA",
CONCATENATE("          ",VLOOKUP(B488,'Maestro Materiales'!A:C,3,FALSE)))),IFERROR(VLOOKUP(B488,#REF!,5,FALSE),"No encontrado. Revisar código, fecha ejecución y/o contrato."))))))))</f>
        <v/>
      </c>
      <c r="D488" s="88" t="str">
        <f>IF(B488="","",
IFERROR(VLOOKUP(B488,'Maestro Materiales'!A:C,2,FALSE),
IFERROR(VLOOKUP(B488,'Baremos actuales'!A:B,2,FALSE),
IFERROR(VLOOKUP(B488,'Baremos anteriores'!A:B,2,FALSE),
""))))</f>
        <v/>
      </c>
      <c r="E488" s="9"/>
      <c r="F488" s="89" t="str">
        <f>IF(D488="MATE",
IF(E488="","¿Unidades?",""),
IF(D488="",IF(E488="","","¿Código?"),
IF(E488="","¿Unidades?",
IF(D488="TARE",
IF(M488=$H$3,IFERROR(VLOOKUP(B488,'Baremos actuales'!A:C,3,FALSE),0),
IF(M488=$H$4,IFERROR(VLOOKUP(B488,'Baremos anteriores'!A:C,3,FALSE),0),0))))))</f>
        <v/>
      </c>
      <c r="G488" s="7"/>
      <c r="H488" s="8"/>
      <c r="I488" s="8"/>
      <c r="J488" s="78" t="str">
        <f>IF($D488="","",
IF($E488="","",
IF($D488="MATE","",
IF(VLOOKUP($B488,'Baremos actuales'!A:D,4,FALSE)=J$9,$E488*$F488,IF(VLOOKUP($B488,'Baremos anteriores'!A:D,4,FALSE)="Sin Definir",$E488*$F488,"")))))</f>
        <v/>
      </c>
      <c r="K488" s="79" t="str">
        <f>IF($D488="","",
IF($E488="","",
IF($D488="MATE","",
IF(VLOOKUP($B488,'Baremos actuales'!$A:$D,4,FALSE)=K$9,$E488*$F488,IF(VLOOKUP($B488,'Baremos anteriores'!$A:$D,4,FALSE)="Desmonte",$E488*$F488,"")))))</f>
        <v/>
      </c>
      <c r="L488" s="80" t="str">
        <f>IF($D488="","",
IF($E488="","",
IF($D488="MATE","",
IF(VLOOKUP($B488,'Baremos actuales'!$A:$D,4,FALSE)=L$9,$E488*$F488,""))))</f>
        <v/>
      </c>
      <c r="M488" s="91" t="str">
        <f t="shared" si="7"/>
        <v/>
      </c>
      <c r="N488" s="96"/>
      <c r="O488" s="95"/>
      <c r="P488" s="96"/>
      <c r="Q488" s="98"/>
    </row>
    <row r="489" spans="1:17" ht="15.75" x14ac:dyDescent="0.2">
      <c r="A489" s="17"/>
      <c r="B489" s="18"/>
      <c r="C489" s="87" t="str">
        <f>IF(B489="","",
IF(M489=$H$5,IFERROR(VLOOKUP(B489,'Baremos actuales'!A:E,5,FALSE),"No encontrado. Revisar código, fecha ejecución y/o contrato."),
IF(M489=$H$4,IFERROR(VLOOKUP(B489,'Baremos anteriores'!A:E,5,FALSE),"No encontrado. Revisar código, fecha ejecución y/o contrato."),
IF(M489=$H$3,IFERROR(VLOOKUP(B489,#REF!,5,FALSE),"No encontrado. Revisar código, fecha ejecución y/o contrato."),
IF(D489="","Código no encontrado",
IF(D489="ERROR","No encontrado. Revisar Código, fecha de ejecución y/o contrato.",
IF(D489="MATE",
IF(C488="DESCRIPCION","NO SE PUEDE COMENZAR SIN CÓDIGO DE TAREA",
IF(C488="","FALTA CÓDIGO DE TAREA",
CONCATENATE("          ",VLOOKUP(B489,'Maestro Materiales'!A:C,3,FALSE)))),IFERROR(VLOOKUP(B489,#REF!,5,FALSE),"No encontrado. Revisar código, fecha ejecución y/o contrato."))))))))</f>
        <v/>
      </c>
      <c r="D489" s="88" t="str">
        <f>IF(B489="","",
IFERROR(VLOOKUP(B489,'Maestro Materiales'!A:C,2,FALSE),
IFERROR(VLOOKUP(B489,'Baremos actuales'!A:B,2,FALSE),
IFERROR(VLOOKUP(B489,'Baremos anteriores'!A:B,2,FALSE),
""))))</f>
        <v/>
      </c>
      <c r="E489" s="9"/>
      <c r="F489" s="89" t="str">
        <f>IF(D489="MATE",
IF(E489="","¿Unidades?",""),
IF(D489="",IF(E489="","","¿Código?"),
IF(E489="","¿Unidades?",
IF(D489="TARE",
IF(M489=$H$3,IFERROR(VLOOKUP(B489,'Baremos actuales'!A:C,3,FALSE),0),
IF(M489=$H$4,IFERROR(VLOOKUP(B489,'Baremos anteriores'!A:C,3,FALSE),0),0))))))</f>
        <v/>
      </c>
      <c r="G489" s="7"/>
      <c r="H489" s="8"/>
      <c r="I489" s="8"/>
      <c r="J489" s="78" t="str">
        <f>IF($D489="","",
IF($E489="","",
IF($D489="MATE","",
IF(VLOOKUP($B489,'Baremos actuales'!A:D,4,FALSE)=J$9,$E489*$F489,IF(VLOOKUP($B489,'Baremos anteriores'!A:D,4,FALSE)="Sin Definir",$E489*$F489,"")))))</f>
        <v/>
      </c>
      <c r="K489" s="79" t="str">
        <f>IF($D489="","",
IF($E489="","",
IF($D489="MATE","",
IF(VLOOKUP($B489,'Baremos actuales'!$A:$D,4,FALSE)=K$9,$E489*$F489,IF(VLOOKUP($B489,'Baremos anteriores'!$A:$D,4,FALSE)="Desmonte",$E489*$F489,"")))))</f>
        <v/>
      </c>
      <c r="L489" s="80" t="str">
        <f>IF($D489="","",
IF($E489="","",
IF($D489="MATE","",
IF(VLOOKUP($B489,'Baremos actuales'!$A:$D,4,FALSE)=L$9,$E489*$F489,""))))</f>
        <v/>
      </c>
      <c r="M489" s="91" t="str">
        <f t="shared" si="7"/>
        <v/>
      </c>
      <c r="N489" s="96"/>
      <c r="O489" s="95"/>
      <c r="P489" s="96"/>
      <c r="Q489" s="98"/>
    </row>
    <row r="490" spans="1:17" ht="15.75" x14ac:dyDescent="0.2">
      <c r="A490" s="17"/>
      <c r="B490" s="18"/>
      <c r="C490" s="87" t="str">
        <f>IF(B490="","",
IF(M490=$H$5,IFERROR(VLOOKUP(B490,'Baremos actuales'!A:E,5,FALSE),"No encontrado. Revisar código, fecha ejecución y/o contrato."),
IF(M490=$H$4,IFERROR(VLOOKUP(B490,'Baremos anteriores'!A:E,5,FALSE),"No encontrado. Revisar código, fecha ejecución y/o contrato."),
IF(M490=$H$3,IFERROR(VLOOKUP(B490,#REF!,5,FALSE),"No encontrado. Revisar código, fecha ejecución y/o contrato."),
IF(D490="","Código no encontrado",
IF(D490="ERROR","No encontrado. Revisar Código, fecha de ejecución y/o contrato.",
IF(D490="MATE",
IF(C489="DESCRIPCION","NO SE PUEDE COMENZAR SIN CÓDIGO DE TAREA",
IF(C489="","FALTA CÓDIGO DE TAREA",
CONCATENATE("          ",VLOOKUP(B490,'Maestro Materiales'!A:C,3,FALSE)))),IFERROR(VLOOKUP(B490,#REF!,5,FALSE),"No encontrado. Revisar código, fecha ejecución y/o contrato."))))))))</f>
        <v/>
      </c>
      <c r="D490" s="88" t="str">
        <f>IF(B490="","",
IFERROR(VLOOKUP(B490,'Maestro Materiales'!A:C,2,FALSE),
IFERROR(VLOOKUP(B490,'Baremos actuales'!A:B,2,FALSE),
IFERROR(VLOOKUP(B490,'Baremos anteriores'!A:B,2,FALSE),
""))))</f>
        <v/>
      </c>
      <c r="E490" s="9"/>
      <c r="F490" s="89" t="str">
        <f>IF(D490="MATE",
IF(E490="","¿Unidades?",""),
IF(D490="",IF(E490="","","¿Código?"),
IF(E490="","¿Unidades?",
IF(D490="TARE",
IF(M490=$H$3,IFERROR(VLOOKUP(B490,'Baremos actuales'!A:C,3,FALSE),0),
IF(M490=$H$4,IFERROR(VLOOKUP(B490,'Baremos anteriores'!A:C,3,FALSE),0),0))))))</f>
        <v/>
      </c>
      <c r="G490" s="7"/>
      <c r="H490" s="8"/>
      <c r="I490" s="8"/>
      <c r="J490" s="78" t="str">
        <f>IF($D490="","",
IF($E490="","",
IF($D490="MATE","",
IF(VLOOKUP($B490,'Baremos actuales'!A:D,4,FALSE)=J$9,$E490*$F490,IF(VLOOKUP($B490,'Baremos anteriores'!A:D,4,FALSE)="Sin Definir",$E490*$F490,"")))))</f>
        <v/>
      </c>
      <c r="K490" s="79" t="str">
        <f>IF($D490="","",
IF($E490="","",
IF($D490="MATE","",
IF(VLOOKUP($B490,'Baremos actuales'!$A:$D,4,FALSE)=K$9,$E490*$F490,IF(VLOOKUP($B490,'Baremos anteriores'!$A:$D,4,FALSE)="Desmonte",$E490*$F490,"")))))</f>
        <v/>
      </c>
      <c r="L490" s="80" t="str">
        <f>IF($D490="","",
IF($E490="","",
IF($D490="MATE","",
IF(VLOOKUP($B490,'Baremos actuales'!$A:$D,4,FALSE)=L$9,$E490*$F490,""))))</f>
        <v/>
      </c>
      <c r="M490" s="91" t="str">
        <f t="shared" si="7"/>
        <v/>
      </c>
      <c r="N490" s="96"/>
      <c r="O490" s="95"/>
      <c r="P490" s="96"/>
      <c r="Q490" s="98"/>
    </row>
    <row r="491" spans="1:17" ht="15.75" x14ac:dyDescent="0.2">
      <c r="A491" s="17"/>
      <c r="B491" s="18"/>
      <c r="C491" s="87" t="str">
        <f>IF(B491="","",
IF(M491=$H$5,IFERROR(VLOOKUP(B491,'Baremos actuales'!A:E,5,FALSE),"No encontrado. Revisar código, fecha ejecución y/o contrato."),
IF(M491=$H$4,IFERROR(VLOOKUP(B491,'Baremos anteriores'!A:E,5,FALSE),"No encontrado. Revisar código, fecha ejecución y/o contrato."),
IF(M491=$H$3,IFERROR(VLOOKUP(B491,#REF!,5,FALSE),"No encontrado. Revisar código, fecha ejecución y/o contrato."),
IF(D491="","Código no encontrado",
IF(D491="ERROR","No encontrado. Revisar Código, fecha de ejecución y/o contrato.",
IF(D491="MATE",
IF(C490="DESCRIPCION","NO SE PUEDE COMENZAR SIN CÓDIGO DE TAREA",
IF(C490="","FALTA CÓDIGO DE TAREA",
CONCATENATE("          ",VLOOKUP(B491,'Maestro Materiales'!A:C,3,FALSE)))),IFERROR(VLOOKUP(B491,#REF!,5,FALSE),"No encontrado. Revisar código, fecha ejecución y/o contrato."))))))))</f>
        <v/>
      </c>
      <c r="D491" s="88" t="str">
        <f>IF(B491="","",
IFERROR(VLOOKUP(B491,'Maestro Materiales'!A:C,2,FALSE),
IFERROR(VLOOKUP(B491,'Baremos actuales'!A:B,2,FALSE),
IFERROR(VLOOKUP(B491,'Baremos anteriores'!A:B,2,FALSE),
""))))</f>
        <v/>
      </c>
      <c r="E491" s="9"/>
      <c r="F491" s="89" t="str">
        <f>IF(D491="MATE",
IF(E491="","¿Unidades?",""),
IF(D491="",IF(E491="","","¿Código?"),
IF(E491="","¿Unidades?",
IF(D491="TARE",
IF(M491=$H$3,IFERROR(VLOOKUP(B491,'Baremos actuales'!A:C,3,FALSE),0),
IF(M491=$H$4,IFERROR(VLOOKUP(B491,'Baremos anteriores'!A:C,3,FALSE),0),0))))))</f>
        <v/>
      </c>
      <c r="G491" s="7"/>
      <c r="H491" s="8"/>
      <c r="I491" s="8"/>
      <c r="J491" s="78" t="str">
        <f>IF($D491="","",
IF($E491="","",
IF($D491="MATE","",
IF(VLOOKUP($B491,'Baremos actuales'!A:D,4,FALSE)=J$9,$E491*$F491,IF(VLOOKUP($B491,'Baremos anteriores'!A:D,4,FALSE)="Sin Definir",$E491*$F491,"")))))</f>
        <v/>
      </c>
      <c r="K491" s="79" t="str">
        <f>IF($D491="","",
IF($E491="","",
IF($D491="MATE","",
IF(VLOOKUP($B491,'Baremos actuales'!$A:$D,4,FALSE)=K$9,$E491*$F491,IF(VLOOKUP($B491,'Baremos anteriores'!$A:$D,4,FALSE)="Desmonte",$E491*$F491,"")))))</f>
        <v/>
      </c>
      <c r="L491" s="80" t="str">
        <f>IF($D491="","",
IF($E491="","",
IF($D491="MATE","",
IF(VLOOKUP($B491,'Baremos actuales'!$A:$D,4,FALSE)=L$9,$E491*$F491,""))))</f>
        <v/>
      </c>
      <c r="M491" s="91" t="str">
        <f t="shared" si="7"/>
        <v/>
      </c>
      <c r="N491" s="96"/>
      <c r="O491" s="95"/>
      <c r="P491" s="96"/>
      <c r="Q491" s="98"/>
    </row>
    <row r="492" spans="1:17" ht="15.75" x14ac:dyDescent="0.2">
      <c r="A492" s="17"/>
      <c r="B492" s="18"/>
      <c r="C492" s="87" t="str">
        <f>IF(B492="","",
IF(M492=$H$5,IFERROR(VLOOKUP(B492,'Baremos actuales'!A:E,5,FALSE),"No encontrado. Revisar código, fecha ejecución y/o contrato."),
IF(M492=$H$4,IFERROR(VLOOKUP(B492,'Baremos anteriores'!A:E,5,FALSE),"No encontrado. Revisar código, fecha ejecución y/o contrato."),
IF(M492=$H$3,IFERROR(VLOOKUP(B492,#REF!,5,FALSE),"No encontrado. Revisar código, fecha ejecución y/o contrato."),
IF(D492="","Código no encontrado",
IF(D492="ERROR","No encontrado. Revisar Código, fecha de ejecución y/o contrato.",
IF(D492="MATE",
IF(C491="DESCRIPCION","NO SE PUEDE COMENZAR SIN CÓDIGO DE TAREA",
IF(C491="","FALTA CÓDIGO DE TAREA",
CONCATENATE("          ",VLOOKUP(B492,'Maestro Materiales'!A:C,3,FALSE)))),IFERROR(VLOOKUP(B492,#REF!,5,FALSE),"No encontrado. Revisar código, fecha ejecución y/o contrato."))))))))</f>
        <v/>
      </c>
      <c r="D492" s="88" t="str">
        <f>IF(B492="","",
IFERROR(VLOOKUP(B492,'Maestro Materiales'!A:C,2,FALSE),
IFERROR(VLOOKUP(B492,'Baremos actuales'!A:B,2,FALSE),
IFERROR(VLOOKUP(B492,'Baremos anteriores'!A:B,2,FALSE),
""))))</f>
        <v/>
      </c>
      <c r="E492" s="9"/>
      <c r="F492" s="89" t="str">
        <f>IF(D492="MATE",
IF(E492="","¿Unidades?",""),
IF(D492="",IF(E492="","","¿Código?"),
IF(E492="","¿Unidades?",
IF(D492="TARE",
IF(M492=$H$3,IFERROR(VLOOKUP(B492,'Baremos actuales'!A:C,3,FALSE),0),
IF(M492=$H$4,IFERROR(VLOOKUP(B492,'Baremos anteriores'!A:C,3,FALSE),0),0))))))</f>
        <v/>
      </c>
      <c r="G492" s="7"/>
      <c r="H492" s="8"/>
      <c r="I492" s="8"/>
      <c r="J492" s="78" t="str">
        <f>IF($D492="","",
IF($E492="","",
IF($D492="MATE","",
IF(VLOOKUP($B492,'Baremos actuales'!A:D,4,FALSE)=J$9,$E492*$F492,IF(VLOOKUP($B492,'Baremos anteriores'!A:D,4,FALSE)="Sin Definir",$E492*$F492,"")))))</f>
        <v/>
      </c>
      <c r="K492" s="79" t="str">
        <f>IF($D492="","",
IF($E492="","",
IF($D492="MATE","",
IF(VLOOKUP($B492,'Baremos actuales'!$A:$D,4,FALSE)=K$9,$E492*$F492,IF(VLOOKUP($B492,'Baremos anteriores'!$A:$D,4,FALSE)="Desmonte",$E492*$F492,"")))))</f>
        <v/>
      </c>
      <c r="L492" s="80" t="str">
        <f>IF($D492="","",
IF($E492="","",
IF($D492="MATE","",
IF(VLOOKUP($B492,'Baremos actuales'!$A:$D,4,FALSE)=L$9,$E492*$F492,""))))</f>
        <v/>
      </c>
      <c r="M492" s="91" t="str">
        <f t="shared" si="7"/>
        <v/>
      </c>
      <c r="N492" s="96"/>
      <c r="O492" s="95"/>
      <c r="P492" s="96"/>
      <c r="Q492" s="98"/>
    </row>
    <row r="493" spans="1:17" ht="15.75" x14ac:dyDescent="0.2">
      <c r="A493" s="17"/>
      <c r="B493" s="18"/>
      <c r="C493" s="87" t="str">
        <f>IF(B493="","",
IF(M493=$H$5,IFERROR(VLOOKUP(B493,'Baremos actuales'!A:E,5,FALSE),"No encontrado. Revisar código, fecha ejecución y/o contrato."),
IF(M493=$H$4,IFERROR(VLOOKUP(B493,'Baremos anteriores'!A:E,5,FALSE),"No encontrado. Revisar código, fecha ejecución y/o contrato."),
IF(M493=$H$3,IFERROR(VLOOKUP(B493,#REF!,5,FALSE),"No encontrado. Revisar código, fecha ejecución y/o contrato."),
IF(D493="","Código no encontrado",
IF(D493="ERROR","No encontrado. Revisar Código, fecha de ejecución y/o contrato.",
IF(D493="MATE",
IF(C492="DESCRIPCION","NO SE PUEDE COMENZAR SIN CÓDIGO DE TAREA",
IF(C492="","FALTA CÓDIGO DE TAREA",
CONCATENATE("          ",VLOOKUP(B493,'Maestro Materiales'!A:C,3,FALSE)))),IFERROR(VLOOKUP(B493,#REF!,5,FALSE),"No encontrado. Revisar código, fecha ejecución y/o contrato."))))))))</f>
        <v/>
      </c>
      <c r="D493" s="88" t="str">
        <f>IF(B493="","",
IFERROR(VLOOKUP(B493,'Maestro Materiales'!A:C,2,FALSE),
IFERROR(VLOOKUP(B493,'Baremos actuales'!A:B,2,FALSE),
IFERROR(VLOOKUP(B493,'Baremos anteriores'!A:B,2,FALSE),
""))))</f>
        <v/>
      </c>
      <c r="E493" s="9"/>
      <c r="F493" s="89" t="str">
        <f>IF(D493="MATE",
IF(E493="","¿Unidades?",""),
IF(D493="",IF(E493="","","¿Código?"),
IF(E493="","¿Unidades?",
IF(D493="TARE",
IF(M493=$H$3,IFERROR(VLOOKUP(B493,'Baremos actuales'!A:C,3,FALSE),0),
IF(M493=$H$4,IFERROR(VLOOKUP(B493,'Baremos anteriores'!A:C,3,FALSE),0),0))))))</f>
        <v/>
      </c>
      <c r="G493" s="7"/>
      <c r="H493" s="8"/>
      <c r="I493" s="8"/>
      <c r="J493" s="78" t="str">
        <f>IF($D493="","",
IF($E493="","",
IF($D493="MATE","",
IF(VLOOKUP($B493,'Baremos actuales'!A:D,4,FALSE)=J$9,$E493*$F493,IF(VLOOKUP($B493,'Baremos anteriores'!A:D,4,FALSE)="Sin Definir",$E493*$F493,"")))))</f>
        <v/>
      </c>
      <c r="K493" s="79" t="str">
        <f>IF($D493="","",
IF($E493="","",
IF($D493="MATE","",
IF(VLOOKUP($B493,'Baremos actuales'!$A:$D,4,FALSE)=K$9,$E493*$F493,IF(VLOOKUP($B493,'Baremos anteriores'!$A:$D,4,FALSE)="Desmonte",$E493*$F493,"")))))</f>
        <v/>
      </c>
      <c r="L493" s="80" t="str">
        <f>IF($D493="","",
IF($E493="","",
IF($D493="MATE","",
IF(VLOOKUP($B493,'Baremos actuales'!$A:$D,4,FALSE)=L$9,$E493*$F493,""))))</f>
        <v/>
      </c>
      <c r="M493" s="91" t="str">
        <f t="shared" si="7"/>
        <v/>
      </c>
      <c r="N493" s="96"/>
      <c r="O493" s="95"/>
      <c r="P493" s="96"/>
      <c r="Q493" s="98"/>
    </row>
    <row r="494" spans="1:17" ht="15.75" x14ac:dyDescent="0.2">
      <c r="A494" s="17"/>
      <c r="B494" s="18"/>
      <c r="C494" s="87" t="str">
        <f>IF(B494="","",
IF(M494=$H$5,IFERROR(VLOOKUP(B494,'Baremos actuales'!A:E,5,FALSE),"No encontrado. Revisar código, fecha ejecución y/o contrato."),
IF(M494=$H$4,IFERROR(VLOOKUP(B494,'Baremos anteriores'!A:E,5,FALSE),"No encontrado. Revisar código, fecha ejecución y/o contrato."),
IF(M494=$H$3,IFERROR(VLOOKUP(B494,#REF!,5,FALSE),"No encontrado. Revisar código, fecha ejecución y/o contrato."),
IF(D494="","Código no encontrado",
IF(D494="ERROR","No encontrado. Revisar Código, fecha de ejecución y/o contrato.",
IF(D494="MATE",
IF(C493="DESCRIPCION","NO SE PUEDE COMENZAR SIN CÓDIGO DE TAREA",
IF(C493="","FALTA CÓDIGO DE TAREA",
CONCATENATE("          ",VLOOKUP(B494,'Maestro Materiales'!A:C,3,FALSE)))),IFERROR(VLOOKUP(B494,#REF!,5,FALSE),"No encontrado. Revisar código, fecha ejecución y/o contrato."))))))))</f>
        <v/>
      </c>
      <c r="D494" s="88" t="str">
        <f>IF(B494="","",
IFERROR(VLOOKUP(B494,'Maestro Materiales'!A:C,2,FALSE),
IFERROR(VLOOKUP(B494,'Baremos actuales'!A:B,2,FALSE),
IFERROR(VLOOKUP(B494,'Baremos anteriores'!A:B,2,FALSE),
""))))</f>
        <v/>
      </c>
      <c r="E494" s="9"/>
      <c r="F494" s="89" t="str">
        <f>IF(D494="MATE",
IF(E494="","¿Unidades?",""),
IF(D494="",IF(E494="","","¿Código?"),
IF(E494="","¿Unidades?",
IF(D494="TARE",
IF(M494=$H$3,IFERROR(VLOOKUP(B494,'Baremos actuales'!A:C,3,FALSE),0),
IF(M494=$H$4,IFERROR(VLOOKUP(B494,'Baremos anteriores'!A:C,3,FALSE),0),0))))))</f>
        <v/>
      </c>
      <c r="G494" s="7"/>
      <c r="H494" s="8"/>
      <c r="I494" s="8"/>
      <c r="J494" s="78" t="str">
        <f>IF($D494="","",
IF($E494="","",
IF($D494="MATE","",
IF(VLOOKUP($B494,'Baremos actuales'!A:D,4,FALSE)=J$9,$E494*$F494,IF(VLOOKUP($B494,'Baremos anteriores'!A:D,4,FALSE)="Sin Definir",$E494*$F494,"")))))</f>
        <v/>
      </c>
      <c r="K494" s="79" t="str">
        <f>IF($D494="","",
IF($E494="","",
IF($D494="MATE","",
IF(VLOOKUP($B494,'Baremos actuales'!$A:$D,4,FALSE)=K$9,$E494*$F494,IF(VLOOKUP($B494,'Baremos anteriores'!$A:$D,4,FALSE)="Desmonte",$E494*$F494,"")))))</f>
        <v/>
      </c>
      <c r="L494" s="80" t="str">
        <f>IF($D494="","",
IF($E494="","",
IF($D494="MATE","",
IF(VLOOKUP($B494,'Baremos actuales'!$A:$D,4,FALSE)=L$9,$E494*$F494,""))))</f>
        <v/>
      </c>
      <c r="M494" s="91" t="str">
        <f t="shared" si="7"/>
        <v/>
      </c>
      <c r="N494" s="96"/>
      <c r="O494" s="95"/>
      <c r="P494" s="96"/>
      <c r="Q494" s="98"/>
    </row>
    <row r="495" spans="1:17" ht="15.75" x14ac:dyDescent="0.2">
      <c r="A495" s="17"/>
      <c r="B495" s="18"/>
      <c r="C495" s="87" t="str">
        <f>IF(B495="","",
IF(M495=$H$5,IFERROR(VLOOKUP(B495,'Baremos actuales'!A:E,5,FALSE),"No encontrado. Revisar código, fecha ejecución y/o contrato."),
IF(M495=$H$4,IFERROR(VLOOKUP(B495,'Baremos anteriores'!A:E,5,FALSE),"No encontrado. Revisar código, fecha ejecución y/o contrato."),
IF(M495=$H$3,IFERROR(VLOOKUP(B495,#REF!,5,FALSE),"No encontrado. Revisar código, fecha ejecución y/o contrato."),
IF(D495="","Código no encontrado",
IF(D495="ERROR","No encontrado. Revisar Código, fecha de ejecución y/o contrato.",
IF(D495="MATE",
IF(C494="DESCRIPCION","NO SE PUEDE COMENZAR SIN CÓDIGO DE TAREA",
IF(C494="","FALTA CÓDIGO DE TAREA",
CONCATENATE("          ",VLOOKUP(B495,'Maestro Materiales'!A:C,3,FALSE)))),IFERROR(VLOOKUP(B495,#REF!,5,FALSE),"No encontrado. Revisar código, fecha ejecución y/o contrato."))))))))</f>
        <v/>
      </c>
      <c r="D495" s="88" t="str">
        <f>IF(B495="","",
IFERROR(VLOOKUP(B495,'Maestro Materiales'!A:C,2,FALSE),
IFERROR(VLOOKUP(B495,'Baremos actuales'!A:B,2,FALSE),
IFERROR(VLOOKUP(B495,'Baremos anteriores'!A:B,2,FALSE),
""))))</f>
        <v/>
      </c>
      <c r="E495" s="9"/>
      <c r="F495" s="89" t="str">
        <f>IF(D495="MATE",
IF(E495="","¿Unidades?",""),
IF(D495="",IF(E495="","","¿Código?"),
IF(E495="","¿Unidades?",
IF(D495="TARE",
IF(M495=$H$3,IFERROR(VLOOKUP(B495,'Baremos actuales'!A:C,3,FALSE),0),
IF(M495=$H$4,IFERROR(VLOOKUP(B495,'Baremos anteriores'!A:C,3,FALSE),0),0))))))</f>
        <v/>
      </c>
      <c r="G495" s="7"/>
      <c r="H495" s="8"/>
      <c r="I495" s="8"/>
      <c r="J495" s="78" t="str">
        <f>IF($D495="","",
IF($E495="","",
IF($D495="MATE","",
IF(VLOOKUP($B495,'Baremos actuales'!A:D,4,FALSE)=J$9,$E495*$F495,IF(VLOOKUP($B495,'Baremos anteriores'!A:D,4,FALSE)="Sin Definir",$E495*$F495,"")))))</f>
        <v/>
      </c>
      <c r="K495" s="79" t="str">
        <f>IF($D495="","",
IF($E495="","",
IF($D495="MATE","",
IF(VLOOKUP($B495,'Baremos actuales'!$A:$D,4,FALSE)=K$9,$E495*$F495,IF(VLOOKUP($B495,'Baremos anteriores'!$A:$D,4,FALSE)="Desmonte",$E495*$F495,"")))))</f>
        <v/>
      </c>
      <c r="L495" s="80" t="str">
        <f>IF($D495="","",
IF($E495="","",
IF($D495="MATE","",
IF(VLOOKUP($B495,'Baremos actuales'!$A:$D,4,FALSE)=L$9,$E495*$F495,""))))</f>
        <v/>
      </c>
      <c r="M495" s="91" t="str">
        <f t="shared" si="7"/>
        <v/>
      </c>
      <c r="N495" s="96"/>
      <c r="O495" s="95"/>
      <c r="P495" s="96"/>
      <c r="Q495" s="98"/>
    </row>
    <row r="496" spans="1:17" ht="15.75" x14ac:dyDescent="0.2">
      <c r="A496" s="17"/>
      <c r="B496" s="18"/>
      <c r="C496" s="87" t="str">
        <f>IF(B496="","",
IF(M496=$H$5,IFERROR(VLOOKUP(B496,'Baremos actuales'!A:E,5,FALSE),"No encontrado. Revisar código, fecha ejecución y/o contrato."),
IF(M496=$H$4,IFERROR(VLOOKUP(B496,'Baremos anteriores'!A:E,5,FALSE),"No encontrado. Revisar código, fecha ejecución y/o contrato."),
IF(M496=$H$3,IFERROR(VLOOKUP(B496,#REF!,5,FALSE),"No encontrado. Revisar código, fecha ejecución y/o contrato."),
IF(D496="","Código no encontrado",
IF(D496="ERROR","No encontrado. Revisar Código, fecha de ejecución y/o contrato.",
IF(D496="MATE",
IF(C495="DESCRIPCION","NO SE PUEDE COMENZAR SIN CÓDIGO DE TAREA",
IF(C495="","FALTA CÓDIGO DE TAREA",
CONCATENATE("          ",VLOOKUP(B496,'Maestro Materiales'!A:C,3,FALSE)))),IFERROR(VLOOKUP(B496,#REF!,5,FALSE),"No encontrado. Revisar código, fecha ejecución y/o contrato."))))))))</f>
        <v/>
      </c>
      <c r="D496" s="88" t="str">
        <f>IF(B496="","",
IFERROR(VLOOKUP(B496,'Maestro Materiales'!A:C,2,FALSE),
IFERROR(VLOOKUP(B496,'Baremos actuales'!A:B,2,FALSE),
IFERROR(VLOOKUP(B496,'Baremos anteriores'!A:B,2,FALSE),
""))))</f>
        <v/>
      </c>
      <c r="E496" s="9"/>
      <c r="F496" s="89" t="str">
        <f>IF(D496="MATE",
IF(E496="","¿Unidades?",""),
IF(D496="",IF(E496="","","¿Código?"),
IF(E496="","¿Unidades?",
IF(D496="TARE",
IF(M496=$H$3,IFERROR(VLOOKUP(B496,'Baremos actuales'!A:C,3,FALSE),0),
IF(M496=$H$4,IFERROR(VLOOKUP(B496,'Baremos anteriores'!A:C,3,FALSE),0),0))))))</f>
        <v/>
      </c>
      <c r="G496" s="7"/>
      <c r="H496" s="8"/>
      <c r="I496" s="8"/>
      <c r="J496" s="78" t="str">
        <f>IF($D496="","",
IF($E496="","",
IF($D496="MATE","",
IF(VLOOKUP($B496,'Baremos actuales'!A:D,4,FALSE)=J$9,$E496*$F496,IF(VLOOKUP($B496,'Baremos anteriores'!A:D,4,FALSE)="Sin Definir",$E496*$F496,"")))))</f>
        <v/>
      </c>
      <c r="K496" s="79" t="str">
        <f>IF($D496="","",
IF($E496="","",
IF($D496="MATE","",
IF(VLOOKUP($B496,'Baremos actuales'!$A:$D,4,FALSE)=K$9,$E496*$F496,IF(VLOOKUP($B496,'Baremos anteriores'!$A:$D,4,FALSE)="Desmonte",$E496*$F496,"")))))</f>
        <v/>
      </c>
      <c r="L496" s="80" t="str">
        <f>IF($D496="","",
IF($E496="","",
IF($D496="MATE","",
IF(VLOOKUP($B496,'Baremos actuales'!$A:$D,4,FALSE)=L$9,$E496*$F496,""))))</f>
        <v/>
      </c>
      <c r="M496" s="91" t="str">
        <f t="shared" si="7"/>
        <v/>
      </c>
      <c r="N496" s="96"/>
      <c r="O496" s="95"/>
      <c r="P496" s="96"/>
      <c r="Q496" s="98"/>
    </row>
    <row r="497" spans="1:17" ht="15.75" x14ac:dyDescent="0.2">
      <c r="A497" s="17"/>
      <c r="B497" s="18"/>
      <c r="C497" s="87" t="str">
        <f>IF(B497="","",
IF(M497=$H$5,IFERROR(VLOOKUP(B497,'Baremos actuales'!A:E,5,FALSE),"No encontrado. Revisar código, fecha ejecución y/o contrato."),
IF(M497=$H$4,IFERROR(VLOOKUP(B497,'Baremos anteriores'!A:E,5,FALSE),"No encontrado. Revisar código, fecha ejecución y/o contrato."),
IF(M497=$H$3,IFERROR(VLOOKUP(B497,#REF!,5,FALSE),"No encontrado. Revisar código, fecha ejecución y/o contrato."),
IF(D497="","Código no encontrado",
IF(D497="ERROR","No encontrado. Revisar Código, fecha de ejecución y/o contrato.",
IF(D497="MATE",
IF(C496="DESCRIPCION","NO SE PUEDE COMENZAR SIN CÓDIGO DE TAREA",
IF(C496="","FALTA CÓDIGO DE TAREA",
CONCATENATE("          ",VLOOKUP(B497,'Maestro Materiales'!A:C,3,FALSE)))),IFERROR(VLOOKUP(B497,#REF!,5,FALSE),"No encontrado. Revisar código, fecha ejecución y/o contrato."))))))))</f>
        <v/>
      </c>
      <c r="D497" s="88" t="str">
        <f>IF(B497="","",
IFERROR(VLOOKUP(B497,'Maestro Materiales'!A:C,2,FALSE),
IFERROR(VLOOKUP(B497,'Baremos actuales'!A:B,2,FALSE),
IFERROR(VLOOKUP(B497,'Baremos anteriores'!A:B,2,FALSE),
""))))</f>
        <v/>
      </c>
      <c r="E497" s="9"/>
      <c r="F497" s="89" t="str">
        <f>IF(D497="MATE",
IF(E497="","¿Unidades?",""),
IF(D497="",IF(E497="","","¿Código?"),
IF(E497="","¿Unidades?",
IF(D497="TARE",
IF(M497=$H$3,IFERROR(VLOOKUP(B497,'Baremos actuales'!A:C,3,FALSE),0),
IF(M497=$H$4,IFERROR(VLOOKUP(B497,'Baremos anteriores'!A:C,3,FALSE),0),0))))))</f>
        <v/>
      </c>
      <c r="G497" s="7"/>
      <c r="H497" s="8"/>
      <c r="I497" s="8"/>
      <c r="J497" s="78" t="str">
        <f>IF($D497="","",
IF($E497="","",
IF($D497="MATE","",
IF(VLOOKUP($B497,'Baremos actuales'!A:D,4,FALSE)=J$9,$E497*$F497,IF(VLOOKUP($B497,'Baremos anteriores'!A:D,4,FALSE)="Sin Definir",$E497*$F497,"")))))</f>
        <v/>
      </c>
      <c r="K497" s="79" t="str">
        <f>IF($D497="","",
IF($E497="","",
IF($D497="MATE","",
IF(VLOOKUP($B497,'Baremos actuales'!$A:$D,4,FALSE)=K$9,$E497*$F497,IF(VLOOKUP($B497,'Baremos anteriores'!$A:$D,4,FALSE)="Desmonte",$E497*$F497,"")))))</f>
        <v/>
      </c>
      <c r="L497" s="80" t="str">
        <f>IF($D497="","",
IF($E497="","",
IF($D497="MATE","",
IF(VLOOKUP($B497,'Baremos actuales'!$A:$D,4,FALSE)=L$9,$E497*$F497,""))))</f>
        <v/>
      </c>
      <c r="M497" s="91" t="str">
        <f t="shared" si="7"/>
        <v/>
      </c>
      <c r="N497" s="96"/>
      <c r="O497" s="95"/>
      <c r="P497" s="96"/>
      <c r="Q497" s="98"/>
    </row>
    <row r="498" spans="1:17" ht="15.75" x14ac:dyDescent="0.2">
      <c r="A498" s="17"/>
      <c r="B498" s="18"/>
      <c r="C498" s="87" t="str">
        <f>IF(B498="","",
IF(M498=$H$5,IFERROR(VLOOKUP(B498,'Baremos actuales'!A:E,5,FALSE),"No encontrado. Revisar código, fecha ejecución y/o contrato."),
IF(M498=$H$4,IFERROR(VLOOKUP(B498,'Baremos anteriores'!A:E,5,FALSE),"No encontrado. Revisar código, fecha ejecución y/o contrato."),
IF(M498=$H$3,IFERROR(VLOOKUP(B498,#REF!,5,FALSE),"No encontrado. Revisar código, fecha ejecución y/o contrato."),
IF(D498="","Código no encontrado",
IF(D498="ERROR","No encontrado. Revisar Código, fecha de ejecución y/o contrato.",
IF(D498="MATE",
IF(C497="DESCRIPCION","NO SE PUEDE COMENZAR SIN CÓDIGO DE TAREA",
IF(C497="","FALTA CÓDIGO DE TAREA",
CONCATENATE("          ",VLOOKUP(B498,'Maestro Materiales'!A:C,3,FALSE)))),IFERROR(VLOOKUP(B498,#REF!,5,FALSE),"No encontrado. Revisar código, fecha ejecución y/o contrato."))))))))</f>
        <v/>
      </c>
      <c r="D498" s="88" t="str">
        <f>IF(B498="","",
IFERROR(VLOOKUP(B498,'Maestro Materiales'!A:C,2,FALSE),
IFERROR(VLOOKUP(B498,'Baremos actuales'!A:B,2,FALSE),
IFERROR(VLOOKUP(B498,'Baremos anteriores'!A:B,2,FALSE),
""))))</f>
        <v/>
      </c>
      <c r="E498" s="9"/>
      <c r="F498" s="89" t="str">
        <f>IF(D498="MATE",
IF(E498="","¿Unidades?",""),
IF(D498="",IF(E498="","","¿Código?"),
IF(E498="","¿Unidades?",
IF(D498="TARE",
IF(M498=$H$3,IFERROR(VLOOKUP(B498,'Baremos actuales'!A:C,3,FALSE),0),
IF(M498=$H$4,IFERROR(VLOOKUP(B498,'Baremos anteriores'!A:C,3,FALSE),0),0))))))</f>
        <v/>
      </c>
      <c r="G498" s="7"/>
      <c r="H498" s="8"/>
      <c r="I498" s="8"/>
      <c r="J498" s="78" t="str">
        <f>IF($D498="","",
IF($E498="","",
IF($D498="MATE","",
IF(VLOOKUP($B498,'Baremos actuales'!A:D,4,FALSE)=J$9,$E498*$F498,IF(VLOOKUP($B498,'Baremos anteriores'!A:D,4,FALSE)="Sin Definir",$E498*$F498,"")))))</f>
        <v/>
      </c>
      <c r="K498" s="79" t="str">
        <f>IF($D498="","",
IF($E498="","",
IF($D498="MATE","",
IF(VLOOKUP($B498,'Baremos actuales'!$A:$D,4,FALSE)=K$9,$E498*$F498,IF(VLOOKUP($B498,'Baremos anteriores'!$A:$D,4,FALSE)="Desmonte",$E498*$F498,"")))))</f>
        <v/>
      </c>
      <c r="L498" s="80" t="str">
        <f>IF($D498="","",
IF($E498="","",
IF($D498="MATE","",
IF(VLOOKUP($B498,'Baremos actuales'!$A:$D,4,FALSE)=L$9,$E498*$F498,""))))</f>
        <v/>
      </c>
      <c r="M498" s="91" t="str">
        <f t="shared" si="7"/>
        <v/>
      </c>
      <c r="N498" s="96"/>
      <c r="O498" s="95"/>
      <c r="P498" s="96"/>
      <c r="Q498" s="98"/>
    </row>
    <row r="499" spans="1:17" ht="15.75" x14ac:dyDescent="0.2">
      <c r="A499" s="17"/>
      <c r="B499" s="18"/>
      <c r="C499" s="87" t="str">
        <f>IF(B499="","",
IF(M499=$H$5,IFERROR(VLOOKUP(B499,'Baremos actuales'!A:E,5,FALSE),"No encontrado. Revisar código, fecha ejecución y/o contrato."),
IF(M499=$H$4,IFERROR(VLOOKUP(B499,'Baremos anteriores'!A:E,5,FALSE),"No encontrado. Revisar código, fecha ejecución y/o contrato."),
IF(M499=$H$3,IFERROR(VLOOKUP(B499,#REF!,5,FALSE),"No encontrado. Revisar código, fecha ejecución y/o contrato."),
IF(D499="","Código no encontrado",
IF(D499="ERROR","No encontrado. Revisar Código, fecha de ejecución y/o contrato.",
IF(D499="MATE",
IF(C498="DESCRIPCION","NO SE PUEDE COMENZAR SIN CÓDIGO DE TAREA",
IF(C498="","FALTA CÓDIGO DE TAREA",
CONCATENATE("          ",VLOOKUP(B499,'Maestro Materiales'!A:C,3,FALSE)))),IFERROR(VLOOKUP(B499,#REF!,5,FALSE),"No encontrado. Revisar código, fecha ejecución y/o contrato."))))))))</f>
        <v/>
      </c>
      <c r="D499" s="88" t="str">
        <f>IF(B499="","",
IFERROR(VLOOKUP(B499,'Maestro Materiales'!A:C,2,FALSE),
IFERROR(VLOOKUP(B499,'Baremos actuales'!A:B,2,FALSE),
IFERROR(VLOOKUP(B499,'Baremos anteriores'!A:B,2,FALSE),
""))))</f>
        <v/>
      </c>
      <c r="E499" s="9"/>
      <c r="F499" s="89" t="str">
        <f>IF(D499="MATE",
IF(E499="","¿Unidades?",""),
IF(D499="",IF(E499="","","¿Código?"),
IF(E499="","¿Unidades?",
IF(D499="TARE",
IF(M499=$H$3,IFERROR(VLOOKUP(B499,'Baremos actuales'!A:C,3,FALSE),0),
IF(M499=$H$4,IFERROR(VLOOKUP(B499,'Baremos anteriores'!A:C,3,FALSE),0),0))))))</f>
        <v/>
      </c>
      <c r="G499" s="7"/>
      <c r="H499" s="8"/>
      <c r="I499" s="8"/>
      <c r="J499" s="78" t="str">
        <f>IF($D499="","",
IF($E499="","",
IF($D499="MATE","",
IF(VLOOKUP($B499,'Baremos actuales'!A:D,4,FALSE)=J$9,$E499*$F499,IF(VLOOKUP($B499,'Baremos anteriores'!A:D,4,FALSE)="Sin Definir",$E499*$F499,"")))))</f>
        <v/>
      </c>
      <c r="K499" s="79" t="str">
        <f>IF($D499="","",
IF($E499="","",
IF($D499="MATE","",
IF(VLOOKUP($B499,'Baremos actuales'!$A:$D,4,FALSE)=K$9,$E499*$F499,IF(VLOOKUP($B499,'Baremos anteriores'!$A:$D,4,FALSE)="Desmonte",$E499*$F499,"")))))</f>
        <v/>
      </c>
      <c r="L499" s="80" t="str">
        <f>IF($D499="","",
IF($E499="","",
IF($D499="MATE","",
IF(VLOOKUP($B499,'Baremos actuales'!$A:$D,4,FALSE)=L$9,$E499*$F499,""))))</f>
        <v/>
      </c>
      <c r="M499" s="91" t="str">
        <f t="shared" si="7"/>
        <v/>
      </c>
      <c r="N499" s="96"/>
      <c r="O499" s="95"/>
      <c r="P499" s="96"/>
      <c r="Q499" s="98"/>
    </row>
    <row r="500" spans="1:17" ht="15.75" x14ac:dyDescent="0.2">
      <c r="A500" s="17"/>
      <c r="B500" s="18"/>
      <c r="C500" s="87" t="str">
        <f>IF(B500="","",
IF(M500=$H$5,IFERROR(VLOOKUP(B500,'Baremos actuales'!A:E,5,FALSE),"No encontrado. Revisar código, fecha ejecución y/o contrato."),
IF(M500=$H$4,IFERROR(VLOOKUP(B500,'Baremos anteriores'!A:E,5,FALSE),"No encontrado. Revisar código, fecha ejecución y/o contrato."),
IF(M500=$H$3,IFERROR(VLOOKUP(B500,#REF!,5,FALSE),"No encontrado. Revisar código, fecha ejecución y/o contrato."),
IF(D500="","Código no encontrado",
IF(D500="ERROR","No encontrado. Revisar Código, fecha de ejecución y/o contrato.",
IF(D500="MATE",
IF(C499="DESCRIPCION","NO SE PUEDE COMENZAR SIN CÓDIGO DE TAREA",
IF(C499="","FALTA CÓDIGO DE TAREA",
CONCATENATE("          ",VLOOKUP(B500,'Maestro Materiales'!A:C,3,FALSE)))),IFERROR(VLOOKUP(B500,#REF!,5,FALSE),"No encontrado. Revisar código, fecha ejecución y/o contrato."))))))))</f>
        <v/>
      </c>
      <c r="D500" s="88" t="str">
        <f>IF(B500="","",
IFERROR(VLOOKUP(B500,'Maestro Materiales'!A:C,2,FALSE),
IFERROR(VLOOKUP(B500,'Baremos actuales'!A:B,2,FALSE),
IFERROR(VLOOKUP(B500,'Baremos anteriores'!A:B,2,FALSE),
""))))</f>
        <v/>
      </c>
      <c r="E500" s="9"/>
      <c r="F500" s="89" t="str">
        <f>IF(D500="MATE",
IF(E500="","¿Unidades?",""),
IF(D500="",IF(E500="","","¿Código?"),
IF(E500="","¿Unidades?",
IF(D500="TARE",
IF(M500=$H$3,IFERROR(VLOOKUP(B500,'Baremos actuales'!A:C,3,FALSE),0),
IF(M500=$H$4,IFERROR(VLOOKUP(B500,'Baremos anteriores'!A:C,3,FALSE),0),0))))))</f>
        <v/>
      </c>
      <c r="G500" s="7"/>
      <c r="H500" s="8"/>
      <c r="I500" s="8"/>
      <c r="J500" s="78" t="str">
        <f>IF($D500="","",
IF($E500="","",
IF($D500="MATE","",
IF(VLOOKUP($B500,'Baremos actuales'!A:D,4,FALSE)=J$9,$E500*$F500,IF(VLOOKUP($B500,'Baremos anteriores'!A:D,4,FALSE)="Sin Definir",$E500*$F500,"")))))</f>
        <v/>
      </c>
      <c r="K500" s="79" t="str">
        <f>IF($D500="","",
IF($E500="","",
IF($D500="MATE","",
IF(VLOOKUP($B500,'Baremos actuales'!$A:$D,4,FALSE)=K$9,$E500*$F500,IF(VLOOKUP($B500,'Baremos anteriores'!$A:$D,4,FALSE)="Desmonte",$E500*$F500,"")))))</f>
        <v/>
      </c>
      <c r="L500" s="80" t="str">
        <f>IF($D500="","",
IF($E500="","",
IF($D500="MATE","",
IF(VLOOKUP($B500,'Baremos actuales'!$A:$D,4,FALSE)=L$9,$E500*$F500,""))))</f>
        <v/>
      </c>
      <c r="M500" s="91" t="str">
        <f t="shared" si="7"/>
        <v/>
      </c>
      <c r="N500" s="96"/>
      <c r="O500" s="95"/>
      <c r="P500" s="96"/>
      <c r="Q500" s="98"/>
    </row>
    <row r="501" spans="1:17" ht="15.75" x14ac:dyDescent="0.2">
      <c r="A501" s="17"/>
      <c r="B501" s="18"/>
      <c r="C501" s="87" t="str">
        <f>IF(B501="","",
IF(M501=$H$5,IFERROR(VLOOKUP(B501,'Baremos actuales'!A:E,5,FALSE),"No encontrado. Revisar código, fecha ejecución y/o contrato."),
IF(M501=$H$4,IFERROR(VLOOKUP(B501,'Baremos anteriores'!A:E,5,FALSE),"No encontrado. Revisar código, fecha ejecución y/o contrato."),
IF(M501=$H$3,IFERROR(VLOOKUP(B501,#REF!,5,FALSE),"No encontrado. Revisar código, fecha ejecución y/o contrato."),
IF(D501="","Código no encontrado",
IF(D501="ERROR","No encontrado. Revisar Código, fecha de ejecución y/o contrato.",
IF(D501="MATE",
IF(C500="DESCRIPCION","NO SE PUEDE COMENZAR SIN CÓDIGO DE TAREA",
IF(C500="","FALTA CÓDIGO DE TAREA",
CONCATENATE("          ",VLOOKUP(B501,'Maestro Materiales'!A:C,3,FALSE)))),IFERROR(VLOOKUP(B501,#REF!,5,FALSE),"No encontrado. Revisar código, fecha ejecución y/o contrato."))))))))</f>
        <v/>
      </c>
      <c r="D501" s="88" t="str">
        <f>IF(B501="","",
IFERROR(VLOOKUP(B501,'Maestro Materiales'!A:C,2,FALSE),
IFERROR(VLOOKUP(B501,'Baremos actuales'!A:B,2,FALSE),
IFERROR(VLOOKUP(B501,'Baremos anteriores'!A:B,2,FALSE),
""))))</f>
        <v/>
      </c>
      <c r="E501" s="9"/>
      <c r="F501" s="89" t="str">
        <f>IF(D501="MATE",
IF(E501="","¿Unidades?",""),
IF(D501="",IF(E501="","","¿Código?"),
IF(E501="","¿Unidades?",
IF(D501="TARE",
IF(M501=$H$3,IFERROR(VLOOKUP(B501,'Baremos actuales'!A:C,3,FALSE),0),
IF(M501=$H$4,IFERROR(VLOOKUP(B501,'Baremos anteriores'!A:C,3,FALSE),0),0))))))</f>
        <v/>
      </c>
      <c r="G501" s="7"/>
      <c r="H501" s="8"/>
      <c r="I501" s="8"/>
      <c r="J501" s="78" t="str">
        <f>IF($D501="","",
IF($E501="","",
IF($D501="MATE","",
IF(VLOOKUP($B501,'Baremos actuales'!A:D,4,FALSE)=J$9,$E501*$F501,IF(VLOOKUP($B501,'Baremos anteriores'!A:D,4,FALSE)="Sin Definir",$E501*$F501,"")))))</f>
        <v/>
      </c>
      <c r="K501" s="79" t="str">
        <f>IF($D501="","",
IF($E501="","",
IF($D501="MATE","",
IF(VLOOKUP($B501,'Baremos actuales'!$A:$D,4,FALSE)=K$9,$E501*$F501,IF(VLOOKUP($B501,'Baremos anteriores'!$A:$D,4,FALSE)="Desmonte",$E501*$F501,"")))))</f>
        <v/>
      </c>
      <c r="L501" s="80" t="str">
        <f>IF($D501="","",
IF($E501="","",
IF($D501="MATE","",
IF(VLOOKUP($B501,'Baremos actuales'!$A:$D,4,FALSE)=L$9,$E501*$F501,""))))</f>
        <v/>
      </c>
      <c r="M501" s="91" t="str">
        <f t="shared" si="7"/>
        <v/>
      </c>
      <c r="N501" s="96"/>
      <c r="O501" s="95"/>
      <c r="P501" s="96"/>
      <c r="Q501" s="98"/>
    </row>
    <row r="502" spans="1:17" ht="15.75" x14ac:dyDescent="0.2">
      <c r="A502" s="17"/>
      <c r="B502" s="18"/>
      <c r="C502" s="87" t="str">
        <f>IF(B502="","",
IF(M502=$H$5,IFERROR(VLOOKUP(B502,'Baremos actuales'!A:E,5,FALSE),"No encontrado. Revisar código, fecha ejecución y/o contrato."),
IF(M502=$H$4,IFERROR(VLOOKUP(B502,'Baremos anteriores'!A:E,5,FALSE),"No encontrado. Revisar código, fecha ejecución y/o contrato."),
IF(M502=$H$3,IFERROR(VLOOKUP(B502,#REF!,5,FALSE),"No encontrado. Revisar código, fecha ejecución y/o contrato."),
IF(D502="","Código no encontrado",
IF(D502="ERROR","No encontrado. Revisar Código, fecha de ejecución y/o contrato.",
IF(D502="MATE",
IF(C501="DESCRIPCION","NO SE PUEDE COMENZAR SIN CÓDIGO DE TAREA",
IF(C501="","FALTA CÓDIGO DE TAREA",
CONCATENATE("          ",VLOOKUP(B502,'Maestro Materiales'!A:C,3,FALSE)))),IFERROR(VLOOKUP(B502,#REF!,5,FALSE),"No encontrado. Revisar código, fecha ejecución y/o contrato."))))))))</f>
        <v/>
      </c>
      <c r="D502" s="88" t="str">
        <f>IF(B502="","",
IFERROR(VLOOKUP(B502,'Maestro Materiales'!A:C,2,FALSE),
IFERROR(VLOOKUP(B502,'Baremos actuales'!A:B,2,FALSE),
IFERROR(VLOOKUP(B502,'Baremos anteriores'!A:B,2,FALSE),
""))))</f>
        <v/>
      </c>
      <c r="E502" s="9"/>
      <c r="F502" s="89" t="str">
        <f>IF(D502="MATE",
IF(E502="","¿Unidades?",""),
IF(D502="",IF(E502="","","¿Código?"),
IF(E502="","¿Unidades?",
IF(D502="TARE",
IF(M502=$H$3,IFERROR(VLOOKUP(B502,'Baremos actuales'!A:C,3,FALSE),0),
IF(M502=$H$4,IFERROR(VLOOKUP(B502,'Baremos anteriores'!A:C,3,FALSE),0),0))))))</f>
        <v/>
      </c>
      <c r="G502" s="7"/>
      <c r="H502" s="8"/>
      <c r="I502" s="8"/>
      <c r="J502" s="78" t="str">
        <f>IF($D502="","",
IF($E502="","",
IF($D502="MATE","",
IF(VLOOKUP($B502,'Baremos actuales'!A:D,4,FALSE)=J$9,$E502*$F502,IF(VLOOKUP($B502,'Baremos anteriores'!A:D,4,FALSE)="Sin Definir",$E502*$F502,"")))))</f>
        <v/>
      </c>
      <c r="K502" s="79" t="str">
        <f>IF($D502="","",
IF($E502="","",
IF($D502="MATE","",
IF(VLOOKUP($B502,'Baremos actuales'!$A:$D,4,FALSE)=K$9,$E502*$F502,IF(VLOOKUP($B502,'Baremos anteriores'!$A:$D,4,FALSE)="Desmonte",$E502*$F502,"")))))</f>
        <v/>
      </c>
      <c r="L502" s="80" t="str">
        <f>IF($D502="","",
IF($E502="","",
IF($D502="MATE","",
IF(VLOOKUP($B502,'Baremos actuales'!$A:$D,4,FALSE)=L$9,$E502*$F502,""))))</f>
        <v/>
      </c>
      <c r="M502" s="91" t="str">
        <f t="shared" si="7"/>
        <v/>
      </c>
      <c r="N502" s="96"/>
      <c r="O502" s="95"/>
      <c r="P502" s="96"/>
      <c r="Q502" s="98"/>
    </row>
    <row r="503" spans="1:17" ht="15.75" x14ac:dyDescent="0.2">
      <c r="A503" s="17"/>
      <c r="B503" s="18"/>
      <c r="C503" s="87" t="str">
        <f>IF(B503="","",
IF(M503=$H$5,IFERROR(VLOOKUP(B503,'Baremos actuales'!A:E,5,FALSE),"No encontrado. Revisar código, fecha ejecución y/o contrato."),
IF(M503=$H$4,IFERROR(VLOOKUP(B503,'Baremos anteriores'!A:E,5,FALSE),"No encontrado. Revisar código, fecha ejecución y/o contrato."),
IF(M503=$H$3,IFERROR(VLOOKUP(B503,#REF!,5,FALSE),"No encontrado. Revisar código, fecha ejecución y/o contrato."),
IF(D503="","Código no encontrado",
IF(D503="ERROR","No encontrado. Revisar Código, fecha de ejecución y/o contrato.",
IF(D503="MATE",
IF(C502="DESCRIPCION","NO SE PUEDE COMENZAR SIN CÓDIGO DE TAREA",
IF(C502="","FALTA CÓDIGO DE TAREA",
CONCATENATE("          ",VLOOKUP(B503,'Maestro Materiales'!A:C,3,FALSE)))),IFERROR(VLOOKUP(B503,#REF!,5,FALSE),"No encontrado. Revisar código, fecha ejecución y/o contrato."))))))))</f>
        <v/>
      </c>
      <c r="D503" s="88" t="str">
        <f>IF(B503="","",
IFERROR(VLOOKUP(B503,'Maestro Materiales'!A:C,2,FALSE),
IFERROR(VLOOKUP(B503,'Baremos actuales'!A:B,2,FALSE),
IFERROR(VLOOKUP(B503,'Baremos anteriores'!A:B,2,FALSE),
""))))</f>
        <v/>
      </c>
      <c r="E503" s="9"/>
      <c r="F503" s="89" t="str">
        <f>IF(D503="MATE",
IF(E503="","¿Unidades?",""),
IF(D503="",IF(E503="","","¿Código?"),
IF(E503="","¿Unidades?",
IF(D503="TARE",
IF(M503=$H$3,IFERROR(VLOOKUP(B503,'Baremos actuales'!A:C,3,FALSE),0),
IF(M503=$H$4,IFERROR(VLOOKUP(B503,'Baremos anteriores'!A:C,3,FALSE),0),0))))))</f>
        <v/>
      </c>
      <c r="G503" s="7"/>
      <c r="H503" s="8"/>
      <c r="I503" s="8"/>
      <c r="J503" s="78" t="str">
        <f>IF($D503="","",
IF($E503="","",
IF($D503="MATE","",
IF(VLOOKUP($B503,'Baremos actuales'!A:D,4,FALSE)=J$9,$E503*$F503,IF(VLOOKUP($B503,'Baremos anteriores'!A:D,4,FALSE)="Sin Definir",$E503*$F503,"")))))</f>
        <v/>
      </c>
      <c r="K503" s="79" t="str">
        <f>IF($D503="","",
IF($E503="","",
IF($D503="MATE","",
IF(VLOOKUP($B503,'Baremos actuales'!$A:$D,4,FALSE)=K$9,$E503*$F503,IF(VLOOKUP($B503,'Baremos anteriores'!$A:$D,4,FALSE)="Desmonte",$E503*$F503,"")))))</f>
        <v/>
      </c>
      <c r="L503" s="80" t="str">
        <f>IF($D503="","",
IF($E503="","",
IF($D503="MATE","",
IF(VLOOKUP($B503,'Baremos actuales'!$A:$D,4,FALSE)=L$9,$E503*$F503,""))))</f>
        <v/>
      </c>
      <c r="M503" s="91" t="str">
        <f t="shared" si="7"/>
        <v/>
      </c>
      <c r="N503" s="96"/>
      <c r="O503" s="95"/>
      <c r="P503" s="96"/>
      <c r="Q503" s="98"/>
    </row>
    <row r="504" spans="1:17" ht="15.75" x14ac:dyDescent="0.2">
      <c r="A504" s="17"/>
      <c r="B504" s="18"/>
      <c r="C504" s="87" t="str">
        <f>IF(B504="","",
IF(M504=$H$5,IFERROR(VLOOKUP(B504,'Baremos actuales'!A:E,5,FALSE),"No encontrado. Revisar código, fecha ejecución y/o contrato."),
IF(M504=$H$4,IFERROR(VLOOKUP(B504,'Baremos anteriores'!A:E,5,FALSE),"No encontrado. Revisar código, fecha ejecución y/o contrato."),
IF(M504=$H$3,IFERROR(VLOOKUP(B504,#REF!,5,FALSE),"No encontrado. Revisar código, fecha ejecución y/o contrato."),
IF(D504="","Código no encontrado",
IF(D504="ERROR","No encontrado. Revisar Código, fecha de ejecución y/o contrato.",
IF(D504="MATE",
IF(C503="DESCRIPCION","NO SE PUEDE COMENZAR SIN CÓDIGO DE TAREA",
IF(C503="","FALTA CÓDIGO DE TAREA",
CONCATENATE("          ",VLOOKUP(B504,'Maestro Materiales'!A:C,3,FALSE)))),IFERROR(VLOOKUP(B504,#REF!,5,FALSE),"No encontrado. Revisar código, fecha ejecución y/o contrato."))))))))</f>
        <v/>
      </c>
      <c r="D504" s="88" t="str">
        <f>IF(B504="","",
IFERROR(VLOOKUP(B504,'Maestro Materiales'!A:C,2,FALSE),
IFERROR(VLOOKUP(B504,'Baremos actuales'!A:B,2,FALSE),
IFERROR(VLOOKUP(B504,'Baremos anteriores'!A:B,2,FALSE),
""))))</f>
        <v/>
      </c>
      <c r="E504" s="9"/>
      <c r="F504" s="89" t="str">
        <f>IF(D504="MATE",
IF(E504="","¿Unidades?",""),
IF(D504="",IF(E504="","","¿Código?"),
IF(E504="","¿Unidades?",
IF(D504="TARE",
IF(M504=$H$3,IFERROR(VLOOKUP(B504,'Baremos actuales'!A:C,3,FALSE),0),
IF(M504=$H$4,IFERROR(VLOOKUP(B504,'Baremos anteriores'!A:C,3,FALSE),0),0))))))</f>
        <v/>
      </c>
      <c r="G504" s="7"/>
      <c r="H504" s="8"/>
      <c r="I504" s="8"/>
      <c r="J504" s="78" t="str">
        <f>IF($D504="","",
IF($E504="","",
IF($D504="MATE","",
IF(VLOOKUP($B504,'Baremos actuales'!A:D,4,FALSE)=J$9,$E504*$F504,IF(VLOOKUP($B504,'Baremos anteriores'!A:D,4,FALSE)="Sin Definir",$E504*$F504,"")))))</f>
        <v/>
      </c>
      <c r="K504" s="79" t="str">
        <f>IF($D504="","",
IF($E504="","",
IF($D504="MATE","",
IF(VLOOKUP($B504,'Baremos actuales'!$A:$D,4,FALSE)=K$9,$E504*$F504,IF(VLOOKUP($B504,'Baremos anteriores'!$A:$D,4,FALSE)="Desmonte",$E504*$F504,"")))))</f>
        <v/>
      </c>
      <c r="L504" s="80" t="str">
        <f>IF($D504="","",
IF($E504="","",
IF($D504="MATE","",
IF(VLOOKUP($B504,'Baremos actuales'!$A:$D,4,FALSE)=L$9,$E504*$F504,""))))</f>
        <v/>
      </c>
      <c r="M504" s="91" t="str">
        <f t="shared" si="7"/>
        <v/>
      </c>
      <c r="N504" s="96"/>
      <c r="O504" s="95"/>
      <c r="P504" s="96"/>
      <c r="Q504" s="98"/>
    </row>
    <row r="505" spans="1:17" ht="15.75" x14ac:dyDescent="0.2">
      <c r="A505" s="17"/>
      <c r="B505" s="18"/>
      <c r="C505" s="87" t="str">
        <f>IF(B505="","",
IF(M505=$H$5,IFERROR(VLOOKUP(B505,'Baremos actuales'!A:E,5,FALSE),"No encontrado. Revisar código, fecha ejecución y/o contrato."),
IF(M505=$H$4,IFERROR(VLOOKUP(B505,'Baremos anteriores'!A:E,5,FALSE),"No encontrado. Revisar código, fecha ejecución y/o contrato."),
IF(M505=$H$3,IFERROR(VLOOKUP(B505,#REF!,5,FALSE),"No encontrado. Revisar código, fecha ejecución y/o contrato."),
IF(D505="","Código no encontrado",
IF(D505="ERROR","No encontrado. Revisar Código, fecha de ejecución y/o contrato.",
IF(D505="MATE",
IF(C504="DESCRIPCION","NO SE PUEDE COMENZAR SIN CÓDIGO DE TAREA",
IF(C504="","FALTA CÓDIGO DE TAREA",
CONCATENATE("          ",VLOOKUP(B505,'Maestro Materiales'!A:C,3,FALSE)))),IFERROR(VLOOKUP(B505,#REF!,5,FALSE),"No encontrado. Revisar código, fecha ejecución y/o contrato."))))))))</f>
        <v/>
      </c>
      <c r="D505" s="88" t="str">
        <f>IF(B505="","",
IFERROR(VLOOKUP(B505,'Maestro Materiales'!A:C,2,FALSE),
IFERROR(VLOOKUP(B505,'Baremos actuales'!A:B,2,FALSE),
IFERROR(VLOOKUP(B505,'Baremos anteriores'!A:B,2,FALSE),
""))))</f>
        <v/>
      </c>
      <c r="E505" s="9"/>
      <c r="F505" s="89" t="str">
        <f>IF(D505="MATE",
IF(E505="","¿Unidades?",""),
IF(D505="",IF(E505="","","¿Código?"),
IF(E505="","¿Unidades?",
IF(D505="TARE",
IF(M505=$H$3,IFERROR(VLOOKUP(B505,'Baremos actuales'!A:C,3,FALSE),0),
IF(M505=$H$4,IFERROR(VLOOKUP(B505,'Baremos anteriores'!A:C,3,FALSE),0),0))))))</f>
        <v/>
      </c>
      <c r="G505" s="7"/>
      <c r="H505" s="8"/>
      <c r="I505" s="8"/>
      <c r="J505" s="78" t="str">
        <f>IF($D505="","",
IF($E505="","",
IF($D505="MATE","",
IF(VLOOKUP($B505,'Baremos actuales'!A:D,4,FALSE)=J$9,$E505*$F505,IF(VLOOKUP($B505,'Baremos anteriores'!A:D,4,FALSE)="Sin Definir",$E505*$F505,"")))))</f>
        <v/>
      </c>
      <c r="K505" s="79" t="str">
        <f>IF($D505="","",
IF($E505="","",
IF($D505="MATE","",
IF(VLOOKUP($B505,'Baremos actuales'!$A:$D,4,FALSE)=K$9,$E505*$F505,IF(VLOOKUP($B505,'Baremos anteriores'!$A:$D,4,FALSE)="Desmonte",$E505*$F505,"")))))</f>
        <v/>
      </c>
      <c r="L505" s="80" t="str">
        <f>IF($D505="","",
IF($E505="","",
IF($D505="MATE","",
IF(VLOOKUP($B505,'Baremos actuales'!$A:$D,4,FALSE)=L$9,$E505*$F505,""))))</f>
        <v/>
      </c>
      <c r="M505" s="91" t="str">
        <f t="shared" si="7"/>
        <v/>
      </c>
      <c r="N505" s="96"/>
      <c r="O505" s="95"/>
      <c r="P505" s="96"/>
      <c r="Q505" s="98"/>
    </row>
    <row r="506" spans="1:17" ht="15.75" x14ac:dyDescent="0.2">
      <c r="A506" s="17"/>
      <c r="B506" s="18"/>
      <c r="C506" s="87" t="str">
        <f>IF(B506="","",
IF(M506=$H$5,IFERROR(VLOOKUP(B506,'Baremos actuales'!A:E,5,FALSE),"No encontrado. Revisar código, fecha ejecución y/o contrato."),
IF(M506=$H$4,IFERROR(VLOOKUP(B506,'Baremos anteriores'!A:E,5,FALSE),"No encontrado. Revisar código, fecha ejecución y/o contrato."),
IF(M506=$H$3,IFERROR(VLOOKUP(B506,#REF!,5,FALSE),"No encontrado. Revisar código, fecha ejecución y/o contrato."),
IF(D506="","Código no encontrado",
IF(D506="ERROR","No encontrado. Revisar Código, fecha de ejecución y/o contrato.",
IF(D506="MATE",
IF(C505="DESCRIPCION","NO SE PUEDE COMENZAR SIN CÓDIGO DE TAREA",
IF(C505="","FALTA CÓDIGO DE TAREA",
CONCATENATE("          ",VLOOKUP(B506,'Maestro Materiales'!A:C,3,FALSE)))),IFERROR(VLOOKUP(B506,#REF!,5,FALSE),"No encontrado. Revisar código, fecha ejecución y/o contrato."))))))))</f>
        <v/>
      </c>
      <c r="D506" s="88" t="str">
        <f>IF(B506="","",
IFERROR(VLOOKUP(B506,'Maestro Materiales'!A:C,2,FALSE),
IFERROR(VLOOKUP(B506,'Baremos actuales'!A:B,2,FALSE),
IFERROR(VLOOKUP(B506,'Baremos anteriores'!A:B,2,FALSE),
""))))</f>
        <v/>
      </c>
      <c r="E506" s="9"/>
      <c r="F506" s="89" t="str">
        <f>IF(D506="MATE",
IF(E506="","¿Unidades?",""),
IF(D506="",IF(E506="","","¿Código?"),
IF(E506="","¿Unidades?",
IF(D506="TARE",
IF(M506=$H$3,IFERROR(VLOOKUP(B506,'Baremos actuales'!A:C,3,FALSE),0),
IF(M506=$H$4,IFERROR(VLOOKUP(B506,'Baremos anteriores'!A:C,3,FALSE),0),0))))))</f>
        <v/>
      </c>
      <c r="G506" s="7"/>
      <c r="H506" s="8"/>
      <c r="I506" s="8"/>
      <c r="J506" s="78" t="str">
        <f>IF($D506="","",
IF($E506="","",
IF($D506="MATE","",
IF(VLOOKUP($B506,'Baremos actuales'!A:D,4,FALSE)=J$9,$E506*$F506,IF(VLOOKUP($B506,'Baremos anteriores'!A:D,4,FALSE)="Sin Definir",$E506*$F506,"")))))</f>
        <v/>
      </c>
      <c r="K506" s="79" t="str">
        <f>IF($D506="","",
IF($E506="","",
IF($D506="MATE","",
IF(VLOOKUP($B506,'Baremos actuales'!$A:$D,4,FALSE)=K$9,$E506*$F506,IF(VLOOKUP($B506,'Baremos anteriores'!$A:$D,4,FALSE)="Desmonte",$E506*$F506,"")))))</f>
        <v/>
      </c>
      <c r="L506" s="80" t="str">
        <f>IF($D506="","",
IF($E506="","",
IF($D506="MATE","",
IF(VLOOKUP($B506,'Baremos actuales'!$A:$D,4,FALSE)=L$9,$E506*$F506,""))))</f>
        <v/>
      </c>
      <c r="M506" s="91" t="str">
        <f t="shared" si="7"/>
        <v/>
      </c>
      <c r="N506" s="96"/>
      <c r="O506" s="95"/>
      <c r="P506" s="96"/>
      <c r="Q506" s="98"/>
    </row>
    <row r="507" spans="1:17" ht="15.75" x14ac:dyDescent="0.2">
      <c r="A507" s="17"/>
      <c r="B507" s="18"/>
      <c r="C507" s="87" t="str">
        <f>IF(B507="","",
IF(M507=$H$5,IFERROR(VLOOKUP(B507,'Baremos actuales'!A:E,5,FALSE),"No encontrado. Revisar código, fecha ejecución y/o contrato."),
IF(M507=$H$4,IFERROR(VLOOKUP(B507,'Baremos anteriores'!A:E,5,FALSE),"No encontrado. Revisar código, fecha ejecución y/o contrato."),
IF(M507=$H$3,IFERROR(VLOOKUP(B507,#REF!,5,FALSE),"No encontrado. Revisar código, fecha ejecución y/o contrato."),
IF(D507="","Código no encontrado",
IF(D507="ERROR","No encontrado. Revisar Código, fecha de ejecución y/o contrato.",
IF(D507="MATE",
IF(C506="DESCRIPCION","NO SE PUEDE COMENZAR SIN CÓDIGO DE TAREA",
IF(C506="","FALTA CÓDIGO DE TAREA",
CONCATENATE("          ",VLOOKUP(B507,'Maestro Materiales'!A:C,3,FALSE)))),IFERROR(VLOOKUP(B507,#REF!,5,FALSE),"No encontrado. Revisar código, fecha ejecución y/o contrato."))))))))</f>
        <v/>
      </c>
      <c r="D507" s="88" t="str">
        <f>IF(B507="","",
IFERROR(VLOOKUP(B507,'Maestro Materiales'!A:C,2,FALSE),
IFERROR(VLOOKUP(B507,'Baremos actuales'!A:B,2,FALSE),
IFERROR(VLOOKUP(B507,'Baremos anteriores'!A:B,2,FALSE),
""))))</f>
        <v/>
      </c>
      <c r="E507" s="9"/>
      <c r="F507" s="89" t="str">
        <f>IF(D507="MATE",
IF(E507="","¿Unidades?",""),
IF(D507="",IF(E507="","","¿Código?"),
IF(E507="","¿Unidades?",
IF(D507="TARE",
IF(M507=$H$3,IFERROR(VLOOKUP(B507,'Baremos actuales'!A:C,3,FALSE),0),
IF(M507=$H$4,IFERROR(VLOOKUP(B507,'Baremos anteriores'!A:C,3,FALSE),0),0))))))</f>
        <v/>
      </c>
      <c r="G507" s="7"/>
      <c r="H507" s="8"/>
      <c r="I507" s="8"/>
      <c r="J507" s="78" t="str">
        <f>IF($D507="","",
IF($E507="","",
IF($D507="MATE","",
IF(VLOOKUP($B507,'Baremos actuales'!A:D,4,FALSE)=J$9,$E507*$F507,IF(VLOOKUP($B507,'Baremos anteriores'!A:D,4,FALSE)="Sin Definir",$E507*$F507,"")))))</f>
        <v/>
      </c>
      <c r="K507" s="79" t="str">
        <f>IF($D507="","",
IF($E507="","",
IF($D507="MATE","",
IF(VLOOKUP($B507,'Baremos actuales'!$A:$D,4,FALSE)=K$9,$E507*$F507,IF(VLOOKUP($B507,'Baremos anteriores'!$A:$D,4,FALSE)="Desmonte",$E507*$F507,"")))))</f>
        <v/>
      </c>
      <c r="L507" s="80" t="str">
        <f>IF($D507="","",
IF($E507="","",
IF($D507="MATE","",
IF(VLOOKUP($B507,'Baremos actuales'!$A:$D,4,FALSE)=L$9,$E507*$F507,""))))</f>
        <v/>
      </c>
      <c r="M507" s="91" t="str">
        <f t="shared" si="7"/>
        <v/>
      </c>
      <c r="N507" s="96"/>
      <c r="O507" s="95"/>
      <c r="P507" s="96"/>
      <c r="Q507" s="98"/>
    </row>
    <row r="508" spans="1:17" ht="15.75" x14ac:dyDescent="0.2">
      <c r="A508" s="17"/>
      <c r="B508" s="18"/>
      <c r="C508" s="87" t="str">
        <f>IF(B508="","",
IF(M508=$H$5,IFERROR(VLOOKUP(B508,'Baremos actuales'!A:E,5,FALSE),"No encontrado. Revisar código, fecha ejecución y/o contrato."),
IF(M508=$H$4,IFERROR(VLOOKUP(B508,'Baremos anteriores'!A:E,5,FALSE),"No encontrado. Revisar código, fecha ejecución y/o contrato."),
IF(M508=$H$3,IFERROR(VLOOKUP(B508,#REF!,5,FALSE),"No encontrado. Revisar código, fecha ejecución y/o contrato."),
IF(D508="","Código no encontrado",
IF(D508="ERROR","No encontrado. Revisar Código, fecha de ejecución y/o contrato.",
IF(D508="MATE",
IF(C507="DESCRIPCION","NO SE PUEDE COMENZAR SIN CÓDIGO DE TAREA",
IF(C507="","FALTA CÓDIGO DE TAREA",
CONCATENATE("          ",VLOOKUP(B508,'Maestro Materiales'!A:C,3,FALSE)))),IFERROR(VLOOKUP(B508,#REF!,5,FALSE),"No encontrado. Revisar código, fecha ejecución y/o contrato."))))))))</f>
        <v/>
      </c>
      <c r="D508" s="88" t="str">
        <f>IF(B508="","",
IFERROR(VLOOKUP(B508,'Maestro Materiales'!A:C,2,FALSE),
IFERROR(VLOOKUP(B508,'Baremos actuales'!A:B,2,FALSE),
IFERROR(VLOOKUP(B508,'Baremos anteriores'!A:B,2,FALSE),
""))))</f>
        <v/>
      </c>
      <c r="E508" s="9"/>
      <c r="F508" s="89" t="str">
        <f>IF(D508="MATE",
IF(E508="","¿Unidades?",""),
IF(D508="",IF(E508="","","¿Código?"),
IF(E508="","¿Unidades?",
IF(D508="TARE",
IF(M508=$H$3,IFERROR(VLOOKUP(B508,'Baremos actuales'!A:C,3,FALSE),0),
IF(M508=$H$4,IFERROR(VLOOKUP(B508,'Baremos anteriores'!A:C,3,FALSE),0),0))))))</f>
        <v/>
      </c>
      <c r="G508" s="7"/>
      <c r="H508" s="8"/>
      <c r="I508" s="8"/>
      <c r="J508" s="78" t="str">
        <f>IF($D508="","",
IF($E508="","",
IF($D508="MATE","",
IF(VLOOKUP($B508,'Baremos actuales'!A:D,4,FALSE)=J$9,$E508*$F508,IF(VLOOKUP($B508,'Baremos anteriores'!A:D,4,FALSE)="Sin Definir",$E508*$F508,"")))))</f>
        <v/>
      </c>
      <c r="K508" s="79" t="str">
        <f>IF($D508="","",
IF($E508="","",
IF($D508="MATE","",
IF(VLOOKUP($B508,'Baremos actuales'!$A:$D,4,FALSE)=K$9,$E508*$F508,IF(VLOOKUP($B508,'Baremos anteriores'!$A:$D,4,FALSE)="Desmonte",$E508*$F508,"")))))</f>
        <v/>
      </c>
      <c r="L508" s="80" t="str">
        <f>IF($D508="","",
IF($E508="","",
IF($D508="MATE","",
IF(VLOOKUP($B508,'Baremos actuales'!$A:$D,4,FALSE)=L$9,$E508*$F508,""))))</f>
        <v/>
      </c>
      <c r="M508" s="91" t="str">
        <f t="shared" si="7"/>
        <v/>
      </c>
      <c r="N508" s="96"/>
      <c r="O508" s="95"/>
      <c r="P508" s="96"/>
      <c r="Q508" s="98"/>
    </row>
    <row r="509" spans="1:17" ht="15.75" x14ac:dyDescent="0.2">
      <c r="A509" s="17"/>
      <c r="B509" s="18"/>
      <c r="C509" s="87" t="str">
        <f>IF(B509="","",
IF(M509=$H$5,IFERROR(VLOOKUP(B509,'Baremos actuales'!A:E,5,FALSE),"No encontrado. Revisar código, fecha ejecución y/o contrato."),
IF(M509=$H$4,IFERROR(VLOOKUP(B509,'Baremos anteriores'!A:E,5,FALSE),"No encontrado. Revisar código, fecha ejecución y/o contrato."),
IF(M509=$H$3,IFERROR(VLOOKUP(B509,#REF!,5,FALSE),"No encontrado. Revisar código, fecha ejecución y/o contrato."),
IF(D509="","Código no encontrado",
IF(D509="ERROR","No encontrado. Revisar Código, fecha de ejecución y/o contrato.",
IF(D509="MATE",
IF(C508="DESCRIPCION","NO SE PUEDE COMENZAR SIN CÓDIGO DE TAREA",
IF(C508="","FALTA CÓDIGO DE TAREA",
CONCATENATE("          ",VLOOKUP(B509,'Maestro Materiales'!A:C,3,FALSE)))),IFERROR(VLOOKUP(B509,#REF!,5,FALSE),"No encontrado. Revisar código, fecha ejecución y/o contrato."))))))))</f>
        <v/>
      </c>
      <c r="D509" s="88" t="str">
        <f>IF(B509="","",
IFERROR(VLOOKUP(B509,'Maestro Materiales'!A:C,2,FALSE),
IFERROR(VLOOKUP(B509,'Baremos actuales'!A:B,2,FALSE),
IFERROR(VLOOKUP(B509,'Baremos anteriores'!A:B,2,FALSE),
""))))</f>
        <v/>
      </c>
      <c r="E509" s="9"/>
      <c r="F509" s="89" t="str">
        <f>IF(D509="MATE",
IF(E509="","¿Unidades?",""),
IF(D509="",IF(E509="","","¿Código?"),
IF(E509="","¿Unidades?",
IF(D509="TARE",
IF(M509=$H$3,IFERROR(VLOOKUP(B509,'Baremos actuales'!A:C,3,FALSE),0),
IF(M509=$H$4,IFERROR(VLOOKUP(B509,'Baremos anteriores'!A:C,3,FALSE),0),0))))))</f>
        <v/>
      </c>
      <c r="G509" s="7"/>
      <c r="H509" s="8"/>
      <c r="I509" s="8"/>
      <c r="J509" s="78" t="str">
        <f>IF($D509="","",
IF($E509="","",
IF($D509="MATE","",
IF(VLOOKUP($B509,'Baremos actuales'!A:D,4,FALSE)=J$9,$E509*$F509,IF(VLOOKUP($B509,'Baremos anteriores'!A:D,4,FALSE)="Sin Definir",$E509*$F509,"")))))</f>
        <v/>
      </c>
      <c r="K509" s="79" t="str">
        <f>IF($D509="","",
IF($E509="","",
IF($D509="MATE","",
IF(VLOOKUP($B509,'Baremos actuales'!$A:$D,4,FALSE)=K$9,$E509*$F509,IF(VLOOKUP($B509,'Baremos anteriores'!$A:$D,4,FALSE)="Desmonte",$E509*$F509,"")))))</f>
        <v/>
      </c>
      <c r="L509" s="80" t="str">
        <f>IF($D509="","",
IF($E509="","",
IF($D509="MATE","",
IF(VLOOKUP($B509,'Baremos actuales'!$A:$D,4,FALSE)=L$9,$E509*$F509,""))))</f>
        <v/>
      </c>
      <c r="M509" s="91" t="str">
        <f t="shared" si="7"/>
        <v/>
      </c>
      <c r="N509" s="96"/>
      <c r="O509" s="95"/>
      <c r="P509" s="96"/>
      <c r="Q509" s="98"/>
    </row>
    <row r="510" spans="1:17" ht="15.75" x14ac:dyDescent="0.2">
      <c r="A510" s="17"/>
      <c r="B510" s="18"/>
      <c r="C510" s="87" t="str">
        <f>IF(B510="","",
IF(M510=$H$5,IFERROR(VLOOKUP(B510,'Baremos actuales'!A:E,5,FALSE),"No encontrado. Revisar código, fecha ejecución y/o contrato."),
IF(M510=$H$4,IFERROR(VLOOKUP(B510,'Baremos anteriores'!A:E,5,FALSE),"No encontrado. Revisar código, fecha ejecución y/o contrato."),
IF(M510=$H$3,IFERROR(VLOOKUP(B510,#REF!,5,FALSE),"No encontrado. Revisar código, fecha ejecución y/o contrato."),
IF(D510="","Código no encontrado",
IF(D510="ERROR","No encontrado. Revisar Código, fecha de ejecución y/o contrato.",
IF(D510="MATE",
IF(C509="DESCRIPCION","NO SE PUEDE COMENZAR SIN CÓDIGO DE TAREA",
IF(C509="","FALTA CÓDIGO DE TAREA",
CONCATENATE("          ",VLOOKUP(B510,'Maestro Materiales'!A:C,3,FALSE)))),IFERROR(VLOOKUP(B510,#REF!,5,FALSE),"No encontrado. Revisar código, fecha ejecución y/o contrato."))))))))</f>
        <v/>
      </c>
      <c r="D510" s="88" t="str">
        <f>IF(B510="","",
IFERROR(VLOOKUP(B510,'Maestro Materiales'!A:C,2,FALSE),
IFERROR(VLOOKUP(B510,'Baremos actuales'!A:B,2,FALSE),
IFERROR(VLOOKUP(B510,'Baremos anteriores'!A:B,2,FALSE),
""))))</f>
        <v/>
      </c>
      <c r="E510" s="9"/>
      <c r="F510" s="89" t="str">
        <f>IF(D510="MATE",
IF(E510="","¿Unidades?",""),
IF(D510="",IF(E510="","","¿Código?"),
IF(E510="","¿Unidades?",
IF(D510="TARE",
IF(M510=$H$3,IFERROR(VLOOKUP(B510,'Baremos actuales'!A:C,3,FALSE),0),
IF(M510=$H$4,IFERROR(VLOOKUP(B510,'Baremos anteriores'!A:C,3,FALSE),0),0))))))</f>
        <v/>
      </c>
      <c r="G510" s="7"/>
      <c r="H510" s="8"/>
      <c r="I510" s="8"/>
      <c r="J510" s="78" t="str">
        <f>IF($D510="","",
IF($E510="","",
IF($D510="MATE","",
IF(VLOOKUP($B510,'Baremos actuales'!A:D,4,FALSE)=J$9,$E510*$F510,IF(VLOOKUP($B510,'Baremos anteriores'!A:D,4,FALSE)="Sin Definir",$E510*$F510,"")))))</f>
        <v/>
      </c>
      <c r="K510" s="79" t="str">
        <f>IF($D510="","",
IF($E510="","",
IF($D510="MATE","",
IF(VLOOKUP($B510,'Baremos actuales'!$A:$D,4,FALSE)=K$9,$E510*$F510,IF(VLOOKUP($B510,'Baremos anteriores'!$A:$D,4,FALSE)="Desmonte",$E510*$F510,"")))))</f>
        <v/>
      </c>
      <c r="L510" s="80" t="str">
        <f>IF($D510="","",
IF($E510="","",
IF($D510="MATE","",
IF(VLOOKUP($B510,'Baremos actuales'!$A:$D,4,FALSE)=L$9,$E510*$F510,""))))</f>
        <v/>
      </c>
      <c r="M510" s="91" t="str">
        <f t="shared" si="7"/>
        <v/>
      </c>
      <c r="N510" s="96"/>
      <c r="O510" s="95"/>
      <c r="P510" s="96"/>
      <c r="Q510" s="98"/>
    </row>
    <row r="511" spans="1:17" ht="15.75" x14ac:dyDescent="0.2">
      <c r="A511" s="17"/>
      <c r="B511" s="18"/>
      <c r="C511" s="87" t="str">
        <f>IF(B511="","",
IF(M511=$H$5,IFERROR(VLOOKUP(B511,'Baremos actuales'!A:E,5,FALSE),"No encontrado. Revisar código, fecha ejecución y/o contrato."),
IF(M511=$H$4,IFERROR(VLOOKUP(B511,'Baremos anteriores'!A:E,5,FALSE),"No encontrado. Revisar código, fecha ejecución y/o contrato."),
IF(M511=$H$3,IFERROR(VLOOKUP(B511,#REF!,5,FALSE),"No encontrado. Revisar código, fecha ejecución y/o contrato."),
IF(D511="","Código no encontrado",
IF(D511="ERROR","No encontrado. Revisar Código, fecha de ejecución y/o contrato.",
IF(D511="MATE",
IF(C510="DESCRIPCION","NO SE PUEDE COMENZAR SIN CÓDIGO DE TAREA",
IF(C510="","FALTA CÓDIGO DE TAREA",
CONCATENATE("          ",VLOOKUP(B511,'Maestro Materiales'!A:C,3,FALSE)))),IFERROR(VLOOKUP(B511,#REF!,5,FALSE),"No encontrado. Revisar código, fecha ejecución y/o contrato."))))))))</f>
        <v/>
      </c>
      <c r="D511" s="88" t="str">
        <f>IF(B511="","",
IFERROR(VLOOKUP(B511,'Maestro Materiales'!A:C,2,FALSE),
IFERROR(VLOOKUP(B511,'Baremos actuales'!A:B,2,FALSE),
IFERROR(VLOOKUP(B511,'Baremos anteriores'!A:B,2,FALSE),
""))))</f>
        <v/>
      </c>
      <c r="E511" s="9"/>
      <c r="F511" s="89" t="str">
        <f>IF(D511="MATE",
IF(E511="","¿Unidades?",""),
IF(D511="",IF(E511="","","¿Código?"),
IF(E511="","¿Unidades?",
IF(D511="TARE",
IF(M511=$H$3,IFERROR(VLOOKUP(B511,'Baremos actuales'!A:C,3,FALSE),0),
IF(M511=$H$4,IFERROR(VLOOKUP(B511,'Baremos anteriores'!A:C,3,FALSE),0),0))))))</f>
        <v/>
      </c>
      <c r="G511" s="7"/>
      <c r="H511" s="8"/>
      <c r="I511" s="8"/>
      <c r="J511" s="78" t="str">
        <f>IF($D511="","",
IF($E511="","",
IF($D511="MATE","",
IF(VLOOKUP($B511,'Baremos actuales'!A:D,4,FALSE)=J$9,$E511*$F511,IF(VLOOKUP($B511,'Baremos anteriores'!A:D,4,FALSE)="Sin Definir",$E511*$F511,"")))))</f>
        <v/>
      </c>
      <c r="K511" s="79" t="str">
        <f>IF($D511="","",
IF($E511="","",
IF($D511="MATE","",
IF(VLOOKUP($B511,'Baremos actuales'!$A:$D,4,FALSE)=K$9,$E511*$F511,IF(VLOOKUP($B511,'Baremos anteriores'!$A:$D,4,FALSE)="Desmonte",$E511*$F511,"")))))</f>
        <v/>
      </c>
      <c r="L511" s="80" t="str">
        <f>IF($D511="","",
IF($E511="","",
IF($D511="MATE","",
IF(VLOOKUP($B511,'Baremos actuales'!$A:$D,4,FALSE)=L$9,$E511*$F511,""))))</f>
        <v/>
      </c>
      <c r="M511" s="91" t="str">
        <f t="shared" si="7"/>
        <v/>
      </c>
      <c r="N511" s="96"/>
      <c r="O511" s="95"/>
      <c r="P511" s="96"/>
      <c r="Q511" s="98"/>
    </row>
    <row r="512" spans="1:17" ht="15.75" x14ac:dyDescent="0.2">
      <c r="A512" s="17"/>
      <c r="B512" s="18"/>
      <c r="C512" s="87" t="str">
        <f>IF(B512="","",
IF(M512=$H$5,IFERROR(VLOOKUP(B512,'Baremos actuales'!A:E,5,FALSE),"No encontrado. Revisar código, fecha ejecución y/o contrato."),
IF(M512=$H$4,IFERROR(VLOOKUP(B512,'Baremos anteriores'!A:E,5,FALSE),"No encontrado. Revisar código, fecha ejecución y/o contrato."),
IF(M512=$H$3,IFERROR(VLOOKUP(B512,#REF!,5,FALSE),"No encontrado. Revisar código, fecha ejecución y/o contrato."),
IF(D512="","Código no encontrado",
IF(D512="ERROR","No encontrado. Revisar Código, fecha de ejecución y/o contrato.",
IF(D512="MATE",
IF(C511="DESCRIPCION","NO SE PUEDE COMENZAR SIN CÓDIGO DE TAREA",
IF(C511="","FALTA CÓDIGO DE TAREA",
CONCATENATE("          ",VLOOKUP(B512,'Maestro Materiales'!A:C,3,FALSE)))),IFERROR(VLOOKUP(B512,#REF!,5,FALSE),"No encontrado. Revisar código, fecha ejecución y/o contrato."))))))))</f>
        <v/>
      </c>
      <c r="D512" s="88" t="str">
        <f>IF(B512="","",
IFERROR(VLOOKUP(B512,'Maestro Materiales'!A:C,2,FALSE),
IFERROR(VLOOKUP(B512,'Baremos actuales'!A:B,2,FALSE),
IFERROR(VLOOKUP(B512,'Baremos anteriores'!A:B,2,FALSE),
""))))</f>
        <v/>
      </c>
      <c r="E512" s="9"/>
      <c r="F512" s="89" t="str">
        <f>IF(D512="MATE",
IF(E512="","¿Unidades?",""),
IF(D512="",IF(E512="","","¿Código?"),
IF(E512="","¿Unidades?",
IF(D512="TARE",
IF(M512=$H$3,IFERROR(VLOOKUP(B512,'Baremos actuales'!A:C,3,FALSE),0),
IF(M512=$H$4,IFERROR(VLOOKUP(B512,'Baremos anteriores'!A:C,3,FALSE),0),0))))))</f>
        <v/>
      </c>
      <c r="G512" s="7"/>
      <c r="H512" s="8"/>
      <c r="I512" s="8"/>
      <c r="J512" s="78" t="str">
        <f>IF($D512="","",
IF($E512="","",
IF($D512="MATE","",
IF(VLOOKUP($B512,'Baremos actuales'!A:D,4,FALSE)=J$9,$E512*$F512,IF(VLOOKUP($B512,'Baremos anteriores'!A:D,4,FALSE)="Sin Definir",$E512*$F512,"")))))</f>
        <v/>
      </c>
      <c r="K512" s="79" t="str">
        <f>IF($D512="","",
IF($E512="","",
IF($D512="MATE","",
IF(VLOOKUP($B512,'Baremos actuales'!$A:$D,4,FALSE)=K$9,$E512*$F512,IF(VLOOKUP($B512,'Baremos anteriores'!$A:$D,4,FALSE)="Desmonte",$E512*$F512,"")))))</f>
        <v/>
      </c>
      <c r="L512" s="80" t="str">
        <f>IF($D512="","",
IF($E512="","",
IF($D512="MATE","",
IF(VLOOKUP($B512,'Baremos actuales'!$A:$D,4,FALSE)=L$9,$E512*$F512,""))))</f>
        <v/>
      </c>
      <c r="M512" s="91" t="str">
        <f t="shared" si="7"/>
        <v/>
      </c>
      <c r="N512" s="96"/>
      <c r="O512" s="95"/>
      <c r="P512" s="96"/>
      <c r="Q512" s="98"/>
    </row>
    <row r="513" spans="1:17" ht="15.75" x14ac:dyDescent="0.2">
      <c r="A513" s="17"/>
      <c r="B513" s="18"/>
      <c r="C513" s="87" t="str">
        <f>IF(B513="","",
IF(M513=$H$5,IFERROR(VLOOKUP(B513,'Baremos actuales'!A:E,5,FALSE),"No encontrado. Revisar código, fecha ejecución y/o contrato."),
IF(M513=$H$4,IFERROR(VLOOKUP(B513,'Baremos anteriores'!A:E,5,FALSE),"No encontrado. Revisar código, fecha ejecución y/o contrato."),
IF(M513=$H$3,IFERROR(VLOOKUP(B513,#REF!,5,FALSE),"No encontrado. Revisar código, fecha ejecución y/o contrato."),
IF(D513="","Código no encontrado",
IF(D513="ERROR","No encontrado. Revisar Código, fecha de ejecución y/o contrato.",
IF(D513="MATE",
IF(C512="DESCRIPCION","NO SE PUEDE COMENZAR SIN CÓDIGO DE TAREA",
IF(C512="","FALTA CÓDIGO DE TAREA",
CONCATENATE("          ",VLOOKUP(B513,'Maestro Materiales'!A:C,3,FALSE)))),IFERROR(VLOOKUP(B513,#REF!,5,FALSE),"No encontrado. Revisar código, fecha ejecución y/o contrato."))))))))</f>
        <v/>
      </c>
      <c r="D513" s="88" t="str">
        <f>IF(B513="","",
IFERROR(VLOOKUP(B513,'Maestro Materiales'!A:C,2,FALSE),
IFERROR(VLOOKUP(B513,'Baremos actuales'!A:B,2,FALSE),
IFERROR(VLOOKUP(B513,'Baremos anteriores'!A:B,2,FALSE),
""))))</f>
        <v/>
      </c>
      <c r="E513" s="9"/>
      <c r="F513" s="89" t="str">
        <f>IF(D513="MATE",
IF(E513="","¿Unidades?",""),
IF(D513="",IF(E513="","","¿Código?"),
IF(E513="","¿Unidades?",
IF(D513="TARE",
IF(M513=$H$3,IFERROR(VLOOKUP(B513,'Baremos actuales'!A:C,3,FALSE),0),
IF(M513=$H$4,IFERROR(VLOOKUP(B513,'Baremos anteriores'!A:C,3,FALSE),0),0))))))</f>
        <v/>
      </c>
      <c r="G513" s="7"/>
      <c r="H513" s="8"/>
      <c r="I513" s="8"/>
      <c r="J513" s="78" t="str">
        <f>IF($D513="","",
IF($E513="","",
IF($D513="MATE","",
IF(VLOOKUP($B513,'Baremos actuales'!A:D,4,FALSE)=J$9,$E513*$F513,IF(VLOOKUP($B513,'Baremos anteriores'!A:D,4,FALSE)="Sin Definir",$E513*$F513,"")))))</f>
        <v/>
      </c>
      <c r="K513" s="79" t="str">
        <f>IF($D513="","",
IF($E513="","",
IF($D513="MATE","",
IF(VLOOKUP($B513,'Baremos actuales'!$A:$D,4,FALSE)=K$9,$E513*$F513,IF(VLOOKUP($B513,'Baremos anteriores'!$A:$D,4,FALSE)="Desmonte",$E513*$F513,"")))))</f>
        <v/>
      </c>
      <c r="L513" s="80" t="str">
        <f>IF($D513="","",
IF($E513="","",
IF($D513="MATE","",
IF(VLOOKUP($B513,'Baremos actuales'!$A:$D,4,FALSE)=L$9,$E513*$F513,""))))</f>
        <v/>
      </c>
      <c r="M513" s="91" t="str">
        <f t="shared" si="7"/>
        <v/>
      </c>
      <c r="N513" s="96"/>
      <c r="O513" s="95"/>
      <c r="P513" s="96"/>
      <c r="Q513" s="98"/>
    </row>
    <row r="514" spans="1:17" ht="15.75" x14ac:dyDescent="0.2">
      <c r="A514" s="17"/>
      <c r="B514" s="18"/>
      <c r="C514" s="87" t="str">
        <f>IF(B514="","",
IF(M514=$H$5,IFERROR(VLOOKUP(B514,'Baremos actuales'!A:E,5,FALSE),"No encontrado. Revisar código, fecha ejecución y/o contrato."),
IF(M514=$H$4,IFERROR(VLOOKUP(B514,'Baremos anteriores'!A:E,5,FALSE),"No encontrado. Revisar código, fecha ejecución y/o contrato."),
IF(M514=$H$3,IFERROR(VLOOKUP(B514,#REF!,5,FALSE),"No encontrado. Revisar código, fecha ejecución y/o contrato."),
IF(D514="","Código no encontrado",
IF(D514="ERROR","No encontrado. Revisar Código, fecha de ejecución y/o contrato.",
IF(D514="MATE",
IF(C513="DESCRIPCION","NO SE PUEDE COMENZAR SIN CÓDIGO DE TAREA",
IF(C513="","FALTA CÓDIGO DE TAREA",
CONCATENATE("          ",VLOOKUP(B514,'Maestro Materiales'!A:C,3,FALSE)))),IFERROR(VLOOKUP(B514,#REF!,5,FALSE),"No encontrado. Revisar código, fecha ejecución y/o contrato."))))))))</f>
        <v/>
      </c>
      <c r="D514" s="88" t="str">
        <f>IF(B514="","",
IFERROR(VLOOKUP(B514,'Maestro Materiales'!A:C,2,FALSE),
IFERROR(VLOOKUP(B514,'Baremos actuales'!A:B,2,FALSE),
IFERROR(VLOOKUP(B514,'Baremos anteriores'!A:B,2,FALSE),
""))))</f>
        <v/>
      </c>
      <c r="E514" s="9"/>
      <c r="F514" s="89" t="str">
        <f>IF(D514="MATE",
IF(E514="","¿Unidades?",""),
IF(D514="",IF(E514="","","¿Código?"),
IF(E514="","¿Unidades?",
IF(D514="TARE",
IF(M514=$H$3,IFERROR(VLOOKUP(B514,'Baremos actuales'!A:C,3,FALSE),0),
IF(M514=$H$4,IFERROR(VLOOKUP(B514,'Baremos anteriores'!A:C,3,FALSE),0),0))))))</f>
        <v/>
      </c>
      <c r="G514" s="7"/>
      <c r="H514" s="8"/>
      <c r="I514" s="8"/>
      <c r="J514" s="78" t="str">
        <f>IF($D514="","",
IF($E514="","",
IF($D514="MATE","",
IF(VLOOKUP($B514,'Baremos actuales'!A:D,4,FALSE)=J$9,$E514*$F514,IF(VLOOKUP($B514,'Baremos anteriores'!A:D,4,FALSE)="Sin Definir",$E514*$F514,"")))))</f>
        <v/>
      </c>
      <c r="K514" s="79" t="str">
        <f>IF($D514="","",
IF($E514="","",
IF($D514="MATE","",
IF(VLOOKUP($B514,'Baremos actuales'!$A:$D,4,FALSE)=K$9,$E514*$F514,IF(VLOOKUP($B514,'Baremos anteriores'!$A:$D,4,FALSE)="Desmonte",$E514*$F514,"")))))</f>
        <v/>
      </c>
      <c r="L514" s="80" t="str">
        <f>IF($D514="","",
IF($E514="","",
IF($D514="MATE","",
IF(VLOOKUP($B514,'Baremos actuales'!$A:$D,4,FALSE)=L$9,$E514*$F514,""))))</f>
        <v/>
      </c>
      <c r="M514" s="91" t="str">
        <f t="shared" si="7"/>
        <v/>
      </c>
      <c r="N514" s="96"/>
      <c r="O514" s="95"/>
      <c r="P514" s="96"/>
      <c r="Q514" s="98"/>
    </row>
    <row r="515" spans="1:17" ht="15.75" x14ac:dyDescent="0.2">
      <c r="A515" s="17"/>
      <c r="B515" s="18"/>
      <c r="C515" s="87" t="str">
        <f>IF(B515="","",
IF(M515=$H$5,IFERROR(VLOOKUP(B515,'Baremos actuales'!A:E,5,FALSE),"No encontrado. Revisar código, fecha ejecución y/o contrato."),
IF(M515=$H$4,IFERROR(VLOOKUP(B515,'Baremos anteriores'!A:E,5,FALSE),"No encontrado. Revisar código, fecha ejecución y/o contrato."),
IF(M515=$H$3,IFERROR(VLOOKUP(B515,#REF!,5,FALSE),"No encontrado. Revisar código, fecha ejecución y/o contrato."),
IF(D515="","Código no encontrado",
IF(D515="ERROR","No encontrado. Revisar Código, fecha de ejecución y/o contrato.",
IF(D515="MATE",
IF(C514="DESCRIPCION","NO SE PUEDE COMENZAR SIN CÓDIGO DE TAREA",
IF(C514="","FALTA CÓDIGO DE TAREA",
CONCATENATE("          ",VLOOKUP(B515,'Maestro Materiales'!A:C,3,FALSE)))),IFERROR(VLOOKUP(B515,#REF!,5,FALSE),"No encontrado. Revisar código, fecha ejecución y/o contrato."))))))))</f>
        <v/>
      </c>
      <c r="D515" s="88" t="str">
        <f>IF(B515="","",
IFERROR(VLOOKUP(B515,'Maestro Materiales'!A:C,2,FALSE),
IFERROR(VLOOKUP(B515,'Baremos actuales'!A:B,2,FALSE),
IFERROR(VLOOKUP(B515,'Baremos anteriores'!A:B,2,FALSE),
""))))</f>
        <v/>
      </c>
      <c r="E515" s="9"/>
      <c r="F515" s="89" t="str">
        <f>IF(D515="MATE",
IF(E515="","¿Unidades?",""),
IF(D515="",IF(E515="","","¿Código?"),
IF(E515="","¿Unidades?",
IF(D515="TARE",
IF(M515=$H$3,IFERROR(VLOOKUP(B515,'Baremos actuales'!A:C,3,FALSE),0),
IF(M515=$H$4,IFERROR(VLOOKUP(B515,'Baremos anteriores'!A:C,3,FALSE),0),0))))))</f>
        <v/>
      </c>
      <c r="G515" s="7"/>
      <c r="H515" s="8"/>
      <c r="I515" s="8"/>
      <c r="J515" s="78" t="str">
        <f>IF($D515="","",
IF($E515="","",
IF($D515="MATE","",
IF(VLOOKUP($B515,'Baremos actuales'!A:D,4,FALSE)=J$9,$E515*$F515,IF(VLOOKUP($B515,'Baremos anteriores'!A:D,4,FALSE)="Sin Definir",$E515*$F515,"")))))</f>
        <v/>
      </c>
      <c r="K515" s="79" t="str">
        <f>IF($D515="","",
IF($E515="","",
IF($D515="MATE","",
IF(VLOOKUP($B515,'Baremos actuales'!$A:$D,4,FALSE)=K$9,$E515*$F515,IF(VLOOKUP($B515,'Baremos anteriores'!$A:$D,4,FALSE)="Desmonte",$E515*$F515,"")))))</f>
        <v/>
      </c>
      <c r="L515" s="80" t="str">
        <f>IF($D515="","",
IF($E515="","",
IF($D515="MATE","",
IF(VLOOKUP($B515,'Baremos actuales'!$A:$D,4,FALSE)=L$9,$E515*$F515,""))))</f>
        <v/>
      </c>
      <c r="M515" s="91" t="str">
        <f t="shared" si="7"/>
        <v/>
      </c>
      <c r="N515" s="96"/>
      <c r="O515" s="95"/>
      <c r="P515" s="96"/>
      <c r="Q515" s="98"/>
    </row>
    <row r="516" spans="1:17" ht="15.75" x14ac:dyDescent="0.2">
      <c r="A516" s="17"/>
      <c r="B516" s="18"/>
      <c r="C516" s="87" t="str">
        <f>IF(B516="","",
IF(M516=$H$5,IFERROR(VLOOKUP(B516,'Baremos actuales'!A:E,5,FALSE),"No encontrado. Revisar código, fecha ejecución y/o contrato."),
IF(M516=$H$4,IFERROR(VLOOKUP(B516,'Baremos anteriores'!A:E,5,FALSE),"No encontrado. Revisar código, fecha ejecución y/o contrato."),
IF(M516=$H$3,IFERROR(VLOOKUP(B516,#REF!,5,FALSE),"No encontrado. Revisar código, fecha ejecución y/o contrato."),
IF(D516="","Código no encontrado",
IF(D516="ERROR","No encontrado. Revisar Código, fecha de ejecución y/o contrato.",
IF(D516="MATE",
IF(C515="DESCRIPCION","NO SE PUEDE COMENZAR SIN CÓDIGO DE TAREA",
IF(C515="","FALTA CÓDIGO DE TAREA",
CONCATENATE("          ",VLOOKUP(B516,'Maestro Materiales'!A:C,3,FALSE)))),IFERROR(VLOOKUP(B516,#REF!,5,FALSE),"No encontrado. Revisar código, fecha ejecución y/o contrato."))))))))</f>
        <v/>
      </c>
      <c r="D516" s="88" t="str">
        <f>IF(B516="","",
IFERROR(VLOOKUP(B516,'Maestro Materiales'!A:C,2,FALSE),
IFERROR(VLOOKUP(B516,'Baremos actuales'!A:B,2,FALSE),
IFERROR(VLOOKUP(B516,'Baremos anteriores'!A:B,2,FALSE),
""))))</f>
        <v/>
      </c>
      <c r="E516" s="9"/>
      <c r="F516" s="89" t="str">
        <f>IF(D516="MATE",
IF(E516="","¿Unidades?",""),
IF(D516="",IF(E516="","","¿Código?"),
IF(E516="","¿Unidades?",
IF(D516="TARE",
IF(M516=$H$3,IFERROR(VLOOKUP(B516,'Baremos actuales'!A:C,3,FALSE),0),
IF(M516=$H$4,IFERROR(VLOOKUP(B516,'Baremos anteriores'!A:C,3,FALSE),0),0))))))</f>
        <v/>
      </c>
      <c r="G516" s="7"/>
      <c r="H516" s="8"/>
      <c r="I516" s="8"/>
      <c r="J516" s="78" t="str">
        <f>IF($D516="","",
IF($E516="","",
IF($D516="MATE","",
IF(VLOOKUP($B516,'Baremos actuales'!A:D,4,FALSE)=J$9,$E516*$F516,IF(VLOOKUP($B516,'Baremos anteriores'!A:D,4,FALSE)="Sin Definir",$E516*$F516,"")))))</f>
        <v/>
      </c>
      <c r="K516" s="79" t="str">
        <f>IF($D516="","",
IF($E516="","",
IF($D516="MATE","",
IF(VLOOKUP($B516,'Baremos actuales'!$A:$D,4,FALSE)=K$9,$E516*$F516,IF(VLOOKUP($B516,'Baremos anteriores'!$A:$D,4,FALSE)="Desmonte",$E516*$F516,"")))))</f>
        <v/>
      </c>
      <c r="L516" s="80" t="str">
        <f>IF($D516="","",
IF($E516="","",
IF($D516="MATE","",
IF(VLOOKUP($B516,'Baremos actuales'!$A:$D,4,FALSE)=L$9,$E516*$F516,""))))</f>
        <v/>
      </c>
      <c r="M516" s="91" t="str">
        <f t="shared" si="7"/>
        <v/>
      </c>
      <c r="N516" s="96"/>
      <c r="O516" s="95"/>
      <c r="P516" s="96"/>
      <c r="Q516" s="98"/>
    </row>
    <row r="517" spans="1:17" ht="15.75" x14ac:dyDescent="0.2">
      <c r="A517" s="17"/>
      <c r="B517" s="18"/>
      <c r="C517" s="87" t="str">
        <f>IF(B517="","",
IF(M517=$H$5,IFERROR(VLOOKUP(B517,'Baremos actuales'!A:E,5,FALSE),"No encontrado. Revisar código, fecha ejecución y/o contrato."),
IF(M517=$H$4,IFERROR(VLOOKUP(B517,'Baremos anteriores'!A:E,5,FALSE),"No encontrado. Revisar código, fecha ejecución y/o contrato."),
IF(M517=$H$3,IFERROR(VLOOKUP(B517,#REF!,5,FALSE),"No encontrado. Revisar código, fecha ejecución y/o contrato."),
IF(D517="","Código no encontrado",
IF(D517="ERROR","No encontrado. Revisar Código, fecha de ejecución y/o contrato.",
IF(D517="MATE",
IF(C516="DESCRIPCION","NO SE PUEDE COMENZAR SIN CÓDIGO DE TAREA",
IF(C516="","FALTA CÓDIGO DE TAREA",
CONCATENATE("          ",VLOOKUP(B517,'Maestro Materiales'!A:C,3,FALSE)))),IFERROR(VLOOKUP(B517,#REF!,5,FALSE),"No encontrado. Revisar código, fecha ejecución y/o contrato."))))))))</f>
        <v/>
      </c>
      <c r="D517" s="88" t="str">
        <f>IF(B517="","",
IFERROR(VLOOKUP(B517,'Maestro Materiales'!A:C,2,FALSE),
IFERROR(VLOOKUP(B517,'Baremos actuales'!A:B,2,FALSE),
IFERROR(VLOOKUP(B517,'Baremos anteriores'!A:B,2,FALSE),
""))))</f>
        <v/>
      </c>
      <c r="E517" s="9"/>
      <c r="F517" s="89" t="str">
        <f>IF(D517="MATE",
IF(E517="","¿Unidades?",""),
IF(D517="",IF(E517="","","¿Código?"),
IF(E517="","¿Unidades?",
IF(D517="TARE",
IF(M517=$H$3,IFERROR(VLOOKUP(B517,'Baremos actuales'!A:C,3,FALSE),0),
IF(M517=$H$4,IFERROR(VLOOKUP(B517,'Baremos anteriores'!A:C,3,FALSE),0),0))))))</f>
        <v/>
      </c>
      <c r="G517" s="7"/>
      <c r="H517" s="8"/>
      <c r="I517" s="8"/>
      <c r="J517" s="78" t="str">
        <f>IF($D517="","",
IF($E517="","",
IF($D517="MATE","",
IF(VLOOKUP($B517,'Baremos actuales'!A:D,4,FALSE)=J$9,$E517*$F517,IF(VLOOKUP($B517,'Baremos anteriores'!A:D,4,FALSE)="Sin Definir",$E517*$F517,"")))))</f>
        <v/>
      </c>
      <c r="K517" s="79" t="str">
        <f>IF($D517="","",
IF($E517="","",
IF($D517="MATE","",
IF(VLOOKUP($B517,'Baremos actuales'!$A:$D,4,FALSE)=K$9,$E517*$F517,IF(VLOOKUP($B517,'Baremos anteriores'!$A:$D,4,FALSE)="Desmonte",$E517*$F517,"")))))</f>
        <v/>
      </c>
      <c r="L517" s="80" t="str">
        <f>IF($D517="","",
IF($E517="","",
IF($D517="MATE","",
IF(VLOOKUP($B517,'Baremos actuales'!$A:$D,4,FALSE)=L$9,$E517*$F517,""))))</f>
        <v/>
      </c>
      <c r="M517" s="91" t="str">
        <f t="shared" si="7"/>
        <v/>
      </c>
      <c r="N517" s="96"/>
      <c r="O517" s="95"/>
      <c r="P517" s="96"/>
      <c r="Q517" s="98"/>
    </row>
    <row r="518" spans="1:17" ht="15.75" x14ac:dyDescent="0.2">
      <c r="A518" s="17"/>
      <c r="B518" s="18"/>
      <c r="C518" s="87" t="str">
        <f>IF(B518="","",
IF(M518=$H$5,IFERROR(VLOOKUP(B518,'Baremos actuales'!A:E,5,FALSE),"No encontrado. Revisar código, fecha ejecución y/o contrato."),
IF(M518=$H$4,IFERROR(VLOOKUP(B518,'Baremos anteriores'!A:E,5,FALSE),"No encontrado. Revisar código, fecha ejecución y/o contrato."),
IF(M518=$H$3,IFERROR(VLOOKUP(B518,#REF!,5,FALSE),"No encontrado. Revisar código, fecha ejecución y/o contrato."),
IF(D518="","Código no encontrado",
IF(D518="ERROR","No encontrado. Revisar Código, fecha de ejecución y/o contrato.",
IF(D518="MATE",
IF(C517="DESCRIPCION","NO SE PUEDE COMENZAR SIN CÓDIGO DE TAREA",
IF(C517="","FALTA CÓDIGO DE TAREA",
CONCATENATE("          ",VLOOKUP(B518,'Maestro Materiales'!A:C,3,FALSE)))),IFERROR(VLOOKUP(B518,#REF!,5,FALSE),"No encontrado. Revisar código, fecha ejecución y/o contrato."))))))))</f>
        <v/>
      </c>
      <c r="D518" s="88" t="str">
        <f>IF(B518="","",
IFERROR(VLOOKUP(B518,'Maestro Materiales'!A:C,2,FALSE),
IFERROR(VLOOKUP(B518,'Baremos actuales'!A:B,2,FALSE),
IFERROR(VLOOKUP(B518,'Baremos anteriores'!A:B,2,FALSE),
""))))</f>
        <v/>
      </c>
      <c r="E518" s="9"/>
      <c r="F518" s="89" t="str">
        <f>IF(D518="MATE",
IF(E518="","¿Unidades?",""),
IF(D518="",IF(E518="","","¿Código?"),
IF(E518="","¿Unidades?",
IF(D518="TARE",
IF(M518=$H$3,IFERROR(VLOOKUP(B518,'Baremos actuales'!A:C,3,FALSE),0),
IF(M518=$H$4,IFERROR(VLOOKUP(B518,'Baremos anteriores'!A:C,3,FALSE),0),0))))))</f>
        <v/>
      </c>
      <c r="G518" s="7"/>
      <c r="H518" s="8"/>
      <c r="I518" s="8"/>
      <c r="J518" s="78" t="str">
        <f>IF($D518="","",
IF($E518="","",
IF($D518="MATE","",
IF(VLOOKUP($B518,'Baremos actuales'!A:D,4,FALSE)=J$9,$E518*$F518,IF(VLOOKUP($B518,'Baremos anteriores'!A:D,4,FALSE)="Sin Definir",$E518*$F518,"")))))</f>
        <v/>
      </c>
      <c r="K518" s="79" t="str">
        <f>IF($D518="","",
IF($E518="","",
IF($D518="MATE","",
IF(VLOOKUP($B518,'Baremos actuales'!$A:$D,4,FALSE)=K$9,$E518*$F518,IF(VLOOKUP($B518,'Baremos anteriores'!$A:$D,4,FALSE)="Desmonte",$E518*$F518,"")))))</f>
        <v/>
      </c>
      <c r="L518" s="80" t="str">
        <f>IF($D518="","",
IF($E518="","",
IF($D518="MATE","",
IF(VLOOKUP($B518,'Baremos actuales'!$A:$D,4,FALSE)=L$9,$E518*$F518,""))))</f>
        <v/>
      </c>
      <c r="M518" s="91" t="str">
        <f t="shared" si="7"/>
        <v/>
      </c>
      <c r="N518" s="96"/>
      <c r="O518" s="95"/>
      <c r="P518" s="96"/>
      <c r="Q518" s="98"/>
    </row>
    <row r="519" spans="1:17" ht="15.75" x14ac:dyDescent="0.2">
      <c r="A519" s="17"/>
      <c r="B519" s="18"/>
      <c r="C519" s="87" t="str">
        <f>IF(B519="","",
IF(M519=$H$5,IFERROR(VLOOKUP(B519,'Baremos actuales'!A:E,5,FALSE),"No encontrado. Revisar código, fecha ejecución y/o contrato."),
IF(M519=$H$4,IFERROR(VLOOKUP(B519,'Baremos anteriores'!A:E,5,FALSE),"No encontrado. Revisar código, fecha ejecución y/o contrato."),
IF(M519=$H$3,IFERROR(VLOOKUP(B519,#REF!,5,FALSE),"No encontrado. Revisar código, fecha ejecución y/o contrato."),
IF(D519="","Código no encontrado",
IF(D519="ERROR","No encontrado. Revisar Código, fecha de ejecución y/o contrato.",
IF(D519="MATE",
IF(C518="DESCRIPCION","NO SE PUEDE COMENZAR SIN CÓDIGO DE TAREA",
IF(C518="","FALTA CÓDIGO DE TAREA",
CONCATENATE("          ",VLOOKUP(B519,'Maestro Materiales'!A:C,3,FALSE)))),IFERROR(VLOOKUP(B519,#REF!,5,FALSE),"No encontrado. Revisar código, fecha ejecución y/o contrato."))))))))</f>
        <v/>
      </c>
      <c r="D519" s="88" t="str">
        <f>IF(B519="","",
IFERROR(VLOOKUP(B519,'Maestro Materiales'!A:C,2,FALSE),
IFERROR(VLOOKUP(B519,'Baremos actuales'!A:B,2,FALSE),
IFERROR(VLOOKUP(B519,'Baremos anteriores'!A:B,2,FALSE),
""))))</f>
        <v/>
      </c>
      <c r="E519" s="9"/>
      <c r="F519" s="89" t="str">
        <f>IF(D519="MATE",
IF(E519="","¿Unidades?",""),
IF(D519="",IF(E519="","","¿Código?"),
IF(E519="","¿Unidades?",
IF(D519="TARE",
IF(M519=$H$3,IFERROR(VLOOKUP(B519,'Baremos actuales'!A:C,3,FALSE),0),
IF(M519=$H$4,IFERROR(VLOOKUP(B519,'Baremos anteriores'!A:C,3,FALSE),0),0))))))</f>
        <v/>
      </c>
      <c r="G519" s="7"/>
      <c r="H519" s="8"/>
      <c r="I519" s="8"/>
      <c r="J519" s="78" t="str">
        <f>IF($D519="","",
IF($E519="","",
IF($D519="MATE","",
IF(VLOOKUP($B519,'Baremos actuales'!A:D,4,FALSE)=J$9,$E519*$F519,IF(VLOOKUP($B519,'Baremos anteriores'!A:D,4,FALSE)="Sin Definir",$E519*$F519,"")))))</f>
        <v/>
      </c>
      <c r="K519" s="79" t="str">
        <f>IF($D519="","",
IF($E519="","",
IF($D519="MATE","",
IF(VLOOKUP($B519,'Baremos actuales'!$A:$D,4,FALSE)=K$9,$E519*$F519,IF(VLOOKUP($B519,'Baremos anteriores'!$A:$D,4,FALSE)="Desmonte",$E519*$F519,"")))))</f>
        <v/>
      </c>
      <c r="L519" s="80" t="str">
        <f>IF($D519="","",
IF($E519="","",
IF($D519="MATE","",
IF(VLOOKUP($B519,'Baremos actuales'!$A:$D,4,FALSE)=L$9,$E519*$F519,""))))</f>
        <v/>
      </c>
      <c r="M519" s="91" t="str">
        <f t="shared" si="7"/>
        <v/>
      </c>
      <c r="N519" s="96"/>
      <c r="O519" s="95"/>
      <c r="P519" s="96"/>
      <c r="Q519" s="98"/>
    </row>
    <row r="520" spans="1:17" ht="15.75" x14ac:dyDescent="0.2">
      <c r="A520" s="17"/>
      <c r="B520" s="18"/>
      <c r="C520" s="87" t="str">
        <f>IF(B520="","",
IF(M520=$H$5,IFERROR(VLOOKUP(B520,'Baremos actuales'!A:E,5,FALSE),"No encontrado. Revisar código, fecha ejecución y/o contrato."),
IF(M520=$H$4,IFERROR(VLOOKUP(B520,'Baremos anteriores'!A:E,5,FALSE),"No encontrado. Revisar código, fecha ejecución y/o contrato."),
IF(M520=$H$3,IFERROR(VLOOKUP(B520,#REF!,5,FALSE),"No encontrado. Revisar código, fecha ejecución y/o contrato."),
IF(D520="","Código no encontrado",
IF(D520="ERROR","No encontrado. Revisar Código, fecha de ejecución y/o contrato.",
IF(D520="MATE",
IF(C519="DESCRIPCION","NO SE PUEDE COMENZAR SIN CÓDIGO DE TAREA",
IF(C519="","FALTA CÓDIGO DE TAREA",
CONCATENATE("          ",VLOOKUP(B520,'Maestro Materiales'!A:C,3,FALSE)))),IFERROR(VLOOKUP(B520,#REF!,5,FALSE),"No encontrado. Revisar código, fecha ejecución y/o contrato."))))))))</f>
        <v/>
      </c>
      <c r="D520" s="88" t="str">
        <f>IF(B520="","",
IFERROR(VLOOKUP(B520,'Maestro Materiales'!A:C,2,FALSE),
IFERROR(VLOOKUP(B520,'Baremos actuales'!A:B,2,FALSE),
IFERROR(VLOOKUP(B520,'Baremos anteriores'!A:B,2,FALSE),
""))))</f>
        <v/>
      </c>
      <c r="E520" s="9"/>
      <c r="F520" s="89" t="str">
        <f>IF(D520="MATE",
IF(E520="","¿Unidades?",""),
IF(D520="",IF(E520="","","¿Código?"),
IF(E520="","¿Unidades?",
IF(D520="TARE",
IF(M520=$H$3,IFERROR(VLOOKUP(B520,'Baremos actuales'!A:C,3,FALSE),0),
IF(M520=$H$4,IFERROR(VLOOKUP(B520,'Baremos anteriores'!A:C,3,FALSE),0),0))))))</f>
        <v/>
      </c>
      <c r="G520" s="7"/>
      <c r="H520" s="8"/>
      <c r="I520" s="8"/>
      <c r="J520" s="78" t="str">
        <f>IF($D520="","",
IF($E520="","",
IF($D520="MATE","",
IF(VLOOKUP($B520,'Baremos actuales'!A:D,4,FALSE)=J$9,$E520*$F520,IF(VLOOKUP($B520,'Baremos anteriores'!A:D,4,FALSE)="Sin Definir",$E520*$F520,"")))))</f>
        <v/>
      </c>
      <c r="K520" s="79" t="str">
        <f>IF($D520="","",
IF($E520="","",
IF($D520="MATE","",
IF(VLOOKUP($B520,'Baremos actuales'!$A:$D,4,FALSE)=K$9,$E520*$F520,IF(VLOOKUP($B520,'Baremos anteriores'!$A:$D,4,FALSE)="Desmonte",$E520*$F520,"")))))</f>
        <v/>
      </c>
      <c r="L520" s="80" t="str">
        <f>IF($D520="","",
IF($E520="","",
IF($D520="MATE","",
IF(VLOOKUP($B520,'Baremos actuales'!$A:$D,4,FALSE)=L$9,$E520*$F520,""))))</f>
        <v/>
      </c>
      <c r="M520" s="91" t="str">
        <f t="shared" si="7"/>
        <v/>
      </c>
      <c r="N520" s="96"/>
      <c r="O520" s="95"/>
      <c r="P520" s="96"/>
      <c r="Q520" s="98"/>
    </row>
    <row r="521" spans="1:17" ht="15.75" x14ac:dyDescent="0.2">
      <c r="A521" s="17"/>
      <c r="B521" s="18"/>
      <c r="C521" s="87" t="str">
        <f>IF(B521="","",
IF(M521=$H$5,IFERROR(VLOOKUP(B521,'Baremos actuales'!A:E,5,FALSE),"No encontrado. Revisar código, fecha ejecución y/o contrato."),
IF(M521=$H$4,IFERROR(VLOOKUP(B521,'Baremos anteriores'!A:E,5,FALSE),"No encontrado. Revisar código, fecha ejecución y/o contrato."),
IF(M521=$H$3,IFERROR(VLOOKUP(B521,#REF!,5,FALSE),"No encontrado. Revisar código, fecha ejecución y/o contrato."),
IF(D521="","Código no encontrado",
IF(D521="ERROR","No encontrado. Revisar Código, fecha de ejecución y/o contrato.",
IF(D521="MATE",
IF(C520="DESCRIPCION","NO SE PUEDE COMENZAR SIN CÓDIGO DE TAREA",
IF(C520="","FALTA CÓDIGO DE TAREA",
CONCATENATE("          ",VLOOKUP(B521,'Maestro Materiales'!A:C,3,FALSE)))),IFERROR(VLOOKUP(B521,#REF!,5,FALSE),"No encontrado. Revisar código, fecha ejecución y/o contrato."))))))))</f>
        <v/>
      </c>
      <c r="D521" s="88" t="str">
        <f>IF(B521="","",
IFERROR(VLOOKUP(B521,'Maestro Materiales'!A:C,2,FALSE),
IFERROR(VLOOKUP(B521,'Baremos actuales'!A:B,2,FALSE),
IFERROR(VLOOKUP(B521,'Baremos anteriores'!A:B,2,FALSE),
""))))</f>
        <v/>
      </c>
      <c r="E521" s="9"/>
      <c r="F521" s="89" t="str">
        <f>IF(D521="MATE",
IF(E521="","¿Unidades?",""),
IF(D521="",IF(E521="","","¿Código?"),
IF(E521="","¿Unidades?",
IF(D521="TARE",
IF(M521=$H$3,IFERROR(VLOOKUP(B521,'Baremos actuales'!A:C,3,FALSE),0),
IF(M521=$H$4,IFERROR(VLOOKUP(B521,'Baremos anteriores'!A:C,3,FALSE),0),0))))))</f>
        <v/>
      </c>
      <c r="G521" s="7"/>
      <c r="H521" s="8"/>
      <c r="I521" s="8"/>
      <c r="J521" s="78" t="str">
        <f>IF($D521="","",
IF($E521="","",
IF($D521="MATE","",
IF(VLOOKUP($B521,'Baremos actuales'!A:D,4,FALSE)=J$9,$E521*$F521,IF(VLOOKUP($B521,'Baremos anteriores'!A:D,4,FALSE)="Sin Definir",$E521*$F521,"")))))</f>
        <v/>
      </c>
      <c r="K521" s="79" t="str">
        <f>IF($D521="","",
IF($E521="","",
IF($D521="MATE","",
IF(VLOOKUP($B521,'Baremos actuales'!$A:$D,4,FALSE)=K$9,$E521*$F521,IF(VLOOKUP($B521,'Baremos anteriores'!$A:$D,4,FALSE)="Desmonte",$E521*$F521,"")))))</f>
        <v/>
      </c>
      <c r="L521" s="80" t="str">
        <f>IF($D521="","",
IF($E521="","",
IF($D521="MATE","",
IF(VLOOKUP($B521,'Baremos actuales'!$A:$D,4,FALSE)=L$9,$E521*$F521,""))))</f>
        <v/>
      </c>
      <c r="M521" s="91" t="str">
        <f t="shared" si="7"/>
        <v/>
      </c>
      <c r="N521" s="96"/>
      <c r="O521" s="95"/>
      <c r="P521" s="96"/>
      <c r="Q521" s="98"/>
    </row>
    <row r="522" spans="1:17" ht="15.75" x14ac:dyDescent="0.2">
      <c r="A522" s="17"/>
      <c r="B522" s="18"/>
      <c r="C522" s="87" t="str">
        <f>IF(B522="","",
IF(M522=$H$5,IFERROR(VLOOKUP(B522,'Baremos actuales'!A:E,5,FALSE),"No encontrado. Revisar código, fecha ejecución y/o contrato."),
IF(M522=$H$4,IFERROR(VLOOKUP(B522,'Baremos anteriores'!A:E,5,FALSE),"No encontrado. Revisar código, fecha ejecución y/o contrato."),
IF(M522=$H$3,IFERROR(VLOOKUP(B522,#REF!,5,FALSE),"No encontrado. Revisar código, fecha ejecución y/o contrato."),
IF(D522="","Código no encontrado",
IF(D522="ERROR","No encontrado. Revisar Código, fecha de ejecución y/o contrato.",
IF(D522="MATE",
IF(C521="DESCRIPCION","NO SE PUEDE COMENZAR SIN CÓDIGO DE TAREA",
IF(C521="","FALTA CÓDIGO DE TAREA",
CONCATENATE("          ",VLOOKUP(B522,'Maestro Materiales'!A:C,3,FALSE)))),IFERROR(VLOOKUP(B522,#REF!,5,FALSE),"No encontrado. Revisar código, fecha ejecución y/o contrato."))))))))</f>
        <v/>
      </c>
      <c r="D522" s="88" t="str">
        <f>IF(B522="","",
IFERROR(VLOOKUP(B522,'Maestro Materiales'!A:C,2,FALSE),
IFERROR(VLOOKUP(B522,'Baremos actuales'!A:B,2,FALSE),
IFERROR(VLOOKUP(B522,'Baremos anteriores'!A:B,2,FALSE),
""))))</f>
        <v/>
      </c>
      <c r="E522" s="9"/>
      <c r="F522" s="89" t="str">
        <f>IF(D522="MATE",
IF(E522="","¿Unidades?",""),
IF(D522="",IF(E522="","","¿Código?"),
IF(E522="","¿Unidades?",
IF(D522="TARE",
IF(M522=$H$3,IFERROR(VLOOKUP(B522,'Baremos actuales'!A:C,3,FALSE),0),
IF(M522=$H$4,IFERROR(VLOOKUP(B522,'Baremos anteriores'!A:C,3,FALSE),0),0))))))</f>
        <v/>
      </c>
      <c r="G522" s="7"/>
      <c r="H522" s="8"/>
      <c r="I522" s="8"/>
      <c r="J522" s="78" t="str">
        <f>IF($D522="","",
IF($E522="","",
IF($D522="MATE","",
IF(VLOOKUP($B522,'Baremos actuales'!A:D,4,FALSE)=J$9,$E522*$F522,IF(VLOOKUP($B522,'Baremos anteriores'!A:D,4,FALSE)="Sin Definir",$E522*$F522,"")))))</f>
        <v/>
      </c>
      <c r="K522" s="79" t="str">
        <f>IF($D522="","",
IF($E522="","",
IF($D522="MATE","",
IF(VLOOKUP($B522,'Baremos actuales'!$A:$D,4,FALSE)=K$9,$E522*$F522,IF(VLOOKUP($B522,'Baremos anteriores'!$A:$D,4,FALSE)="Desmonte",$E522*$F522,"")))))</f>
        <v/>
      </c>
      <c r="L522" s="80" t="str">
        <f>IF($D522="","",
IF($E522="","",
IF($D522="MATE","",
IF(VLOOKUP($B522,'Baremos actuales'!$A:$D,4,FALSE)=L$9,$E522*$F522,""))))</f>
        <v/>
      </c>
      <c r="M522" s="91" t="str">
        <f t="shared" si="7"/>
        <v/>
      </c>
      <c r="N522" s="96"/>
      <c r="O522" s="95"/>
      <c r="P522" s="96"/>
      <c r="Q522" s="98"/>
    </row>
    <row r="523" spans="1:17" ht="15.75" x14ac:dyDescent="0.2">
      <c r="A523" s="17"/>
      <c r="B523" s="18"/>
      <c r="C523" s="87" t="str">
        <f>IF(B523="","",
IF(M523=$H$5,IFERROR(VLOOKUP(B523,'Baremos actuales'!A:E,5,FALSE),"No encontrado. Revisar código, fecha ejecución y/o contrato."),
IF(M523=$H$4,IFERROR(VLOOKUP(B523,'Baremos anteriores'!A:E,5,FALSE),"No encontrado. Revisar código, fecha ejecución y/o contrato."),
IF(M523=$H$3,IFERROR(VLOOKUP(B523,#REF!,5,FALSE),"No encontrado. Revisar código, fecha ejecución y/o contrato."),
IF(D523="","Código no encontrado",
IF(D523="ERROR","No encontrado. Revisar Código, fecha de ejecución y/o contrato.",
IF(D523="MATE",
IF(C522="DESCRIPCION","NO SE PUEDE COMENZAR SIN CÓDIGO DE TAREA",
IF(C522="","FALTA CÓDIGO DE TAREA",
CONCATENATE("          ",VLOOKUP(B523,'Maestro Materiales'!A:C,3,FALSE)))),IFERROR(VLOOKUP(B523,#REF!,5,FALSE),"No encontrado. Revisar código, fecha ejecución y/o contrato."))))))))</f>
        <v/>
      </c>
      <c r="D523" s="88" t="str">
        <f>IF(B523="","",
IFERROR(VLOOKUP(B523,'Maestro Materiales'!A:C,2,FALSE),
IFERROR(VLOOKUP(B523,'Baremos actuales'!A:B,2,FALSE),
IFERROR(VLOOKUP(B523,'Baremos anteriores'!A:B,2,FALSE),
""))))</f>
        <v/>
      </c>
      <c r="E523" s="9"/>
      <c r="F523" s="89" t="str">
        <f>IF(D523="MATE",
IF(E523="","¿Unidades?",""),
IF(D523="",IF(E523="","","¿Código?"),
IF(E523="","¿Unidades?",
IF(D523="TARE",
IF(M523=$H$3,IFERROR(VLOOKUP(B523,'Baremos actuales'!A:C,3,FALSE),0),
IF(M523=$H$4,IFERROR(VLOOKUP(B523,'Baremos anteriores'!A:C,3,FALSE),0),0))))))</f>
        <v/>
      </c>
      <c r="G523" s="7"/>
      <c r="H523" s="8"/>
      <c r="I523" s="8"/>
      <c r="J523" s="78" t="str">
        <f>IF($D523="","",
IF($E523="","",
IF($D523="MATE","",
IF(VLOOKUP($B523,'Baremos actuales'!A:D,4,FALSE)=J$9,$E523*$F523,IF(VLOOKUP($B523,'Baremos anteriores'!A:D,4,FALSE)="Sin Definir",$E523*$F523,"")))))</f>
        <v/>
      </c>
      <c r="K523" s="79" t="str">
        <f>IF($D523="","",
IF($E523="","",
IF($D523="MATE","",
IF(VLOOKUP($B523,'Baremos actuales'!$A:$D,4,FALSE)=K$9,$E523*$F523,IF(VLOOKUP($B523,'Baremos anteriores'!$A:$D,4,FALSE)="Desmonte",$E523*$F523,"")))))</f>
        <v/>
      </c>
      <c r="L523" s="80" t="str">
        <f>IF($D523="","",
IF($E523="","",
IF($D523="MATE","",
IF(VLOOKUP($B523,'Baremos actuales'!$A:$D,4,FALSE)=L$9,$E523*$F523,""))))</f>
        <v/>
      </c>
      <c r="M523" s="91" t="str">
        <f t="shared" ref="M523:M586" si="8">IF(D523="MATE","Materiales",IF(B523="","",
IF($Q$1="O","Obsoleto",$F$2)))</f>
        <v/>
      </c>
      <c r="N523" s="96"/>
      <c r="O523" s="95"/>
      <c r="P523" s="96"/>
      <c r="Q523" s="98"/>
    </row>
    <row r="524" spans="1:17" ht="15.75" x14ac:dyDescent="0.2">
      <c r="A524" s="17"/>
      <c r="B524" s="18"/>
      <c r="C524" s="87" t="str">
        <f>IF(B524="","",
IF(M524=$H$5,IFERROR(VLOOKUP(B524,'Baremos actuales'!A:E,5,FALSE),"No encontrado. Revisar código, fecha ejecución y/o contrato."),
IF(M524=$H$4,IFERROR(VLOOKUP(B524,'Baremos anteriores'!A:E,5,FALSE),"No encontrado. Revisar código, fecha ejecución y/o contrato."),
IF(M524=$H$3,IFERROR(VLOOKUP(B524,#REF!,5,FALSE),"No encontrado. Revisar código, fecha ejecución y/o contrato."),
IF(D524="","Código no encontrado",
IF(D524="ERROR","No encontrado. Revisar Código, fecha de ejecución y/o contrato.",
IF(D524="MATE",
IF(C523="DESCRIPCION","NO SE PUEDE COMENZAR SIN CÓDIGO DE TAREA",
IF(C523="","FALTA CÓDIGO DE TAREA",
CONCATENATE("          ",VLOOKUP(B524,'Maestro Materiales'!A:C,3,FALSE)))),IFERROR(VLOOKUP(B524,#REF!,5,FALSE),"No encontrado. Revisar código, fecha ejecución y/o contrato."))))))))</f>
        <v/>
      </c>
      <c r="D524" s="88" t="str">
        <f>IF(B524="","",
IFERROR(VLOOKUP(B524,'Maestro Materiales'!A:C,2,FALSE),
IFERROR(VLOOKUP(B524,'Baremos actuales'!A:B,2,FALSE),
IFERROR(VLOOKUP(B524,'Baremos anteriores'!A:B,2,FALSE),
""))))</f>
        <v/>
      </c>
      <c r="E524" s="9"/>
      <c r="F524" s="89" t="str">
        <f>IF(D524="MATE",
IF(E524="","¿Unidades?",""),
IF(D524="",IF(E524="","","¿Código?"),
IF(E524="","¿Unidades?",
IF(D524="TARE",
IF(M524=$H$3,IFERROR(VLOOKUP(B524,'Baremos actuales'!A:C,3,FALSE),0),
IF(M524=$H$4,IFERROR(VLOOKUP(B524,'Baremos anteriores'!A:C,3,FALSE),0),0))))))</f>
        <v/>
      </c>
      <c r="G524" s="7"/>
      <c r="H524" s="8"/>
      <c r="I524" s="8"/>
      <c r="J524" s="78" t="str">
        <f>IF($D524="","",
IF($E524="","",
IF($D524="MATE","",
IF(VLOOKUP($B524,'Baremos actuales'!A:D,4,FALSE)=J$9,$E524*$F524,IF(VLOOKUP($B524,'Baremos anteriores'!A:D,4,FALSE)="Sin Definir",$E524*$F524,"")))))</f>
        <v/>
      </c>
      <c r="K524" s="79" t="str">
        <f>IF($D524="","",
IF($E524="","",
IF($D524="MATE","",
IF(VLOOKUP($B524,'Baremos actuales'!$A:$D,4,FALSE)=K$9,$E524*$F524,IF(VLOOKUP($B524,'Baremos anteriores'!$A:$D,4,FALSE)="Desmonte",$E524*$F524,"")))))</f>
        <v/>
      </c>
      <c r="L524" s="80" t="str">
        <f>IF($D524="","",
IF($E524="","",
IF($D524="MATE","",
IF(VLOOKUP($B524,'Baremos actuales'!$A:$D,4,FALSE)=L$9,$E524*$F524,""))))</f>
        <v/>
      </c>
      <c r="M524" s="91" t="str">
        <f t="shared" si="8"/>
        <v/>
      </c>
      <c r="N524" s="96"/>
      <c r="O524" s="95"/>
      <c r="P524" s="96"/>
      <c r="Q524" s="98"/>
    </row>
    <row r="525" spans="1:17" ht="15.75" x14ac:dyDescent="0.2">
      <c r="A525" s="17"/>
      <c r="B525" s="18"/>
      <c r="C525" s="87" t="str">
        <f>IF(B525="","",
IF(M525=$H$5,IFERROR(VLOOKUP(B525,'Baremos actuales'!A:E,5,FALSE),"No encontrado. Revisar código, fecha ejecución y/o contrato."),
IF(M525=$H$4,IFERROR(VLOOKUP(B525,'Baremos anteriores'!A:E,5,FALSE),"No encontrado. Revisar código, fecha ejecución y/o contrato."),
IF(M525=$H$3,IFERROR(VLOOKUP(B525,#REF!,5,FALSE),"No encontrado. Revisar código, fecha ejecución y/o contrato."),
IF(D525="","Código no encontrado",
IF(D525="ERROR","No encontrado. Revisar Código, fecha de ejecución y/o contrato.",
IF(D525="MATE",
IF(C524="DESCRIPCION","NO SE PUEDE COMENZAR SIN CÓDIGO DE TAREA",
IF(C524="","FALTA CÓDIGO DE TAREA",
CONCATENATE("          ",VLOOKUP(B525,'Maestro Materiales'!A:C,3,FALSE)))),IFERROR(VLOOKUP(B525,#REF!,5,FALSE),"No encontrado. Revisar código, fecha ejecución y/o contrato."))))))))</f>
        <v/>
      </c>
      <c r="D525" s="88" t="str">
        <f>IF(B525="","",
IFERROR(VLOOKUP(B525,'Maestro Materiales'!A:C,2,FALSE),
IFERROR(VLOOKUP(B525,'Baremos actuales'!A:B,2,FALSE),
IFERROR(VLOOKUP(B525,'Baremos anteriores'!A:B,2,FALSE),
""))))</f>
        <v/>
      </c>
      <c r="E525" s="9"/>
      <c r="F525" s="89" t="str">
        <f>IF(D525="MATE",
IF(E525="","¿Unidades?",""),
IF(D525="",IF(E525="","","¿Código?"),
IF(E525="","¿Unidades?",
IF(D525="TARE",
IF(M525=$H$3,IFERROR(VLOOKUP(B525,'Baremos actuales'!A:C,3,FALSE),0),
IF(M525=$H$4,IFERROR(VLOOKUP(B525,'Baremos anteriores'!A:C,3,FALSE),0),0))))))</f>
        <v/>
      </c>
      <c r="G525" s="7"/>
      <c r="H525" s="8"/>
      <c r="I525" s="8"/>
      <c r="J525" s="78" t="str">
        <f>IF($D525="","",
IF($E525="","",
IF($D525="MATE","",
IF(VLOOKUP($B525,'Baremos actuales'!A:D,4,FALSE)=J$9,$E525*$F525,IF(VLOOKUP($B525,'Baremos anteriores'!A:D,4,FALSE)="Sin Definir",$E525*$F525,"")))))</f>
        <v/>
      </c>
      <c r="K525" s="79" t="str">
        <f>IF($D525="","",
IF($E525="","",
IF($D525="MATE","",
IF(VLOOKUP($B525,'Baremos actuales'!$A:$D,4,FALSE)=K$9,$E525*$F525,IF(VLOOKUP($B525,'Baremos anteriores'!$A:$D,4,FALSE)="Desmonte",$E525*$F525,"")))))</f>
        <v/>
      </c>
      <c r="L525" s="80" t="str">
        <f>IF($D525="","",
IF($E525="","",
IF($D525="MATE","",
IF(VLOOKUP($B525,'Baremos actuales'!$A:$D,4,FALSE)=L$9,$E525*$F525,""))))</f>
        <v/>
      </c>
      <c r="M525" s="91" t="str">
        <f t="shared" si="8"/>
        <v/>
      </c>
      <c r="N525" s="96"/>
      <c r="O525" s="95"/>
      <c r="P525" s="96"/>
      <c r="Q525" s="98"/>
    </row>
    <row r="526" spans="1:17" ht="15.75" x14ac:dyDescent="0.2">
      <c r="A526" s="17"/>
      <c r="B526" s="18"/>
      <c r="C526" s="87" t="str">
        <f>IF(B526="","",
IF(M526=$H$5,IFERROR(VLOOKUP(B526,'Baremos actuales'!A:E,5,FALSE),"No encontrado. Revisar código, fecha ejecución y/o contrato."),
IF(M526=$H$4,IFERROR(VLOOKUP(B526,'Baremos anteriores'!A:E,5,FALSE),"No encontrado. Revisar código, fecha ejecución y/o contrato."),
IF(M526=$H$3,IFERROR(VLOOKUP(B526,#REF!,5,FALSE),"No encontrado. Revisar código, fecha ejecución y/o contrato."),
IF(D526="","Código no encontrado",
IF(D526="ERROR","No encontrado. Revisar Código, fecha de ejecución y/o contrato.",
IF(D526="MATE",
IF(C525="DESCRIPCION","NO SE PUEDE COMENZAR SIN CÓDIGO DE TAREA",
IF(C525="","FALTA CÓDIGO DE TAREA",
CONCATENATE("          ",VLOOKUP(B526,'Maestro Materiales'!A:C,3,FALSE)))),IFERROR(VLOOKUP(B526,#REF!,5,FALSE),"No encontrado. Revisar código, fecha ejecución y/o contrato."))))))))</f>
        <v/>
      </c>
      <c r="D526" s="88" t="str">
        <f>IF(B526="","",
IFERROR(VLOOKUP(B526,'Maestro Materiales'!A:C,2,FALSE),
IFERROR(VLOOKUP(B526,'Baremos actuales'!A:B,2,FALSE),
IFERROR(VLOOKUP(B526,'Baremos anteriores'!A:B,2,FALSE),
""))))</f>
        <v/>
      </c>
      <c r="E526" s="9"/>
      <c r="F526" s="89" t="str">
        <f>IF(D526="MATE",
IF(E526="","¿Unidades?",""),
IF(D526="",IF(E526="","","¿Código?"),
IF(E526="","¿Unidades?",
IF(D526="TARE",
IF(M526=$H$3,IFERROR(VLOOKUP(B526,'Baremos actuales'!A:C,3,FALSE),0),
IF(M526=$H$4,IFERROR(VLOOKUP(B526,'Baremos anteriores'!A:C,3,FALSE),0),0))))))</f>
        <v/>
      </c>
      <c r="G526" s="7"/>
      <c r="H526" s="8"/>
      <c r="I526" s="8"/>
      <c r="J526" s="78" t="str">
        <f>IF($D526="","",
IF($E526="","",
IF($D526="MATE","",
IF(VLOOKUP($B526,'Baremos actuales'!A:D,4,FALSE)=J$9,$E526*$F526,IF(VLOOKUP($B526,'Baremos anteriores'!A:D,4,FALSE)="Sin Definir",$E526*$F526,"")))))</f>
        <v/>
      </c>
      <c r="K526" s="79" t="str">
        <f>IF($D526="","",
IF($E526="","",
IF($D526="MATE","",
IF(VLOOKUP($B526,'Baremos actuales'!$A:$D,4,FALSE)=K$9,$E526*$F526,IF(VLOOKUP($B526,'Baremos anteriores'!$A:$D,4,FALSE)="Desmonte",$E526*$F526,"")))))</f>
        <v/>
      </c>
      <c r="L526" s="80" t="str">
        <f>IF($D526="","",
IF($E526="","",
IF($D526="MATE","",
IF(VLOOKUP($B526,'Baremos actuales'!$A:$D,4,FALSE)=L$9,$E526*$F526,""))))</f>
        <v/>
      </c>
      <c r="M526" s="91" t="str">
        <f t="shared" si="8"/>
        <v/>
      </c>
      <c r="N526" s="96"/>
      <c r="O526" s="95"/>
      <c r="P526" s="96"/>
      <c r="Q526" s="98"/>
    </row>
    <row r="527" spans="1:17" ht="15.75" x14ac:dyDescent="0.2">
      <c r="A527" s="17"/>
      <c r="B527" s="18"/>
      <c r="C527" s="87" t="str">
        <f>IF(B527="","",
IF(M527=$H$5,IFERROR(VLOOKUP(B527,'Baremos actuales'!A:E,5,FALSE),"No encontrado. Revisar código, fecha ejecución y/o contrato."),
IF(M527=$H$4,IFERROR(VLOOKUP(B527,'Baremos anteriores'!A:E,5,FALSE),"No encontrado. Revisar código, fecha ejecución y/o contrato."),
IF(M527=$H$3,IFERROR(VLOOKUP(B527,#REF!,5,FALSE),"No encontrado. Revisar código, fecha ejecución y/o contrato."),
IF(D527="","Código no encontrado",
IF(D527="ERROR","No encontrado. Revisar Código, fecha de ejecución y/o contrato.",
IF(D527="MATE",
IF(C526="DESCRIPCION","NO SE PUEDE COMENZAR SIN CÓDIGO DE TAREA",
IF(C526="","FALTA CÓDIGO DE TAREA",
CONCATENATE("          ",VLOOKUP(B527,'Maestro Materiales'!A:C,3,FALSE)))),IFERROR(VLOOKUP(B527,#REF!,5,FALSE),"No encontrado. Revisar código, fecha ejecución y/o contrato."))))))))</f>
        <v/>
      </c>
      <c r="D527" s="88" t="str">
        <f>IF(B527="","",
IFERROR(VLOOKUP(B527,'Maestro Materiales'!A:C,2,FALSE),
IFERROR(VLOOKUP(B527,'Baremos actuales'!A:B,2,FALSE),
IFERROR(VLOOKUP(B527,'Baremos anteriores'!A:B,2,FALSE),
""))))</f>
        <v/>
      </c>
      <c r="E527" s="9"/>
      <c r="F527" s="89" t="str">
        <f>IF(D527="MATE",
IF(E527="","¿Unidades?",""),
IF(D527="",IF(E527="","","¿Código?"),
IF(E527="","¿Unidades?",
IF(D527="TARE",
IF(M527=$H$3,IFERROR(VLOOKUP(B527,'Baremos actuales'!A:C,3,FALSE),0),
IF(M527=$H$4,IFERROR(VLOOKUP(B527,'Baremos anteriores'!A:C,3,FALSE),0),0))))))</f>
        <v/>
      </c>
      <c r="G527" s="7"/>
      <c r="H527" s="8"/>
      <c r="I527" s="8"/>
      <c r="J527" s="78" t="str">
        <f>IF($D527="","",
IF($E527="","",
IF($D527="MATE","",
IF(VLOOKUP($B527,'Baremos actuales'!A:D,4,FALSE)=J$9,$E527*$F527,IF(VLOOKUP($B527,'Baremos anteriores'!A:D,4,FALSE)="Sin Definir",$E527*$F527,"")))))</f>
        <v/>
      </c>
      <c r="K527" s="79" t="str">
        <f>IF($D527="","",
IF($E527="","",
IF($D527="MATE","",
IF(VLOOKUP($B527,'Baremos actuales'!$A:$D,4,FALSE)=K$9,$E527*$F527,IF(VLOOKUP($B527,'Baremos anteriores'!$A:$D,4,FALSE)="Desmonte",$E527*$F527,"")))))</f>
        <v/>
      </c>
      <c r="L527" s="80" t="str">
        <f>IF($D527="","",
IF($E527="","",
IF($D527="MATE","",
IF(VLOOKUP($B527,'Baremos actuales'!$A:$D,4,FALSE)=L$9,$E527*$F527,""))))</f>
        <v/>
      </c>
      <c r="M527" s="91" t="str">
        <f t="shared" si="8"/>
        <v/>
      </c>
      <c r="N527" s="96"/>
      <c r="O527" s="95"/>
      <c r="P527" s="96"/>
      <c r="Q527" s="98"/>
    </row>
    <row r="528" spans="1:17" ht="15.75" x14ac:dyDescent="0.2">
      <c r="A528" s="17"/>
      <c r="B528" s="18"/>
      <c r="C528" s="87" t="str">
        <f>IF(B528="","",
IF(M528=$H$5,IFERROR(VLOOKUP(B528,'Baremos actuales'!A:E,5,FALSE),"No encontrado. Revisar código, fecha ejecución y/o contrato."),
IF(M528=$H$4,IFERROR(VLOOKUP(B528,'Baremos anteriores'!A:E,5,FALSE),"No encontrado. Revisar código, fecha ejecución y/o contrato."),
IF(M528=$H$3,IFERROR(VLOOKUP(B528,#REF!,5,FALSE),"No encontrado. Revisar código, fecha ejecución y/o contrato."),
IF(D528="","Código no encontrado",
IF(D528="ERROR","No encontrado. Revisar Código, fecha de ejecución y/o contrato.",
IF(D528="MATE",
IF(C527="DESCRIPCION","NO SE PUEDE COMENZAR SIN CÓDIGO DE TAREA",
IF(C527="","FALTA CÓDIGO DE TAREA",
CONCATENATE("          ",VLOOKUP(B528,'Maestro Materiales'!A:C,3,FALSE)))),IFERROR(VLOOKUP(B528,#REF!,5,FALSE),"No encontrado. Revisar código, fecha ejecución y/o contrato."))))))))</f>
        <v/>
      </c>
      <c r="D528" s="88" t="str">
        <f>IF(B528="","",
IFERROR(VLOOKUP(B528,'Maestro Materiales'!A:C,2,FALSE),
IFERROR(VLOOKUP(B528,'Baremos actuales'!A:B,2,FALSE),
IFERROR(VLOOKUP(B528,'Baremos anteriores'!A:B,2,FALSE),
""))))</f>
        <v/>
      </c>
      <c r="E528" s="9"/>
      <c r="F528" s="89" t="str">
        <f>IF(D528="MATE",
IF(E528="","¿Unidades?",""),
IF(D528="",IF(E528="","","¿Código?"),
IF(E528="","¿Unidades?",
IF(D528="TARE",
IF(M528=$H$3,IFERROR(VLOOKUP(B528,'Baremos actuales'!A:C,3,FALSE),0),
IF(M528=$H$4,IFERROR(VLOOKUP(B528,'Baremos anteriores'!A:C,3,FALSE),0),0))))))</f>
        <v/>
      </c>
      <c r="G528" s="7"/>
      <c r="H528" s="8"/>
      <c r="I528" s="8"/>
      <c r="J528" s="78" t="str">
        <f>IF($D528="","",
IF($E528="","",
IF($D528="MATE","",
IF(VLOOKUP($B528,'Baremos actuales'!A:D,4,FALSE)=J$9,$E528*$F528,IF(VLOOKUP($B528,'Baremos anteriores'!A:D,4,FALSE)="Sin Definir",$E528*$F528,"")))))</f>
        <v/>
      </c>
      <c r="K528" s="79" t="str">
        <f>IF($D528="","",
IF($E528="","",
IF($D528="MATE","",
IF(VLOOKUP($B528,'Baremos actuales'!$A:$D,4,FALSE)=K$9,$E528*$F528,IF(VLOOKUP($B528,'Baremos anteriores'!$A:$D,4,FALSE)="Desmonte",$E528*$F528,"")))))</f>
        <v/>
      </c>
      <c r="L528" s="80" t="str">
        <f>IF($D528="","",
IF($E528="","",
IF($D528="MATE","",
IF(VLOOKUP($B528,'Baremos actuales'!$A:$D,4,FALSE)=L$9,$E528*$F528,""))))</f>
        <v/>
      </c>
      <c r="M528" s="91" t="str">
        <f t="shared" si="8"/>
        <v/>
      </c>
      <c r="N528" s="96"/>
      <c r="O528" s="95"/>
      <c r="P528" s="96"/>
      <c r="Q528" s="98"/>
    </row>
    <row r="529" spans="1:17" ht="15.75" x14ac:dyDescent="0.2">
      <c r="A529" s="17"/>
      <c r="B529" s="18"/>
      <c r="C529" s="87" t="str">
        <f>IF(B529="","",
IF(M529=$H$5,IFERROR(VLOOKUP(B529,'Baremos actuales'!A:E,5,FALSE),"No encontrado. Revisar código, fecha ejecución y/o contrato."),
IF(M529=$H$4,IFERROR(VLOOKUP(B529,'Baremos anteriores'!A:E,5,FALSE),"No encontrado. Revisar código, fecha ejecución y/o contrato."),
IF(M529=$H$3,IFERROR(VLOOKUP(B529,#REF!,5,FALSE),"No encontrado. Revisar código, fecha ejecución y/o contrato."),
IF(D529="","Código no encontrado",
IF(D529="ERROR","No encontrado. Revisar Código, fecha de ejecución y/o contrato.",
IF(D529="MATE",
IF(C528="DESCRIPCION","NO SE PUEDE COMENZAR SIN CÓDIGO DE TAREA",
IF(C528="","FALTA CÓDIGO DE TAREA",
CONCATENATE("          ",VLOOKUP(B529,'Maestro Materiales'!A:C,3,FALSE)))),IFERROR(VLOOKUP(B529,#REF!,5,FALSE),"No encontrado. Revisar código, fecha ejecución y/o contrato."))))))))</f>
        <v/>
      </c>
      <c r="D529" s="88" t="str">
        <f>IF(B529="","",
IFERROR(VLOOKUP(B529,'Maestro Materiales'!A:C,2,FALSE),
IFERROR(VLOOKUP(B529,'Baremos actuales'!A:B,2,FALSE),
IFERROR(VLOOKUP(B529,'Baremos anteriores'!A:B,2,FALSE),
""))))</f>
        <v/>
      </c>
      <c r="E529" s="9"/>
      <c r="F529" s="89" t="str">
        <f>IF(D529="MATE",
IF(E529="","¿Unidades?",""),
IF(D529="",IF(E529="","","¿Código?"),
IF(E529="","¿Unidades?",
IF(D529="TARE",
IF(M529=$H$3,IFERROR(VLOOKUP(B529,'Baremos actuales'!A:C,3,FALSE),0),
IF(M529=$H$4,IFERROR(VLOOKUP(B529,'Baremos anteriores'!A:C,3,FALSE),0),0))))))</f>
        <v/>
      </c>
      <c r="G529" s="7"/>
      <c r="H529" s="8"/>
      <c r="I529" s="8"/>
      <c r="J529" s="78" t="str">
        <f>IF($D529="","",
IF($E529="","",
IF($D529="MATE","",
IF(VLOOKUP($B529,'Baremos actuales'!A:D,4,FALSE)=J$9,$E529*$F529,IF(VLOOKUP($B529,'Baremos anteriores'!A:D,4,FALSE)="Sin Definir",$E529*$F529,"")))))</f>
        <v/>
      </c>
      <c r="K529" s="79" t="str">
        <f>IF($D529="","",
IF($E529="","",
IF($D529="MATE","",
IF(VLOOKUP($B529,'Baremos actuales'!$A:$D,4,FALSE)=K$9,$E529*$F529,IF(VLOOKUP($B529,'Baremos anteriores'!$A:$D,4,FALSE)="Desmonte",$E529*$F529,"")))))</f>
        <v/>
      </c>
      <c r="L529" s="80" t="str">
        <f>IF($D529="","",
IF($E529="","",
IF($D529="MATE","",
IF(VLOOKUP($B529,'Baremos actuales'!$A:$D,4,FALSE)=L$9,$E529*$F529,""))))</f>
        <v/>
      </c>
      <c r="M529" s="91" t="str">
        <f t="shared" si="8"/>
        <v/>
      </c>
      <c r="N529" s="96"/>
      <c r="O529" s="95"/>
      <c r="P529" s="96"/>
      <c r="Q529" s="98"/>
    </row>
    <row r="530" spans="1:17" ht="15.75" x14ac:dyDescent="0.2">
      <c r="A530" s="17"/>
      <c r="B530" s="18"/>
      <c r="C530" s="87" t="str">
        <f>IF(B530="","",
IF(M530=$H$5,IFERROR(VLOOKUP(B530,'Baremos actuales'!A:E,5,FALSE),"No encontrado. Revisar código, fecha ejecución y/o contrato."),
IF(M530=$H$4,IFERROR(VLOOKUP(B530,'Baremos anteriores'!A:E,5,FALSE),"No encontrado. Revisar código, fecha ejecución y/o contrato."),
IF(M530=$H$3,IFERROR(VLOOKUP(B530,#REF!,5,FALSE),"No encontrado. Revisar código, fecha ejecución y/o contrato."),
IF(D530="","Código no encontrado",
IF(D530="ERROR","No encontrado. Revisar Código, fecha de ejecución y/o contrato.",
IF(D530="MATE",
IF(C529="DESCRIPCION","NO SE PUEDE COMENZAR SIN CÓDIGO DE TAREA",
IF(C529="","FALTA CÓDIGO DE TAREA",
CONCATENATE("          ",VLOOKUP(B530,'Maestro Materiales'!A:C,3,FALSE)))),IFERROR(VLOOKUP(B530,#REF!,5,FALSE),"No encontrado. Revisar código, fecha ejecución y/o contrato."))))))))</f>
        <v/>
      </c>
      <c r="D530" s="88" t="str">
        <f>IF(B530="","",
IFERROR(VLOOKUP(B530,'Maestro Materiales'!A:C,2,FALSE),
IFERROR(VLOOKUP(B530,'Baremos actuales'!A:B,2,FALSE),
IFERROR(VLOOKUP(B530,'Baremos anteriores'!A:B,2,FALSE),
""))))</f>
        <v/>
      </c>
      <c r="E530" s="9"/>
      <c r="F530" s="89" t="str">
        <f>IF(D530="MATE",
IF(E530="","¿Unidades?",""),
IF(D530="",IF(E530="","","¿Código?"),
IF(E530="","¿Unidades?",
IF(D530="TARE",
IF(M530=$H$3,IFERROR(VLOOKUP(B530,'Baremos actuales'!A:C,3,FALSE),0),
IF(M530=$H$4,IFERROR(VLOOKUP(B530,'Baremos anteriores'!A:C,3,FALSE),0),0))))))</f>
        <v/>
      </c>
      <c r="G530" s="7"/>
      <c r="H530" s="8"/>
      <c r="I530" s="8"/>
      <c r="J530" s="78" t="str">
        <f>IF($D530="","",
IF($E530="","",
IF($D530="MATE","",
IF(VLOOKUP($B530,'Baremos actuales'!A:D,4,FALSE)=J$9,$E530*$F530,IF(VLOOKUP($B530,'Baremos anteriores'!A:D,4,FALSE)="Sin Definir",$E530*$F530,"")))))</f>
        <v/>
      </c>
      <c r="K530" s="79" t="str">
        <f>IF($D530="","",
IF($E530="","",
IF($D530="MATE","",
IF(VLOOKUP($B530,'Baremos actuales'!$A:$D,4,FALSE)=K$9,$E530*$F530,IF(VLOOKUP($B530,'Baremos anteriores'!$A:$D,4,FALSE)="Desmonte",$E530*$F530,"")))))</f>
        <v/>
      </c>
      <c r="L530" s="80" t="str">
        <f>IF($D530="","",
IF($E530="","",
IF($D530="MATE","",
IF(VLOOKUP($B530,'Baremos actuales'!$A:$D,4,FALSE)=L$9,$E530*$F530,""))))</f>
        <v/>
      </c>
      <c r="M530" s="91" t="str">
        <f t="shared" si="8"/>
        <v/>
      </c>
      <c r="N530" s="96"/>
      <c r="O530" s="95"/>
      <c r="P530" s="96"/>
      <c r="Q530" s="98"/>
    </row>
    <row r="531" spans="1:17" ht="15.75" x14ac:dyDescent="0.2">
      <c r="A531" s="17"/>
      <c r="B531" s="18"/>
      <c r="C531" s="87" t="str">
        <f>IF(B531="","",
IF(M531=$H$5,IFERROR(VLOOKUP(B531,'Baremos actuales'!A:E,5,FALSE),"No encontrado. Revisar código, fecha ejecución y/o contrato."),
IF(M531=$H$4,IFERROR(VLOOKUP(B531,'Baremos anteriores'!A:E,5,FALSE),"No encontrado. Revisar código, fecha ejecución y/o contrato."),
IF(M531=$H$3,IFERROR(VLOOKUP(B531,#REF!,5,FALSE),"No encontrado. Revisar código, fecha ejecución y/o contrato."),
IF(D531="","Código no encontrado",
IF(D531="ERROR","No encontrado. Revisar Código, fecha de ejecución y/o contrato.",
IF(D531="MATE",
IF(C530="DESCRIPCION","NO SE PUEDE COMENZAR SIN CÓDIGO DE TAREA",
IF(C530="","FALTA CÓDIGO DE TAREA",
CONCATENATE("          ",VLOOKUP(B531,'Maestro Materiales'!A:C,3,FALSE)))),IFERROR(VLOOKUP(B531,#REF!,5,FALSE),"No encontrado. Revisar código, fecha ejecución y/o contrato."))))))))</f>
        <v/>
      </c>
      <c r="D531" s="88" t="str">
        <f>IF(B531="","",
IFERROR(VLOOKUP(B531,'Maestro Materiales'!A:C,2,FALSE),
IFERROR(VLOOKUP(B531,'Baremos actuales'!A:B,2,FALSE),
IFERROR(VLOOKUP(B531,'Baremos anteriores'!A:B,2,FALSE),
""))))</f>
        <v/>
      </c>
      <c r="E531" s="9"/>
      <c r="F531" s="89" t="str">
        <f>IF(D531="MATE",
IF(E531="","¿Unidades?",""),
IF(D531="",IF(E531="","","¿Código?"),
IF(E531="","¿Unidades?",
IF(D531="TARE",
IF(M531=$H$3,IFERROR(VLOOKUP(B531,'Baremos actuales'!A:C,3,FALSE),0),
IF(M531=$H$4,IFERROR(VLOOKUP(B531,'Baremos anteriores'!A:C,3,FALSE),0),0))))))</f>
        <v/>
      </c>
      <c r="G531" s="7"/>
      <c r="H531" s="8"/>
      <c r="I531" s="8"/>
      <c r="J531" s="78" t="str">
        <f>IF($D531="","",
IF($E531="","",
IF($D531="MATE","",
IF(VLOOKUP($B531,'Baremos actuales'!A:D,4,FALSE)=J$9,$E531*$F531,IF(VLOOKUP($B531,'Baremos anteriores'!A:D,4,FALSE)="Sin Definir",$E531*$F531,"")))))</f>
        <v/>
      </c>
      <c r="K531" s="79" t="str">
        <f>IF($D531="","",
IF($E531="","",
IF($D531="MATE","",
IF(VLOOKUP($B531,'Baremos actuales'!$A:$D,4,FALSE)=K$9,$E531*$F531,IF(VLOOKUP($B531,'Baremos anteriores'!$A:$D,4,FALSE)="Desmonte",$E531*$F531,"")))))</f>
        <v/>
      </c>
      <c r="L531" s="80" t="str">
        <f>IF($D531="","",
IF($E531="","",
IF($D531="MATE","",
IF(VLOOKUP($B531,'Baremos actuales'!$A:$D,4,FALSE)=L$9,$E531*$F531,""))))</f>
        <v/>
      </c>
      <c r="M531" s="91" t="str">
        <f t="shared" si="8"/>
        <v/>
      </c>
      <c r="N531" s="96"/>
      <c r="O531" s="95"/>
      <c r="P531" s="96"/>
      <c r="Q531" s="98"/>
    </row>
    <row r="532" spans="1:17" ht="15.75" x14ac:dyDescent="0.2">
      <c r="A532" s="17"/>
      <c r="B532" s="18"/>
      <c r="C532" s="87" t="str">
        <f>IF(B532="","",
IF(M532=$H$5,IFERROR(VLOOKUP(B532,'Baremos actuales'!A:E,5,FALSE),"No encontrado. Revisar código, fecha ejecución y/o contrato."),
IF(M532=$H$4,IFERROR(VLOOKUP(B532,'Baremos anteriores'!A:E,5,FALSE),"No encontrado. Revisar código, fecha ejecución y/o contrato."),
IF(M532=$H$3,IFERROR(VLOOKUP(B532,#REF!,5,FALSE),"No encontrado. Revisar código, fecha ejecución y/o contrato."),
IF(D532="","Código no encontrado",
IF(D532="ERROR","No encontrado. Revisar Código, fecha de ejecución y/o contrato.",
IF(D532="MATE",
IF(C531="DESCRIPCION","NO SE PUEDE COMENZAR SIN CÓDIGO DE TAREA",
IF(C531="","FALTA CÓDIGO DE TAREA",
CONCATENATE("          ",VLOOKUP(B532,'Maestro Materiales'!A:C,3,FALSE)))),IFERROR(VLOOKUP(B532,#REF!,5,FALSE),"No encontrado. Revisar código, fecha ejecución y/o contrato."))))))))</f>
        <v/>
      </c>
      <c r="D532" s="88" t="str">
        <f>IF(B532="","",
IFERROR(VLOOKUP(B532,'Maestro Materiales'!A:C,2,FALSE),
IFERROR(VLOOKUP(B532,'Baremos actuales'!A:B,2,FALSE),
IFERROR(VLOOKUP(B532,'Baremos anteriores'!A:B,2,FALSE),
""))))</f>
        <v/>
      </c>
      <c r="E532" s="9"/>
      <c r="F532" s="89" t="str">
        <f>IF(D532="MATE",
IF(E532="","¿Unidades?",""),
IF(D532="",IF(E532="","","¿Código?"),
IF(E532="","¿Unidades?",
IF(D532="TARE",
IF(M532=$H$3,IFERROR(VLOOKUP(B532,'Baremos actuales'!A:C,3,FALSE),0),
IF(M532=$H$4,IFERROR(VLOOKUP(B532,'Baremos anteriores'!A:C,3,FALSE),0),0))))))</f>
        <v/>
      </c>
      <c r="G532" s="7"/>
      <c r="H532" s="8"/>
      <c r="I532" s="8"/>
      <c r="J532" s="78" t="str">
        <f>IF($D532="","",
IF($E532="","",
IF($D532="MATE","",
IF(VLOOKUP($B532,'Baremos actuales'!A:D,4,FALSE)=J$9,$E532*$F532,IF(VLOOKUP($B532,'Baremos anteriores'!A:D,4,FALSE)="Sin Definir",$E532*$F532,"")))))</f>
        <v/>
      </c>
      <c r="K532" s="79" t="str">
        <f>IF($D532="","",
IF($E532="","",
IF($D532="MATE","",
IF(VLOOKUP($B532,'Baremos actuales'!$A:$D,4,FALSE)=K$9,$E532*$F532,IF(VLOOKUP($B532,'Baremos anteriores'!$A:$D,4,FALSE)="Desmonte",$E532*$F532,"")))))</f>
        <v/>
      </c>
      <c r="L532" s="80" t="str">
        <f>IF($D532="","",
IF($E532="","",
IF($D532="MATE","",
IF(VLOOKUP($B532,'Baremos actuales'!$A:$D,4,FALSE)=L$9,$E532*$F532,""))))</f>
        <v/>
      </c>
      <c r="M532" s="91" t="str">
        <f t="shared" si="8"/>
        <v/>
      </c>
      <c r="N532" s="96"/>
      <c r="O532" s="95"/>
      <c r="P532" s="96"/>
      <c r="Q532" s="98"/>
    </row>
    <row r="533" spans="1:17" ht="15.75" x14ac:dyDescent="0.2">
      <c r="A533" s="17"/>
      <c r="B533" s="18"/>
      <c r="C533" s="87" t="str">
        <f>IF(B533="","",
IF(M533=$H$5,IFERROR(VLOOKUP(B533,'Baremos actuales'!A:E,5,FALSE),"No encontrado. Revisar código, fecha ejecución y/o contrato."),
IF(M533=$H$4,IFERROR(VLOOKUP(B533,'Baremos anteriores'!A:E,5,FALSE),"No encontrado. Revisar código, fecha ejecución y/o contrato."),
IF(M533=$H$3,IFERROR(VLOOKUP(B533,#REF!,5,FALSE),"No encontrado. Revisar código, fecha ejecución y/o contrato."),
IF(D533="","Código no encontrado",
IF(D533="ERROR","No encontrado. Revisar Código, fecha de ejecución y/o contrato.",
IF(D533="MATE",
IF(C532="DESCRIPCION","NO SE PUEDE COMENZAR SIN CÓDIGO DE TAREA",
IF(C532="","FALTA CÓDIGO DE TAREA",
CONCATENATE("          ",VLOOKUP(B533,'Maestro Materiales'!A:C,3,FALSE)))),IFERROR(VLOOKUP(B533,#REF!,5,FALSE),"No encontrado. Revisar código, fecha ejecución y/o contrato."))))))))</f>
        <v/>
      </c>
      <c r="D533" s="88" t="str">
        <f>IF(B533="","",
IFERROR(VLOOKUP(B533,'Maestro Materiales'!A:C,2,FALSE),
IFERROR(VLOOKUP(B533,'Baremos actuales'!A:B,2,FALSE),
IFERROR(VLOOKUP(B533,'Baremos anteriores'!A:B,2,FALSE),
""))))</f>
        <v/>
      </c>
      <c r="E533" s="9"/>
      <c r="F533" s="89" t="str">
        <f>IF(D533="MATE",
IF(E533="","¿Unidades?",""),
IF(D533="",IF(E533="","","¿Código?"),
IF(E533="","¿Unidades?",
IF(D533="TARE",
IF(M533=$H$3,IFERROR(VLOOKUP(B533,'Baremos actuales'!A:C,3,FALSE),0),
IF(M533=$H$4,IFERROR(VLOOKUP(B533,'Baremos anteriores'!A:C,3,FALSE),0),0))))))</f>
        <v/>
      </c>
      <c r="G533" s="7"/>
      <c r="H533" s="8"/>
      <c r="I533" s="8"/>
      <c r="J533" s="78" t="str">
        <f>IF($D533="","",
IF($E533="","",
IF($D533="MATE","",
IF(VLOOKUP($B533,'Baremos actuales'!A:D,4,FALSE)=J$9,$E533*$F533,IF(VLOOKUP($B533,'Baremos anteriores'!A:D,4,FALSE)="Sin Definir",$E533*$F533,"")))))</f>
        <v/>
      </c>
      <c r="K533" s="79" t="str">
        <f>IF($D533="","",
IF($E533="","",
IF($D533="MATE","",
IF(VLOOKUP($B533,'Baremos actuales'!$A:$D,4,FALSE)=K$9,$E533*$F533,IF(VLOOKUP($B533,'Baremos anteriores'!$A:$D,4,FALSE)="Desmonte",$E533*$F533,"")))))</f>
        <v/>
      </c>
      <c r="L533" s="80" t="str">
        <f>IF($D533="","",
IF($E533="","",
IF($D533="MATE","",
IF(VLOOKUP($B533,'Baremos actuales'!$A:$D,4,FALSE)=L$9,$E533*$F533,""))))</f>
        <v/>
      </c>
      <c r="M533" s="91" t="str">
        <f t="shared" si="8"/>
        <v/>
      </c>
      <c r="N533" s="96"/>
      <c r="O533" s="95"/>
      <c r="P533" s="96"/>
      <c r="Q533" s="98"/>
    </row>
    <row r="534" spans="1:17" ht="15.75" x14ac:dyDescent="0.2">
      <c r="A534" s="17"/>
      <c r="B534" s="18"/>
      <c r="C534" s="87" t="str">
        <f>IF(B534="","",
IF(M534=$H$5,IFERROR(VLOOKUP(B534,'Baremos actuales'!A:E,5,FALSE),"No encontrado. Revisar código, fecha ejecución y/o contrato."),
IF(M534=$H$4,IFERROR(VLOOKUP(B534,'Baremos anteriores'!A:E,5,FALSE),"No encontrado. Revisar código, fecha ejecución y/o contrato."),
IF(M534=$H$3,IFERROR(VLOOKUP(B534,#REF!,5,FALSE),"No encontrado. Revisar código, fecha ejecución y/o contrato."),
IF(D534="","Código no encontrado",
IF(D534="ERROR","No encontrado. Revisar Código, fecha de ejecución y/o contrato.",
IF(D534="MATE",
IF(C533="DESCRIPCION","NO SE PUEDE COMENZAR SIN CÓDIGO DE TAREA",
IF(C533="","FALTA CÓDIGO DE TAREA",
CONCATENATE("          ",VLOOKUP(B534,'Maestro Materiales'!A:C,3,FALSE)))),IFERROR(VLOOKUP(B534,#REF!,5,FALSE),"No encontrado. Revisar código, fecha ejecución y/o contrato."))))))))</f>
        <v/>
      </c>
      <c r="D534" s="88" t="str">
        <f>IF(B534="","",
IFERROR(VLOOKUP(B534,'Maestro Materiales'!A:C,2,FALSE),
IFERROR(VLOOKUP(B534,'Baremos actuales'!A:B,2,FALSE),
IFERROR(VLOOKUP(B534,'Baremos anteriores'!A:B,2,FALSE),
""))))</f>
        <v/>
      </c>
      <c r="E534" s="9"/>
      <c r="F534" s="89" t="str">
        <f>IF(D534="MATE",
IF(E534="","¿Unidades?",""),
IF(D534="",IF(E534="","","¿Código?"),
IF(E534="","¿Unidades?",
IF(D534="TARE",
IF(M534=$H$3,IFERROR(VLOOKUP(B534,'Baremos actuales'!A:C,3,FALSE),0),
IF(M534=$H$4,IFERROR(VLOOKUP(B534,'Baremos anteriores'!A:C,3,FALSE),0),0))))))</f>
        <v/>
      </c>
      <c r="G534" s="7"/>
      <c r="H534" s="8"/>
      <c r="I534" s="8"/>
      <c r="J534" s="78" t="str">
        <f>IF($D534="","",
IF($E534="","",
IF($D534="MATE","",
IF(VLOOKUP($B534,'Baremos actuales'!A:D,4,FALSE)=J$9,$E534*$F534,IF(VLOOKUP($B534,'Baremos anteriores'!A:D,4,FALSE)="Sin Definir",$E534*$F534,"")))))</f>
        <v/>
      </c>
      <c r="K534" s="79" t="str">
        <f>IF($D534="","",
IF($E534="","",
IF($D534="MATE","",
IF(VLOOKUP($B534,'Baremos actuales'!$A:$D,4,FALSE)=K$9,$E534*$F534,IF(VLOOKUP($B534,'Baremos anteriores'!$A:$D,4,FALSE)="Desmonte",$E534*$F534,"")))))</f>
        <v/>
      </c>
      <c r="L534" s="80" t="str">
        <f>IF($D534="","",
IF($E534="","",
IF($D534="MATE","",
IF(VLOOKUP($B534,'Baremos actuales'!$A:$D,4,FALSE)=L$9,$E534*$F534,""))))</f>
        <v/>
      </c>
      <c r="M534" s="91" t="str">
        <f t="shared" si="8"/>
        <v/>
      </c>
      <c r="N534" s="96"/>
      <c r="O534" s="95"/>
      <c r="P534" s="96"/>
      <c r="Q534" s="98"/>
    </row>
    <row r="535" spans="1:17" ht="15.75" x14ac:dyDescent="0.2">
      <c r="A535" s="17"/>
      <c r="B535" s="18"/>
      <c r="C535" s="87" t="str">
        <f>IF(B535="","",
IF(M535=$H$5,IFERROR(VLOOKUP(B535,'Baremos actuales'!A:E,5,FALSE),"No encontrado. Revisar código, fecha ejecución y/o contrato."),
IF(M535=$H$4,IFERROR(VLOOKUP(B535,'Baremos anteriores'!A:E,5,FALSE),"No encontrado. Revisar código, fecha ejecución y/o contrato."),
IF(M535=$H$3,IFERROR(VLOOKUP(B535,#REF!,5,FALSE),"No encontrado. Revisar código, fecha ejecución y/o contrato."),
IF(D535="","Código no encontrado",
IF(D535="ERROR","No encontrado. Revisar Código, fecha de ejecución y/o contrato.",
IF(D535="MATE",
IF(C534="DESCRIPCION","NO SE PUEDE COMENZAR SIN CÓDIGO DE TAREA",
IF(C534="","FALTA CÓDIGO DE TAREA",
CONCATENATE("          ",VLOOKUP(B535,'Maestro Materiales'!A:C,3,FALSE)))),IFERROR(VLOOKUP(B535,#REF!,5,FALSE),"No encontrado. Revisar código, fecha ejecución y/o contrato."))))))))</f>
        <v/>
      </c>
      <c r="D535" s="88" t="str">
        <f>IF(B535="","",
IFERROR(VLOOKUP(B535,'Maestro Materiales'!A:C,2,FALSE),
IFERROR(VLOOKUP(B535,'Baremos actuales'!A:B,2,FALSE),
IFERROR(VLOOKUP(B535,'Baremos anteriores'!A:B,2,FALSE),
""))))</f>
        <v/>
      </c>
      <c r="E535" s="9"/>
      <c r="F535" s="89" t="str">
        <f>IF(D535="MATE",
IF(E535="","¿Unidades?",""),
IF(D535="",IF(E535="","","¿Código?"),
IF(E535="","¿Unidades?",
IF(D535="TARE",
IF(M535=$H$3,IFERROR(VLOOKUP(B535,'Baremos actuales'!A:C,3,FALSE),0),
IF(M535=$H$4,IFERROR(VLOOKUP(B535,'Baremos anteriores'!A:C,3,FALSE),0),0))))))</f>
        <v/>
      </c>
      <c r="G535" s="7"/>
      <c r="H535" s="8"/>
      <c r="I535" s="8"/>
      <c r="J535" s="78" t="str">
        <f>IF($D535="","",
IF($E535="","",
IF($D535="MATE","",
IF(VLOOKUP($B535,'Baremos actuales'!A:D,4,FALSE)=J$9,$E535*$F535,IF(VLOOKUP($B535,'Baremos anteriores'!A:D,4,FALSE)="Sin Definir",$E535*$F535,"")))))</f>
        <v/>
      </c>
      <c r="K535" s="79" t="str">
        <f>IF($D535="","",
IF($E535="","",
IF($D535="MATE","",
IF(VLOOKUP($B535,'Baremos actuales'!$A:$D,4,FALSE)=K$9,$E535*$F535,IF(VLOOKUP($B535,'Baremos anteriores'!$A:$D,4,FALSE)="Desmonte",$E535*$F535,"")))))</f>
        <v/>
      </c>
      <c r="L535" s="80" t="str">
        <f>IF($D535="","",
IF($E535="","",
IF($D535="MATE","",
IF(VLOOKUP($B535,'Baremos actuales'!$A:$D,4,FALSE)=L$9,$E535*$F535,""))))</f>
        <v/>
      </c>
      <c r="M535" s="91" t="str">
        <f t="shared" si="8"/>
        <v/>
      </c>
      <c r="N535" s="96"/>
      <c r="O535" s="95"/>
      <c r="P535" s="96"/>
      <c r="Q535" s="98"/>
    </row>
    <row r="536" spans="1:17" ht="15.75" x14ac:dyDescent="0.2">
      <c r="A536" s="17"/>
      <c r="B536" s="18"/>
      <c r="C536" s="87" t="str">
        <f>IF(B536="","",
IF(M536=$H$5,IFERROR(VLOOKUP(B536,'Baremos actuales'!A:E,5,FALSE),"No encontrado. Revisar código, fecha ejecución y/o contrato."),
IF(M536=$H$4,IFERROR(VLOOKUP(B536,'Baremos anteriores'!A:E,5,FALSE),"No encontrado. Revisar código, fecha ejecución y/o contrato."),
IF(M536=$H$3,IFERROR(VLOOKUP(B536,#REF!,5,FALSE),"No encontrado. Revisar código, fecha ejecución y/o contrato."),
IF(D536="","Código no encontrado",
IF(D536="ERROR","No encontrado. Revisar Código, fecha de ejecución y/o contrato.",
IF(D536="MATE",
IF(C535="DESCRIPCION","NO SE PUEDE COMENZAR SIN CÓDIGO DE TAREA",
IF(C535="","FALTA CÓDIGO DE TAREA",
CONCATENATE("          ",VLOOKUP(B536,'Maestro Materiales'!A:C,3,FALSE)))),IFERROR(VLOOKUP(B536,#REF!,5,FALSE),"No encontrado. Revisar código, fecha ejecución y/o contrato."))))))))</f>
        <v/>
      </c>
      <c r="D536" s="88" t="str">
        <f>IF(B536="","",
IFERROR(VLOOKUP(B536,'Maestro Materiales'!A:C,2,FALSE),
IFERROR(VLOOKUP(B536,'Baremos actuales'!A:B,2,FALSE),
IFERROR(VLOOKUP(B536,'Baremos anteriores'!A:B,2,FALSE),
""))))</f>
        <v/>
      </c>
      <c r="E536" s="9"/>
      <c r="F536" s="89" t="str">
        <f>IF(D536="MATE",
IF(E536="","¿Unidades?",""),
IF(D536="",IF(E536="","","¿Código?"),
IF(E536="","¿Unidades?",
IF(D536="TARE",
IF(M536=$H$3,IFERROR(VLOOKUP(B536,'Baremos actuales'!A:C,3,FALSE),0),
IF(M536=$H$4,IFERROR(VLOOKUP(B536,'Baremos anteriores'!A:C,3,FALSE),0),0))))))</f>
        <v/>
      </c>
      <c r="G536" s="7"/>
      <c r="H536" s="8"/>
      <c r="I536" s="8"/>
      <c r="J536" s="78" t="str">
        <f>IF($D536="","",
IF($E536="","",
IF($D536="MATE","",
IF(VLOOKUP($B536,'Baremos actuales'!A:D,4,FALSE)=J$9,$E536*$F536,IF(VLOOKUP($B536,'Baremos anteriores'!A:D,4,FALSE)="Sin Definir",$E536*$F536,"")))))</f>
        <v/>
      </c>
      <c r="K536" s="79" t="str">
        <f>IF($D536="","",
IF($E536="","",
IF($D536="MATE","",
IF(VLOOKUP($B536,'Baremos actuales'!$A:$D,4,FALSE)=K$9,$E536*$F536,IF(VLOOKUP($B536,'Baremos anteriores'!$A:$D,4,FALSE)="Desmonte",$E536*$F536,"")))))</f>
        <v/>
      </c>
      <c r="L536" s="80" t="str">
        <f>IF($D536="","",
IF($E536="","",
IF($D536="MATE","",
IF(VLOOKUP($B536,'Baremos actuales'!$A:$D,4,FALSE)=L$9,$E536*$F536,""))))</f>
        <v/>
      </c>
      <c r="M536" s="91" t="str">
        <f t="shared" si="8"/>
        <v/>
      </c>
      <c r="N536" s="96"/>
      <c r="O536" s="95"/>
      <c r="P536" s="96"/>
      <c r="Q536" s="98"/>
    </row>
    <row r="537" spans="1:17" ht="15.75" x14ac:dyDescent="0.2">
      <c r="A537" s="17"/>
      <c r="B537" s="18"/>
      <c r="C537" s="87" t="str">
        <f>IF(B537="","",
IF(M537=$H$5,IFERROR(VLOOKUP(B537,'Baremos actuales'!A:E,5,FALSE),"No encontrado. Revisar código, fecha ejecución y/o contrato."),
IF(M537=$H$4,IFERROR(VLOOKUP(B537,'Baremos anteriores'!A:E,5,FALSE),"No encontrado. Revisar código, fecha ejecución y/o contrato."),
IF(M537=$H$3,IFERROR(VLOOKUP(B537,#REF!,5,FALSE),"No encontrado. Revisar código, fecha ejecución y/o contrato."),
IF(D537="","Código no encontrado",
IF(D537="ERROR","No encontrado. Revisar Código, fecha de ejecución y/o contrato.",
IF(D537="MATE",
IF(C536="DESCRIPCION","NO SE PUEDE COMENZAR SIN CÓDIGO DE TAREA",
IF(C536="","FALTA CÓDIGO DE TAREA",
CONCATENATE("          ",VLOOKUP(B537,'Maestro Materiales'!A:C,3,FALSE)))),IFERROR(VLOOKUP(B537,#REF!,5,FALSE),"No encontrado. Revisar código, fecha ejecución y/o contrato."))))))))</f>
        <v/>
      </c>
      <c r="D537" s="88" t="str">
        <f>IF(B537="","",
IFERROR(VLOOKUP(B537,'Maestro Materiales'!A:C,2,FALSE),
IFERROR(VLOOKUP(B537,'Baremos actuales'!A:B,2,FALSE),
IFERROR(VLOOKUP(B537,'Baremos anteriores'!A:B,2,FALSE),
""))))</f>
        <v/>
      </c>
      <c r="E537" s="9"/>
      <c r="F537" s="89" t="str">
        <f>IF(D537="MATE",
IF(E537="","¿Unidades?",""),
IF(D537="",IF(E537="","","¿Código?"),
IF(E537="","¿Unidades?",
IF(D537="TARE",
IF(M537=$H$3,IFERROR(VLOOKUP(B537,'Baremos actuales'!A:C,3,FALSE),0),
IF(M537=$H$4,IFERROR(VLOOKUP(B537,'Baremos anteriores'!A:C,3,FALSE),0),0))))))</f>
        <v/>
      </c>
      <c r="G537" s="7"/>
      <c r="H537" s="8"/>
      <c r="I537" s="8"/>
      <c r="J537" s="78" t="str">
        <f>IF($D537="","",
IF($E537="","",
IF($D537="MATE","",
IF(VLOOKUP($B537,'Baremos actuales'!A:D,4,FALSE)=J$9,$E537*$F537,IF(VLOOKUP($B537,'Baremos anteriores'!A:D,4,FALSE)="Sin Definir",$E537*$F537,"")))))</f>
        <v/>
      </c>
      <c r="K537" s="79" t="str">
        <f>IF($D537="","",
IF($E537="","",
IF($D537="MATE","",
IF(VLOOKUP($B537,'Baremos actuales'!$A:$D,4,FALSE)=K$9,$E537*$F537,IF(VLOOKUP($B537,'Baremos anteriores'!$A:$D,4,FALSE)="Desmonte",$E537*$F537,"")))))</f>
        <v/>
      </c>
      <c r="L537" s="80" t="str">
        <f>IF($D537="","",
IF($E537="","",
IF($D537="MATE","",
IF(VLOOKUP($B537,'Baremos actuales'!$A:$D,4,FALSE)=L$9,$E537*$F537,""))))</f>
        <v/>
      </c>
      <c r="M537" s="91" t="str">
        <f t="shared" si="8"/>
        <v/>
      </c>
      <c r="N537" s="96"/>
      <c r="O537" s="95"/>
      <c r="P537" s="96"/>
      <c r="Q537" s="98"/>
    </row>
    <row r="538" spans="1:17" ht="15.75" x14ac:dyDescent="0.2">
      <c r="A538" s="17"/>
      <c r="B538" s="18"/>
      <c r="C538" s="87" t="str">
        <f>IF(B538="","",
IF(M538=$H$5,IFERROR(VLOOKUP(B538,'Baremos actuales'!A:E,5,FALSE),"No encontrado. Revisar código, fecha ejecución y/o contrato."),
IF(M538=$H$4,IFERROR(VLOOKUP(B538,'Baremos anteriores'!A:E,5,FALSE),"No encontrado. Revisar código, fecha ejecución y/o contrato."),
IF(M538=$H$3,IFERROR(VLOOKUP(B538,#REF!,5,FALSE),"No encontrado. Revisar código, fecha ejecución y/o contrato."),
IF(D538="","Código no encontrado",
IF(D538="ERROR","No encontrado. Revisar Código, fecha de ejecución y/o contrato.",
IF(D538="MATE",
IF(C537="DESCRIPCION","NO SE PUEDE COMENZAR SIN CÓDIGO DE TAREA",
IF(C537="","FALTA CÓDIGO DE TAREA",
CONCATENATE("          ",VLOOKUP(B538,'Maestro Materiales'!A:C,3,FALSE)))),IFERROR(VLOOKUP(B538,#REF!,5,FALSE),"No encontrado. Revisar código, fecha ejecución y/o contrato."))))))))</f>
        <v/>
      </c>
      <c r="D538" s="88" t="str">
        <f>IF(B538="","",
IFERROR(VLOOKUP(B538,'Maestro Materiales'!A:C,2,FALSE),
IFERROR(VLOOKUP(B538,'Baremos actuales'!A:B,2,FALSE),
IFERROR(VLOOKUP(B538,'Baremos anteriores'!A:B,2,FALSE),
""))))</f>
        <v/>
      </c>
      <c r="E538" s="9"/>
      <c r="F538" s="89" t="str">
        <f>IF(D538="MATE",
IF(E538="","¿Unidades?",""),
IF(D538="",IF(E538="","","¿Código?"),
IF(E538="","¿Unidades?",
IF(D538="TARE",
IF(M538=$H$3,IFERROR(VLOOKUP(B538,'Baremos actuales'!A:C,3,FALSE),0),
IF(M538=$H$4,IFERROR(VLOOKUP(B538,'Baremos anteriores'!A:C,3,FALSE),0),0))))))</f>
        <v/>
      </c>
      <c r="G538" s="7"/>
      <c r="H538" s="8"/>
      <c r="I538" s="8"/>
      <c r="J538" s="78" t="str">
        <f>IF($D538="","",
IF($E538="","",
IF($D538="MATE","",
IF(VLOOKUP($B538,'Baremos actuales'!A:D,4,FALSE)=J$9,$E538*$F538,IF(VLOOKUP($B538,'Baremos anteriores'!A:D,4,FALSE)="Sin Definir",$E538*$F538,"")))))</f>
        <v/>
      </c>
      <c r="K538" s="79" t="str">
        <f>IF($D538="","",
IF($E538="","",
IF($D538="MATE","",
IF(VLOOKUP($B538,'Baremos actuales'!$A:$D,4,FALSE)=K$9,$E538*$F538,IF(VLOOKUP($B538,'Baremos anteriores'!$A:$D,4,FALSE)="Desmonte",$E538*$F538,"")))))</f>
        <v/>
      </c>
      <c r="L538" s="80" t="str">
        <f>IF($D538="","",
IF($E538="","",
IF($D538="MATE","",
IF(VLOOKUP($B538,'Baremos actuales'!$A:$D,4,FALSE)=L$9,$E538*$F538,""))))</f>
        <v/>
      </c>
      <c r="M538" s="91" t="str">
        <f t="shared" si="8"/>
        <v/>
      </c>
      <c r="N538" s="96"/>
      <c r="O538" s="95"/>
      <c r="P538" s="96"/>
      <c r="Q538" s="98"/>
    </row>
    <row r="539" spans="1:17" ht="15.75" x14ac:dyDescent="0.2">
      <c r="A539" s="17"/>
      <c r="B539" s="18"/>
      <c r="C539" s="87" t="str">
        <f>IF(B539="","",
IF(M539=$H$5,IFERROR(VLOOKUP(B539,'Baremos actuales'!A:E,5,FALSE),"No encontrado. Revisar código, fecha ejecución y/o contrato."),
IF(M539=$H$4,IFERROR(VLOOKUP(B539,'Baremos anteriores'!A:E,5,FALSE),"No encontrado. Revisar código, fecha ejecución y/o contrato."),
IF(M539=$H$3,IFERROR(VLOOKUP(B539,#REF!,5,FALSE),"No encontrado. Revisar código, fecha ejecución y/o contrato."),
IF(D539="","Código no encontrado",
IF(D539="ERROR","No encontrado. Revisar Código, fecha de ejecución y/o contrato.",
IF(D539="MATE",
IF(C538="DESCRIPCION","NO SE PUEDE COMENZAR SIN CÓDIGO DE TAREA",
IF(C538="","FALTA CÓDIGO DE TAREA",
CONCATENATE("          ",VLOOKUP(B539,'Maestro Materiales'!A:C,3,FALSE)))),IFERROR(VLOOKUP(B539,#REF!,5,FALSE),"No encontrado. Revisar código, fecha ejecución y/o contrato."))))))))</f>
        <v/>
      </c>
      <c r="D539" s="88" t="str">
        <f>IF(B539="","",
IFERROR(VLOOKUP(B539,'Maestro Materiales'!A:C,2,FALSE),
IFERROR(VLOOKUP(B539,'Baremos actuales'!A:B,2,FALSE),
IFERROR(VLOOKUP(B539,'Baremos anteriores'!A:B,2,FALSE),
""))))</f>
        <v/>
      </c>
      <c r="E539" s="9"/>
      <c r="F539" s="89" t="str">
        <f>IF(D539="MATE",
IF(E539="","¿Unidades?",""),
IF(D539="",IF(E539="","","¿Código?"),
IF(E539="","¿Unidades?",
IF(D539="TARE",
IF(M539=$H$3,IFERROR(VLOOKUP(B539,'Baremos actuales'!A:C,3,FALSE),0),
IF(M539=$H$4,IFERROR(VLOOKUP(B539,'Baremos anteriores'!A:C,3,FALSE),0),0))))))</f>
        <v/>
      </c>
      <c r="G539" s="7"/>
      <c r="H539" s="8"/>
      <c r="I539" s="8"/>
      <c r="J539" s="78" t="str">
        <f>IF($D539="","",
IF($E539="","",
IF($D539="MATE","",
IF(VLOOKUP($B539,'Baremos actuales'!A:D,4,FALSE)=J$9,$E539*$F539,IF(VLOOKUP($B539,'Baremos anteriores'!A:D,4,FALSE)="Sin Definir",$E539*$F539,"")))))</f>
        <v/>
      </c>
      <c r="K539" s="79" t="str">
        <f>IF($D539="","",
IF($E539="","",
IF($D539="MATE","",
IF(VLOOKUP($B539,'Baremos actuales'!$A:$D,4,FALSE)=K$9,$E539*$F539,IF(VLOOKUP($B539,'Baremos anteriores'!$A:$D,4,FALSE)="Desmonte",$E539*$F539,"")))))</f>
        <v/>
      </c>
      <c r="L539" s="80" t="str">
        <f>IF($D539="","",
IF($E539="","",
IF($D539="MATE","",
IF(VLOOKUP($B539,'Baremos actuales'!$A:$D,4,FALSE)=L$9,$E539*$F539,""))))</f>
        <v/>
      </c>
      <c r="M539" s="91" t="str">
        <f t="shared" si="8"/>
        <v/>
      </c>
      <c r="N539" s="96"/>
      <c r="O539" s="95"/>
      <c r="P539" s="96"/>
      <c r="Q539" s="98"/>
    </row>
    <row r="540" spans="1:17" ht="15.75" x14ac:dyDescent="0.2">
      <c r="A540" s="17"/>
      <c r="B540" s="18"/>
      <c r="C540" s="87" t="str">
        <f>IF(B540="","",
IF(M540=$H$5,IFERROR(VLOOKUP(B540,'Baremos actuales'!A:E,5,FALSE),"No encontrado. Revisar código, fecha ejecución y/o contrato."),
IF(M540=$H$4,IFERROR(VLOOKUP(B540,'Baremos anteriores'!A:E,5,FALSE),"No encontrado. Revisar código, fecha ejecución y/o contrato."),
IF(M540=$H$3,IFERROR(VLOOKUP(B540,#REF!,5,FALSE),"No encontrado. Revisar código, fecha ejecución y/o contrato."),
IF(D540="","Código no encontrado",
IF(D540="ERROR","No encontrado. Revisar Código, fecha de ejecución y/o contrato.",
IF(D540="MATE",
IF(C539="DESCRIPCION","NO SE PUEDE COMENZAR SIN CÓDIGO DE TAREA",
IF(C539="","FALTA CÓDIGO DE TAREA",
CONCATENATE("          ",VLOOKUP(B540,'Maestro Materiales'!A:C,3,FALSE)))),IFERROR(VLOOKUP(B540,#REF!,5,FALSE),"No encontrado. Revisar código, fecha ejecución y/o contrato."))))))))</f>
        <v/>
      </c>
      <c r="D540" s="88" t="str">
        <f>IF(B540="","",
IFERROR(VLOOKUP(B540,'Maestro Materiales'!A:C,2,FALSE),
IFERROR(VLOOKUP(B540,'Baremos actuales'!A:B,2,FALSE),
IFERROR(VLOOKUP(B540,'Baremos anteriores'!A:B,2,FALSE),
""))))</f>
        <v/>
      </c>
      <c r="E540" s="9"/>
      <c r="F540" s="89" t="str">
        <f>IF(D540="MATE",
IF(E540="","¿Unidades?",""),
IF(D540="",IF(E540="","","¿Código?"),
IF(E540="","¿Unidades?",
IF(D540="TARE",
IF(M540=$H$3,IFERROR(VLOOKUP(B540,'Baremos actuales'!A:C,3,FALSE),0),
IF(M540=$H$4,IFERROR(VLOOKUP(B540,'Baremos anteriores'!A:C,3,FALSE),0),0))))))</f>
        <v/>
      </c>
      <c r="G540" s="7"/>
      <c r="H540" s="8"/>
      <c r="I540" s="8"/>
      <c r="J540" s="78" t="str">
        <f>IF($D540="","",
IF($E540="","",
IF($D540="MATE","",
IF(VLOOKUP($B540,'Baremos actuales'!A:D,4,FALSE)=J$9,$E540*$F540,IF(VLOOKUP($B540,'Baremos anteriores'!A:D,4,FALSE)="Sin Definir",$E540*$F540,"")))))</f>
        <v/>
      </c>
      <c r="K540" s="79" t="str">
        <f>IF($D540="","",
IF($E540="","",
IF($D540="MATE","",
IF(VLOOKUP($B540,'Baremos actuales'!$A:$D,4,FALSE)=K$9,$E540*$F540,IF(VLOOKUP($B540,'Baremos anteriores'!$A:$D,4,FALSE)="Desmonte",$E540*$F540,"")))))</f>
        <v/>
      </c>
      <c r="L540" s="80" t="str">
        <f>IF($D540="","",
IF($E540="","",
IF($D540="MATE","",
IF(VLOOKUP($B540,'Baremos actuales'!$A:$D,4,FALSE)=L$9,$E540*$F540,""))))</f>
        <v/>
      </c>
      <c r="M540" s="91" t="str">
        <f t="shared" si="8"/>
        <v/>
      </c>
      <c r="N540" s="96"/>
      <c r="O540" s="95"/>
      <c r="P540" s="96"/>
      <c r="Q540" s="98"/>
    </row>
    <row r="541" spans="1:17" ht="15.75" x14ac:dyDescent="0.2">
      <c r="A541" s="17"/>
      <c r="B541" s="18"/>
      <c r="C541" s="87" t="str">
        <f>IF(B541="","",
IF(M541=$H$5,IFERROR(VLOOKUP(B541,'Baremos actuales'!A:E,5,FALSE),"No encontrado. Revisar código, fecha ejecución y/o contrato."),
IF(M541=$H$4,IFERROR(VLOOKUP(B541,'Baremos anteriores'!A:E,5,FALSE),"No encontrado. Revisar código, fecha ejecución y/o contrato."),
IF(M541=$H$3,IFERROR(VLOOKUP(B541,#REF!,5,FALSE),"No encontrado. Revisar código, fecha ejecución y/o contrato."),
IF(D541="","Código no encontrado",
IF(D541="ERROR","No encontrado. Revisar Código, fecha de ejecución y/o contrato.",
IF(D541="MATE",
IF(C540="DESCRIPCION","NO SE PUEDE COMENZAR SIN CÓDIGO DE TAREA",
IF(C540="","FALTA CÓDIGO DE TAREA",
CONCATENATE("          ",VLOOKUP(B541,'Maestro Materiales'!A:C,3,FALSE)))),IFERROR(VLOOKUP(B541,#REF!,5,FALSE),"No encontrado. Revisar código, fecha ejecución y/o contrato."))))))))</f>
        <v/>
      </c>
      <c r="D541" s="88" t="str">
        <f>IF(B541="","",
IFERROR(VLOOKUP(B541,'Maestro Materiales'!A:C,2,FALSE),
IFERROR(VLOOKUP(B541,'Baremos actuales'!A:B,2,FALSE),
IFERROR(VLOOKUP(B541,'Baremos anteriores'!A:B,2,FALSE),
""))))</f>
        <v/>
      </c>
      <c r="E541" s="9"/>
      <c r="F541" s="89" t="str">
        <f>IF(D541="MATE",
IF(E541="","¿Unidades?",""),
IF(D541="",IF(E541="","","¿Código?"),
IF(E541="","¿Unidades?",
IF(D541="TARE",
IF(M541=$H$3,IFERROR(VLOOKUP(B541,'Baremos actuales'!A:C,3,FALSE),0),
IF(M541=$H$4,IFERROR(VLOOKUP(B541,'Baremos anteriores'!A:C,3,FALSE),0),0))))))</f>
        <v/>
      </c>
      <c r="G541" s="7"/>
      <c r="H541" s="8"/>
      <c r="I541" s="8"/>
      <c r="J541" s="78" t="str">
        <f>IF($D541="","",
IF($E541="","",
IF($D541="MATE","",
IF(VLOOKUP($B541,'Baremos actuales'!A:D,4,FALSE)=J$9,$E541*$F541,IF(VLOOKUP($B541,'Baremos anteriores'!A:D,4,FALSE)="Sin Definir",$E541*$F541,"")))))</f>
        <v/>
      </c>
      <c r="K541" s="79" t="str">
        <f>IF($D541="","",
IF($E541="","",
IF($D541="MATE","",
IF(VLOOKUP($B541,'Baremos actuales'!$A:$D,4,FALSE)=K$9,$E541*$F541,IF(VLOOKUP($B541,'Baremos anteriores'!$A:$D,4,FALSE)="Desmonte",$E541*$F541,"")))))</f>
        <v/>
      </c>
      <c r="L541" s="80" t="str">
        <f>IF($D541="","",
IF($E541="","",
IF($D541="MATE","",
IF(VLOOKUP($B541,'Baremos actuales'!$A:$D,4,FALSE)=L$9,$E541*$F541,""))))</f>
        <v/>
      </c>
      <c r="M541" s="91" t="str">
        <f t="shared" si="8"/>
        <v/>
      </c>
      <c r="N541" s="96"/>
      <c r="O541" s="95"/>
      <c r="P541" s="96"/>
      <c r="Q541" s="98"/>
    </row>
    <row r="542" spans="1:17" ht="15.75" x14ac:dyDescent="0.2">
      <c r="A542" s="17"/>
      <c r="B542" s="18"/>
      <c r="C542" s="87" t="str">
        <f>IF(B542="","",
IF(M542=$H$5,IFERROR(VLOOKUP(B542,'Baremos actuales'!A:E,5,FALSE),"No encontrado. Revisar código, fecha ejecución y/o contrato."),
IF(M542=$H$4,IFERROR(VLOOKUP(B542,'Baremos anteriores'!A:E,5,FALSE),"No encontrado. Revisar código, fecha ejecución y/o contrato."),
IF(M542=$H$3,IFERROR(VLOOKUP(B542,#REF!,5,FALSE),"No encontrado. Revisar código, fecha ejecución y/o contrato."),
IF(D542="","Código no encontrado",
IF(D542="ERROR","No encontrado. Revisar Código, fecha de ejecución y/o contrato.",
IF(D542="MATE",
IF(C541="DESCRIPCION","NO SE PUEDE COMENZAR SIN CÓDIGO DE TAREA",
IF(C541="","FALTA CÓDIGO DE TAREA",
CONCATENATE("          ",VLOOKUP(B542,'Maestro Materiales'!A:C,3,FALSE)))),IFERROR(VLOOKUP(B542,#REF!,5,FALSE),"No encontrado. Revisar código, fecha ejecución y/o contrato."))))))))</f>
        <v/>
      </c>
      <c r="D542" s="88" t="str">
        <f>IF(B542="","",
IFERROR(VLOOKUP(B542,'Maestro Materiales'!A:C,2,FALSE),
IFERROR(VLOOKUP(B542,'Baremos actuales'!A:B,2,FALSE),
IFERROR(VLOOKUP(B542,'Baremos anteriores'!A:B,2,FALSE),
""))))</f>
        <v/>
      </c>
      <c r="E542" s="9"/>
      <c r="F542" s="89" t="str">
        <f>IF(D542="MATE",
IF(E542="","¿Unidades?",""),
IF(D542="",IF(E542="","","¿Código?"),
IF(E542="","¿Unidades?",
IF(D542="TARE",
IF(M542=$H$3,IFERROR(VLOOKUP(B542,'Baremos actuales'!A:C,3,FALSE),0),
IF(M542=$H$4,IFERROR(VLOOKUP(B542,'Baremos anteriores'!A:C,3,FALSE),0),0))))))</f>
        <v/>
      </c>
      <c r="G542" s="7"/>
      <c r="H542" s="8"/>
      <c r="I542" s="8"/>
      <c r="J542" s="78" t="str">
        <f>IF($D542="","",
IF($E542="","",
IF($D542="MATE","",
IF(VLOOKUP($B542,'Baremos actuales'!A:D,4,FALSE)=J$9,$E542*$F542,IF(VLOOKUP($B542,'Baremos anteriores'!A:D,4,FALSE)="Sin Definir",$E542*$F542,"")))))</f>
        <v/>
      </c>
      <c r="K542" s="79" t="str">
        <f>IF($D542="","",
IF($E542="","",
IF($D542="MATE","",
IF(VLOOKUP($B542,'Baremos actuales'!$A:$D,4,FALSE)=K$9,$E542*$F542,IF(VLOOKUP($B542,'Baremos anteriores'!$A:$D,4,FALSE)="Desmonte",$E542*$F542,"")))))</f>
        <v/>
      </c>
      <c r="L542" s="80" t="str">
        <f>IF($D542="","",
IF($E542="","",
IF($D542="MATE","",
IF(VLOOKUP($B542,'Baremos actuales'!$A:$D,4,FALSE)=L$9,$E542*$F542,""))))</f>
        <v/>
      </c>
      <c r="M542" s="91" t="str">
        <f t="shared" si="8"/>
        <v/>
      </c>
      <c r="N542" s="96"/>
      <c r="O542" s="95"/>
      <c r="P542" s="96"/>
      <c r="Q542" s="98"/>
    </row>
    <row r="543" spans="1:17" ht="15.75" x14ac:dyDescent="0.2">
      <c r="A543" s="17"/>
      <c r="B543" s="18"/>
      <c r="C543" s="87" t="str">
        <f>IF(B543="","",
IF(M543=$H$5,IFERROR(VLOOKUP(B543,'Baremos actuales'!A:E,5,FALSE),"No encontrado. Revisar código, fecha ejecución y/o contrato."),
IF(M543=$H$4,IFERROR(VLOOKUP(B543,'Baremos anteriores'!A:E,5,FALSE),"No encontrado. Revisar código, fecha ejecución y/o contrato."),
IF(M543=$H$3,IFERROR(VLOOKUP(B543,#REF!,5,FALSE),"No encontrado. Revisar código, fecha ejecución y/o contrato."),
IF(D543="","Código no encontrado",
IF(D543="ERROR","No encontrado. Revisar Código, fecha de ejecución y/o contrato.",
IF(D543="MATE",
IF(C542="DESCRIPCION","NO SE PUEDE COMENZAR SIN CÓDIGO DE TAREA",
IF(C542="","FALTA CÓDIGO DE TAREA",
CONCATENATE("          ",VLOOKUP(B543,'Maestro Materiales'!A:C,3,FALSE)))),IFERROR(VLOOKUP(B543,#REF!,5,FALSE),"No encontrado. Revisar código, fecha ejecución y/o contrato."))))))))</f>
        <v/>
      </c>
      <c r="D543" s="88" t="str">
        <f>IF(B543="","",
IFERROR(VLOOKUP(B543,'Maestro Materiales'!A:C,2,FALSE),
IFERROR(VLOOKUP(B543,'Baremos actuales'!A:B,2,FALSE),
IFERROR(VLOOKUP(B543,'Baremos anteriores'!A:B,2,FALSE),
""))))</f>
        <v/>
      </c>
      <c r="E543" s="9"/>
      <c r="F543" s="89" t="str">
        <f>IF(D543="MATE",
IF(E543="","¿Unidades?",""),
IF(D543="",IF(E543="","","¿Código?"),
IF(E543="","¿Unidades?",
IF(D543="TARE",
IF(M543=$H$3,IFERROR(VLOOKUP(B543,'Baremos actuales'!A:C,3,FALSE),0),
IF(M543=$H$4,IFERROR(VLOOKUP(B543,'Baremos anteriores'!A:C,3,FALSE),0),0))))))</f>
        <v/>
      </c>
      <c r="G543" s="7"/>
      <c r="H543" s="8"/>
      <c r="I543" s="8"/>
      <c r="J543" s="78" t="str">
        <f>IF($D543="","",
IF($E543="","",
IF($D543="MATE","",
IF(VLOOKUP($B543,'Baremos actuales'!A:D,4,FALSE)=J$9,$E543*$F543,IF(VLOOKUP($B543,'Baremos anteriores'!A:D,4,FALSE)="Sin Definir",$E543*$F543,"")))))</f>
        <v/>
      </c>
      <c r="K543" s="79" t="str">
        <f>IF($D543="","",
IF($E543="","",
IF($D543="MATE","",
IF(VLOOKUP($B543,'Baremos actuales'!$A:$D,4,FALSE)=K$9,$E543*$F543,IF(VLOOKUP($B543,'Baremos anteriores'!$A:$D,4,FALSE)="Desmonte",$E543*$F543,"")))))</f>
        <v/>
      </c>
      <c r="L543" s="80" t="str">
        <f>IF($D543="","",
IF($E543="","",
IF($D543="MATE","",
IF(VLOOKUP($B543,'Baremos actuales'!$A:$D,4,FALSE)=L$9,$E543*$F543,""))))</f>
        <v/>
      </c>
      <c r="M543" s="91" t="str">
        <f t="shared" si="8"/>
        <v/>
      </c>
      <c r="N543" s="96"/>
      <c r="O543" s="95"/>
      <c r="P543" s="96"/>
      <c r="Q543" s="98"/>
    </row>
    <row r="544" spans="1:17" ht="15.75" x14ac:dyDescent="0.2">
      <c r="A544" s="17"/>
      <c r="B544" s="18"/>
      <c r="C544" s="87" t="str">
        <f>IF(B544="","",
IF(M544=$H$5,IFERROR(VLOOKUP(B544,'Baremos actuales'!A:E,5,FALSE),"No encontrado. Revisar código, fecha ejecución y/o contrato."),
IF(M544=$H$4,IFERROR(VLOOKUP(B544,'Baremos anteriores'!A:E,5,FALSE),"No encontrado. Revisar código, fecha ejecución y/o contrato."),
IF(M544=$H$3,IFERROR(VLOOKUP(B544,#REF!,5,FALSE),"No encontrado. Revisar código, fecha ejecución y/o contrato."),
IF(D544="","Código no encontrado",
IF(D544="ERROR","No encontrado. Revisar Código, fecha de ejecución y/o contrato.",
IF(D544="MATE",
IF(C543="DESCRIPCION","NO SE PUEDE COMENZAR SIN CÓDIGO DE TAREA",
IF(C543="","FALTA CÓDIGO DE TAREA",
CONCATENATE("          ",VLOOKUP(B544,'Maestro Materiales'!A:C,3,FALSE)))),IFERROR(VLOOKUP(B544,#REF!,5,FALSE),"No encontrado. Revisar código, fecha ejecución y/o contrato."))))))))</f>
        <v/>
      </c>
      <c r="D544" s="88" t="str">
        <f>IF(B544="","",
IFERROR(VLOOKUP(B544,'Maestro Materiales'!A:C,2,FALSE),
IFERROR(VLOOKUP(B544,'Baremos actuales'!A:B,2,FALSE),
IFERROR(VLOOKUP(B544,'Baremos anteriores'!A:B,2,FALSE),
""))))</f>
        <v/>
      </c>
      <c r="E544" s="9"/>
      <c r="F544" s="89" t="str">
        <f>IF(D544="MATE",
IF(E544="","¿Unidades?",""),
IF(D544="",IF(E544="","","¿Código?"),
IF(E544="","¿Unidades?",
IF(D544="TARE",
IF(M544=$H$3,IFERROR(VLOOKUP(B544,'Baremos actuales'!A:C,3,FALSE),0),
IF(M544=$H$4,IFERROR(VLOOKUP(B544,'Baremos anteriores'!A:C,3,FALSE),0),0))))))</f>
        <v/>
      </c>
      <c r="G544" s="7"/>
      <c r="H544" s="8"/>
      <c r="I544" s="8"/>
      <c r="J544" s="78" t="str">
        <f>IF($D544="","",
IF($E544="","",
IF($D544="MATE","",
IF(VLOOKUP($B544,'Baremos actuales'!A:D,4,FALSE)=J$9,$E544*$F544,IF(VLOOKUP($B544,'Baremos anteriores'!A:D,4,FALSE)="Sin Definir",$E544*$F544,"")))))</f>
        <v/>
      </c>
      <c r="K544" s="79" t="str">
        <f>IF($D544="","",
IF($E544="","",
IF($D544="MATE","",
IF(VLOOKUP($B544,'Baremos actuales'!$A:$D,4,FALSE)=K$9,$E544*$F544,IF(VLOOKUP($B544,'Baremos anteriores'!$A:$D,4,FALSE)="Desmonte",$E544*$F544,"")))))</f>
        <v/>
      </c>
      <c r="L544" s="80" t="str">
        <f>IF($D544="","",
IF($E544="","",
IF($D544="MATE","",
IF(VLOOKUP($B544,'Baremos actuales'!$A:$D,4,FALSE)=L$9,$E544*$F544,""))))</f>
        <v/>
      </c>
      <c r="M544" s="91" t="str">
        <f t="shared" si="8"/>
        <v/>
      </c>
      <c r="N544" s="96"/>
      <c r="O544" s="95"/>
      <c r="P544" s="96"/>
      <c r="Q544" s="98"/>
    </row>
    <row r="545" spans="1:17" ht="15.75" x14ac:dyDescent="0.2">
      <c r="A545" s="17"/>
      <c r="B545" s="18"/>
      <c r="C545" s="87" t="str">
        <f>IF(B545="","",
IF(M545=$H$5,IFERROR(VLOOKUP(B545,'Baremos actuales'!A:E,5,FALSE),"No encontrado. Revisar código, fecha ejecución y/o contrato."),
IF(M545=$H$4,IFERROR(VLOOKUP(B545,'Baremos anteriores'!A:E,5,FALSE),"No encontrado. Revisar código, fecha ejecución y/o contrato."),
IF(M545=$H$3,IFERROR(VLOOKUP(B545,#REF!,5,FALSE),"No encontrado. Revisar código, fecha ejecución y/o contrato."),
IF(D545="","Código no encontrado",
IF(D545="ERROR","No encontrado. Revisar Código, fecha de ejecución y/o contrato.",
IF(D545="MATE",
IF(C544="DESCRIPCION","NO SE PUEDE COMENZAR SIN CÓDIGO DE TAREA",
IF(C544="","FALTA CÓDIGO DE TAREA",
CONCATENATE("          ",VLOOKUP(B545,'Maestro Materiales'!A:C,3,FALSE)))),IFERROR(VLOOKUP(B545,#REF!,5,FALSE),"No encontrado. Revisar código, fecha ejecución y/o contrato."))))))))</f>
        <v/>
      </c>
      <c r="D545" s="88" t="str">
        <f>IF(B545="","",
IFERROR(VLOOKUP(B545,'Maestro Materiales'!A:C,2,FALSE),
IFERROR(VLOOKUP(B545,'Baremos actuales'!A:B,2,FALSE),
IFERROR(VLOOKUP(B545,'Baremos anteriores'!A:B,2,FALSE),
""))))</f>
        <v/>
      </c>
      <c r="E545" s="9"/>
      <c r="F545" s="89" t="str">
        <f>IF(D545="MATE",
IF(E545="","¿Unidades?",""),
IF(D545="",IF(E545="","","¿Código?"),
IF(E545="","¿Unidades?",
IF(D545="TARE",
IF(M545=$H$3,IFERROR(VLOOKUP(B545,'Baremos actuales'!A:C,3,FALSE),0),
IF(M545=$H$4,IFERROR(VLOOKUP(B545,'Baremos anteriores'!A:C,3,FALSE),0),0))))))</f>
        <v/>
      </c>
      <c r="G545" s="7"/>
      <c r="H545" s="8"/>
      <c r="I545" s="8"/>
      <c r="J545" s="78" t="str">
        <f>IF($D545="","",
IF($E545="","",
IF($D545="MATE","",
IF(VLOOKUP($B545,'Baremos actuales'!A:D,4,FALSE)=J$9,$E545*$F545,IF(VLOOKUP($B545,'Baremos anteriores'!A:D,4,FALSE)="Sin Definir",$E545*$F545,"")))))</f>
        <v/>
      </c>
      <c r="K545" s="79" t="str">
        <f>IF($D545="","",
IF($E545="","",
IF($D545="MATE","",
IF(VLOOKUP($B545,'Baremos actuales'!$A:$D,4,FALSE)=K$9,$E545*$F545,IF(VLOOKUP($B545,'Baremos anteriores'!$A:$D,4,FALSE)="Desmonte",$E545*$F545,"")))))</f>
        <v/>
      </c>
      <c r="L545" s="80" t="str">
        <f>IF($D545="","",
IF($E545="","",
IF($D545="MATE","",
IF(VLOOKUP($B545,'Baremos actuales'!$A:$D,4,FALSE)=L$9,$E545*$F545,""))))</f>
        <v/>
      </c>
      <c r="M545" s="91" t="str">
        <f t="shared" si="8"/>
        <v/>
      </c>
      <c r="N545" s="96"/>
      <c r="O545" s="95"/>
      <c r="P545" s="96"/>
      <c r="Q545" s="98"/>
    </row>
    <row r="546" spans="1:17" ht="15.75" x14ac:dyDescent="0.2">
      <c r="A546" s="17"/>
      <c r="B546" s="18"/>
      <c r="C546" s="87" t="str">
        <f>IF(B546="","",
IF(M546=$H$5,IFERROR(VLOOKUP(B546,'Baremos actuales'!A:E,5,FALSE),"No encontrado. Revisar código, fecha ejecución y/o contrato."),
IF(M546=$H$4,IFERROR(VLOOKUP(B546,'Baremos anteriores'!A:E,5,FALSE),"No encontrado. Revisar código, fecha ejecución y/o contrato."),
IF(M546=$H$3,IFERROR(VLOOKUP(B546,#REF!,5,FALSE),"No encontrado. Revisar código, fecha ejecución y/o contrato."),
IF(D546="","Código no encontrado",
IF(D546="ERROR","No encontrado. Revisar Código, fecha de ejecución y/o contrato.",
IF(D546="MATE",
IF(C545="DESCRIPCION","NO SE PUEDE COMENZAR SIN CÓDIGO DE TAREA",
IF(C545="","FALTA CÓDIGO DE TAREA",
CONCATENATE("          ",VLOOKUP(B546,'Maestro Materiales'!A:C,3,FALSE)))),IFERROR(VLOOKUP(B546,#REF!,5,FALSE),"No encontrado. Revisar código, fecha ejecución y/o contrato."))))))))</f>
        <v/>
      </c>
      <c r="D546" s="88" t="str">
        <f>IF(B546="","",
IFERROR(VLOOKUP(B546,'Maestro Materiales'!A:C,2,FALSE),
IFERROR(VLOOKUP(B546,'Baremos actuales'!A:B,2,FALSE),
IFERROR(VLOOKUP(B546,'Baremos anteriores'!A:B,2,FALSE),
""))))</f>
        <v/>
      </c>
      <c r="E546" s="9"/>
      <c r="F546" s="89" t="str">
        <f>IF(D546="MATE",
IF(E546="","¿Unidades?",""),
IF(D546="",IF(E546="","","¿Código?"),
IF(E546="","¿Unidades?",
IF(D546="TARE",
IF(M546=$H$3,IFERROR(VLOOKUP(B546,'Baremos actuales'!A:C,3,FALSE),0),
IF(M546=$H$4,IFERROR(VLOOKUP(B546,'Baremos anteriores'!A:C,3,FALSE),0),0))))))</f>
        <v/>
      </c>
      <c r="G546" s="7"/>
      <c r="H546" s="8"/>
      <c r="I546" s="8"/>
      <c r="J546" s="78" t="str">
        <f>IF($D546="","",
IF($E546="","",
IF($D546="MATE","",
IF(VLOOKUP($B546,'Baremos actuales'!A:D,4,FALSE)=J$9,$E546*$F546,IF(VLOOKUP($B546,'Baremos anteriores'!A:D,4,FALSE)="Sin Definir",$E546*$F546,"")))))</f>
        <v/>
      </c>
      <c r="K546" s="79" t="str">
        <f>IF($D546="","",
IF($E546="","",
IF($D546="MATE","",
IF(VLOOKUP($B546,'Baremos actuales'!$A:$D,4,FALSE)=K$9,$E546*$F546,IF(VLOOKUP($B546,'Baremos anteriores'!$A:$D,4,FALSE)="Desmonte",$E546*$F546,"")))))</f>
        <v/>
      </c>
      <c r="L546" s="80" t="str">
        <f>IF($D546="","",
IF($E546="","",
IF($D546="MATE","",
IF(VLOOKUP($B546,'Baremos actuales'!$A:$D,4,FALSE)=L$9,$E546*$F546,""))))</f>
        <v/>
      </c>
      <c r="M546" s="91" t="str">
        <f t="shared" si="8"/>
        <v/>
      </c>
      <c r="N546" s="96"/>
      <c r="O546" s="95"/>
      <c r="P546" s="96"/>
      <c r="Q546" s="98"/>
    </row>
    <row r="547" spans="1:17" ht="15.75" x14ac:dyDescent="0.2">
      <c r="A547" s="17"/>
      <c r="B547" s="18"/>
      <c r="C547" s="87" t="str">
        <f>IF(B547="","",
IF(M547=$H$5,IFERROR(VLOOKUP(B547,'Baremos actuales'!A:E,5,FALSE),"No encontrado. Revisar código, fecha ejecución y/o contrato."),
IF(M547=$H$4,IFERROR(VLOOKUP(B547,'Baremos anteriores'!A:E,5,FALSE),"No encontrado. Revisar código, fecha ejecución y/o contrato."),
IF(M547=$H$3,IFERROR(VLOOKUP(B547,#REF!,5,FALSE),"No encontrado. Revisar código, fecha ejecución y/o contrato."),
IF(D547="","Código no encontrado",
IF(D547="ERROR","No encontrado. Revisar Código, fecha de ejecución y/o contrato.",
IF(D547="MATE",
IF(C546="DESCRIPCION","NO SE PUEDE COMENZAR SIN CÓDIGO DE TAREA",
IF(C546="","FALTA CÓDIGO DE TAREA",
CONCATENATE("          ",VLOOKUP(B547,'Maestro Materiales'!A:C,3,FALSE)))),IFERROR(VLOOKUP(B547,#REF!,5,FALSE),"No encontrado. Revisar código, fecha ejecución y/o contrato."))))))))</f>
        <v/>
      </c>
      <c r="D547" s="88" t="str">
        <f>IF(B547="","",
IFERROR(VLOOKUP(B547,'Maestro Materiales'!A:C,2,FALSE),
IFERROR(VLOOKUP(B547,'Baremos actuales'!A:B,2,FALSE),
IFERROR(VLOOKUP(B547,'Baremos anteriores'!A:B,2,FALSE),
""))))</f>
        <v/>
      </c>
      <c r="E547" s="9"/>
      <c r="F547" s="89" t="str">
        <f>IF(D547="MATE",
IF(E547="","¿Unidades?",""),
IF(D547="",IF(E547="","","¿Código?"),
IF(E547="","¿Unidades?",
IF(D547="TARE",
IF(M547=$H$3,IFERROR(VLOOKUP(B547,'Baremos actuales'!A:C,3,FALSE),0),
IF(M547=$H$4,IFERROR(VLOOKUP(B547,'Baremos anteriores'!A:C,3,FALSE),0),0))))))</f>
        <v/>
      </c>
      <c r="G547" s="7"/>
      <c r="H547" s="8"/>
      <c r="I547" s="8"/>
      <c r="J547" s="78" t="str">
        <f>IF($D547="","",
IF($E547="","",
IF($D547="MATE","",
IF(VLOOKUP($B547,'Baremos actuales'!A:D,4,FALSE)=J$9,$E547*$F547,IF(VLOOKUP($B547,'Baremos anteriores'!A:D,4,FALSE)="Sin Definir",$E547*$F547,"")))))</f>
        <v/>
      </c>
      <c r="K547" s="79" t="str">
        <f>IF($D547="","",
IF($E547="","",
IF($D547="MATE","",
IF(VLOOKUP($B547,'Baremos actuales'!$A:$D,4,FALSE)=K$9,$E547*$F547,IF(VLOOKUP($B547,'Baremos anteriores'!$A:$D,4,FALSE)="Desmonte",$E547*$F547,"")))))</f>
        <v/>
      </c>
      <c r="L547" s="80" t="str">
        <f>IF($D547="","",
IF($E547="","",
IF($D547="MATE","",
IF(VLOOKUP($B547,'Baremos actuales'!$A:$D,4,FALSE)=L$9,$E547*$F547,""))))</f>
        <v/>
      </c>
      <c r="M547" s="91" t="str">
        <f t="shared" si="8"/>
        <v/>
      </c>
      <c r="N547" s="96"/>
      <c r="O547" s="95"/>
      <c r="P547" s="96"/>
      <c r="Q547" s="98"/>
    </row>
    <row r="548" spans="1:17" ht="15.75" x14ac:dyDescent="0.2">
      <c r="A548" s="17"/>
      <c r="B548" s="18"/>
      <c r="C548" s="87" t="str">
        <f>IF(B548="","",
IF(M548=$H$5,IFERROR(VLOOKUP(B548,'Baremos actuales'!A:E,5,FALSE),"No encontrado. Revisar código, fecha ejecución y/o contrato."),
IF(M548=$H$4,IFERROR(VLOOKUP(B548,'Baremos anteriores'!A:E,5,FALSE),"No encontrado. Revisar código, fecha ejecución y/o contrato."),
IF(M548=$H$3,IFERROR(VLOOKUP(B548,#REF!,5,FALSE),"No encontrado. Revisar código, fecha ejecución y/o contrato."),
IF(D548="","Código no encontrado",
IF(D548="ERROR","No encontrado. Revisar Código, fecha de ejecución y/o contrato.",
IF(D548="MATE",
IF(C547="DESCRIPCION","NO SE PUEDE COMENZAR SIN CÓDIGO DE TAREA",
IF(C547="","FALTA CÓDIGO DE TAREA",
CONCATENATE("          ",VLOOKUP(B548,'Maestro Materiales'!A:C,3,FALSE)))),IFERROR(VLOOKUP(B548,#REF!,5,FALSE),"No encontrado. Revisar código, fecha ejecución y/o contrato."))))))))</f>
        <v/>
      </c>
      <c r="D548" s="88" t="str">
        <f>IF(B548="","",
IFERROR(VLOOKUP(B548,'Maestro Materiales'!A:C,2,FALSE),
IFERROR(VLOOKUP(B548,'Baremos actuales'!A:B,2,FALSE),
IFERROR(VLOOKUP(B548,'Baremos anteriores'!A:B,2,FALSE),
""))))</f>
        <v/>
      </c>
      <c r="E548" s="9"/>
      <c r="F548" s="89" t="str">
        <f>IF(D548="MATE",
IF(E548="","¿Unidades?",""),
IF(D548="",IF(E548="","","¿Código?"),
IF(E548="","¿Unidades?",
IF(D548="TARE",
IF(M548=$H$3,IFERROR(VLOOKUP(B548,'Baremos actuales'!A:C,3,FALSE),0),
IF(M548=$H$4,IFERROR(VLOOKUP(B548,'Baremos anteriores'!A:C,3,FALSE),0),0))))))</f>
        <v/>
      </c>
      <c r="G548" s="7"/>
      <c r="H548" s="8"/>
      <c r="I548" s="8"/>
      <c r="J548" s="78" t="str">
        <f>IF($D548="","",
IF($E548="","",
IF($D548="MATE","",
IF(VLOOKUP($B548,'Baremos actuales'!A:D,4,FALSE)=J$9,$E548*$F548,IF(VLOOKUP($B548,'Baremos anteriores'!A:D,4,FALSE)="Sin Definir",$E548*$F548,"")))))</f>
        <v/>
      </c>
      <c r="K548" s="79" t="str">
        <f>IF($D548="","",
IF($E548="","",
IF($D548="MATE","",
IF(VLOOKUP($B548,'Baremos actuales'!$A:$D,4,FALSE)=K$9,$E548*$F548,IF(VLOOKUP($B548,'Baremos anteriores'!$A:$D,4,FALSE)="Desmonte",$E548*$F548,"")))))</f>
        <v/>
      </c>
      <c r="L548" s="80" t="str">
        <f>IF($D548="","",
IF($E548="","",
IF($D548="MATE","",
IF(VLOOKUP($B548,'Baremos actuales'!$A:$D,4,FALSE)=L$9,$E548*$F548,""))))</f>
        <v/>
      </c>
      <c r="M548" s="91" t="str">
        <f t="shared" si="8"/>
        <v/>
      </c>
      <c r="N548" s="96"/>
      <c r="O548" s="95"/>
      <c r="P548" s="96"/>
      <c r="Q548" s="98"/>
    </row>
    <row r="549" spans="1:17" ht="15.75" x14ac:dyDescent="0.2">
      <c r="A549" s="17"/>
      <c r="B549" s="18"/>
      <c r="C549" s="87" t="str">
        <f>IF(B549="","",
IF(M549=$H$5,IFERROR(VLOOKUP(B549,'Baremos actuales'!A:E,5,FALSE),"No encontrado. Revisar código, fecha ejecución y/o contrato."),
IF(M549=$H$4,IFERROR(VLOOKUP(B549,'Baremos anteriores'!A:E,5,FALSE),"No encontrado. Revisar código, fecha ejecución y/o contrato."),
IF(M549=$H$3,IFERROR(VLOOKUP(B549,#REF!,5,FALSE),"No encontrado. Revisar código, fecha ejecución y/o contrato."),
IF(D549="","Código no encontrado",
IF(D549="ERROR","No encontrado. Revisar Código, fecha de ejecución y/o contrato.",
IF(D549="MATE",
IF(C548="DESCRIPCION","NO SE PUEDE COMENZAR SIN CÓDIGO DE TAREA",
IF(C548="","FALTA CÓDIGO DE TAREA",
CONCATENATE("          ",VLOOKUP(B549,'Maestro Materiales'!A:C,3,FALSE)))),IFERROR(VLOOKUP(B549,#REF!,5,FALSE),"No encontrado. Revisar código, fecha ejecución y/o contrato."))))))))</f>
        <v/>
      </c>
      <c r="D549" s="88" t="str">
        <f>IF(B549="","",
IFERROR(VLOOKUP(B549,'Maestro Materiales'!A:C,2,FALSE),
IFERROR(VLOOKUP(B549,'Baremos actuales'!A:B,2,FALSE),
IFERROR(VLOOKUP(B549,'Baremos anteriores'!A:B,2,FALSE),
""))))</f>
        <v/>
      </c>
      <c r="E549" s="9"/>
      <c r="F549" s="89" t="str">
        <f>IF(D549="MATE",
IF(E549="","¿Unidades?",""),
IF(D549="",IF(E549="","","¿Código?"),
IF(E549="","¿Unidades?",
IF(D549="TARE",
IF(M549=$H$3,IFERROR(VLOOKUP(B549,'Baremos actuales'!A:C,3,FALSE),0),
IF(M549=$H$4,IFERROR(VLOOKUP(B549,'Baremos anteriores'!A:C,3,FALSE),0),0))))))</f>
        <v/>
      </c>
      <c r="G549" s="7"/>
      <c r="H549" s="8"/>
      <c r="I549" s="8"/>
      <c r="J549" s="78" t="str">
        <f>IF($D549="","",
IF($E549="","",
IF($D549="MATE","",
IF(VLOOKUP($B549,'Baremos actuales'!A:D,4,FALSE)=J$9,$E549*$F549,IF(VLOOKUP($B549,'Baremos anteriores'!A:D,4,FALSE)="Sin Definir",$E549*$F549,"")))))</f>
        <v/>
      </c>
      <c r="K549" s="79" t="str">
        <f>IF($D549="","",
IF($E549="","",
IF($D549="MATE","",
IF(VLOOKUP($B549,'Baremos actuales'!$A:$D,4,FALSE)=K$9,$E549*$F549,IF(VLOOKUP($B549,'Baremos anteriores'!$A:$D,4,FALSE)="Desmonte",$E549*$F549,"")))))</f>
        <v/>
      </c>
      <c r="L549" s="80" t="str">
        <f>IF($D549="","",
IF($E549="","",
IF($D549="MATE","",
IF(VLOOKUP($B549,'Baremos actuales'!$A:$D,4,FALSE)=L$9,$E549*$F549,""))))</f>
        <v/>
      </c>
      <c r="M549" s="91" t="str">
        <f t="shared" si="8"/>
        <v/>
      </c>
      <c r="N549" s="96"/>
      <c r="O549" s="95"/>
      <c r="P549" s="96"/>
      <c r="Q549" s="98"/>
    </row>
    <row r="550" spans="1:17" ht="15.75" x14ac:dyDescent="0.2">
      <c r="A550" s="17"/>
      <c r="B550" s="18"/>
      <c r="C550" s="87" t="str">
        <f>IF(B550="","",
IF(M550=$H$5,IFERROR(VLOOKUP(B550,'Baremos actuales'!A:E,5,FALSE),"No encontrado. Revisar código, fecha ejecución y/o contrato."),
IF(M550=$H$4,IFERROR(VLOOKUP(B550,'Baremos anteriores'!A:E,5,FALSE),"No encontrado. Revisar código, fecha ejecución y/o contrato."),
IF(M550=$H$3,IFERROR(VLOOKUP(B550,#REF!,5,FALSE),"No encontrado. Revisar código, fecha ejecución y/o contrato."),
IF(D550="","Código no encontrado",
IF(D550="ERROR","No encontrado. Revisar Código, fecha de ejecución y/o contrato.",
IF(D550="MATE",
IF(C549="DESCRIPCION","NO SE PUEDE COMENZAR SIN CÓDIGO DE TAREA",
IF(C549="","FALTA CÓDIGO DE TAREA",
CONCATENATE("          ",VLOOKUP(B550,'Maestro Materiales'!A:C,3,FALSE)))),IFERROR(VLOOKUP(B550,#REF!,5,FALSE),"No encontrado. Revisar código, fecha ejecución y/o contrato."))))))))</f>
        <v/>
      </c>
      <c r="D550" s="88" t="str">
        <f>IF(B550="","",
IFERROR(VLOOKUP(B550,'Maestro Materiales'!A:C,2,FALSE),
IFERROR(VLOOKUP(B550,'Baremos actuales'!A:B,2,FALSE),
IFERROR(VLOOKUP(B550,'Baremos anteriores'!A:B,2,FALSE),
""))))</f>
        <v/>
      </c>
      <c r="E550" s="9"/>
      <c r="F550" s="89" t="str">
        <f>IF(D550="MATE",
IF(E550="","¿Unidades?",""),
IF(D550="",IF(E550="","","¿Código?"),
IF(E550="","¿Unidades?",
IF(D550="TARE",
IF(M550=$H$3,IFERROR(VLOOKUP(B550,'Baremos actuales'!A:C,3,FALSE),0),
IF(M550=$H$4,IFERROR(VLOOKUP(B550,'Baremos anteriores'!A:C,3,FALSE),0),0))))))</f>
        <v/>
      </c>
      <c r="G550" s="7"/>
      <c r="H550" s="8"/>
      <c r="I550" s="8"/>
      <c r="J550" s="78" t="str">
        <f>IF($D550="","",
IF($E550="","",
IF($D550="MATE","",
IF(VLOOKUP($B550,'Baremos actuales'!A:D,4,FALSE)=J$9,$E550*$F550,IF(VLOOKUP($B550,'Baremos anteriores'!A:D,4,FALSE)="Sin Definir",$E550*$F550,"")))))</f>
        <v/>
      </c>
      <c r="K550" s="79" t="str">
        <f>IF($D550="","",
IF($E550="","",
IF($D550="MATE","",
IF(VLOOKUP($B550,'Baremos actuales'!$A:$D,4,FALSE)=K$9,$E550*$F550,IF(VLOOKUP($B550,'Baremos anteriores'!$A:$D,4,FALSE)="Desmonte",$E550*$F550,"")))))</f>
        <v/>
      </c>
      <c r="L550" s="80" t="str">
        <f>IF($D550="","",
IF($E550="","",
IF($D550="MATE","",
IF(VLOOKUP($B550,'Baremos actuales'!$A:$D,4,FALSE)=L$9,$E550*$F550,""))))</f>
        <v/>
      </c>
      <c r="M550" s="91" t="str">
        <f t="shared" si="8"/>
        <v/>
      </c>
      <c r="N550" s="96"/>
      <c r="O550" s="95"/>
      <c r="P550" s="96"/>
      <c r="Q550" s="98"/>
    </row>
    <row r="551" spans="1:17" ht="15.75" x14ac:dyDescent="0.2">
      <c r="A551" s="17"/>
      <c r="B551" s="18"/>
      <c r="C551" s="87" t="str">
        <f>IF(B551="","",
IF(M551=$H$5,IFERROR(VLOOKUP(B551,'Baremos actuales'!A:E,5,FALSE),"No encontrado. Revisar código, fecha ejecución y/o contrato."),
IF(M551=$H$4,IFERROR(VLOOKUP(B551,'Baremos anteriores'!A:E,5,FALSE),"No encontrado. Revisar código, fecha ejecución y/o contrato."),
IF(M551=$H$3,IFERROR(VLOOKUP(B551,#REF!,5,FALSE),"No encontrado. Revisar código, fecha ejecución y/o contrato."),
IF(D551="","Código no encontrado",
IF(D551="ERROR","No encontrado. Revisar Código, fecha de ejecución y/o contrato.",
IF(D551="MATE",
IF(C550="DESCRIPCION","NO SE PUEDE COMENZAR SIN CÓDIGO DE TAREA",
IF(C550="","FALTA CÓDIGO DE TAREA",
CONCATENATE("          ",VLOOKUP(B551,'Maestro Materiales'!A:C,3,FALSE)))),IFERROR(VLOOKUP(B551,#REF!,5,FALSE),"No encontrado. Revisar código, fecha ejecución y/o contrato."))))))))</f>
        <v/>
      </c>
      <c r="D551" s="88" t="str">
        <f>IF(B551="","",
IFERROR(VLOOKUP(B551,'Maestro Materiales'!A:C,2,FALSE),
IFERROR(VLOOKUP(B551,'Baremos actuales'!A:B,2,FALSE),
IFERROR(VLOOKUP(B551,'Baremos anteriores'!A:B,2,FALSE),
""))))</f>
        <v/>
      </c>
      <c r="E551" s="9"/>
      <c r="F551" s="89" t="str">
        <f>IF(D551="MATE",
IF(E551="","¿Unidades?",""),
IF(D551="",IF(E551="","","¿Código?"),
IF(E551="","¿Unidades?",
IF(D551="TARE",
IF(M551=$H$3,IFERROR(VLOOKUP(B551,'Baremos actuales'!A:C,3,FALSE),0),
IF(M551=$H$4,IFERROR(VLOOKUP(B551,'Baremos anteriores'!A:C,3,FALSE),0),0))))))</f>
        <v/>
      </c>
      <c r="G551" s="7"/>
      <c r="H551" s="8"/>
      <c r="I551" s="8"/>
      <c r="J551" s="78" t="str">
        <f>IF($D551="","",
IF($E551="","",
IF($D551="MATE","",
IF(VLOOKUP($B551,'Baremos actuales'!A:D,4,FALSE)=J$9,$E551*$F551,IF(VLOOKUP($B551,'Baremos anteriores'!A:D,4,FALSE)="Sin Definir",$E551*$F551,"")))))</f>
        <v/>
      </c>
      <c r="K551" s="79" t="str">
        <f>IF($D551="","",
IF($E551="","",
IF($D551="MATE","",
IF(VLOOKUP($B551,'Baremos actuales'!$A:$D,4,FALSE)=K$9,$E551*$F551,IF(VLOOKUP($B551,'Baremos anteriores'!$A:$D,4,FALSE)="Desmonte",$E551*$F551,"")))))</f>
        <v/>
      </c>
      <c r="L551" s="80" t="str">
        <f>IF($D551="","",
IF($E551="","",
IF($D551="MATE","",
IF(VLOOKUP($B551,'Baremos actuales'!$A:$D,4,FALSE)=L$9,$E551*$F551,""))))</f>
        <v/>
      </c>
      <c r="M551" s="91" t="str">
        <f t="shared" si="8"/>
        <v/>
      </c>
      <c r="N551" s="96"/>
      <c r="O551" s="95"/>
      <c r="P551" s="96"/>
      <c r="Q551" s="98"/>
    </row>
    <row r="552" spans="1:17" ht="15.75" x14ac:dyDescent="0.2">
      <c r="A552" s="17"/>
      <c r="B552" s="18"/>
      <c r="C552" s="87" t="str">
        <f>IF(B552="","",
IF(M552=$H$5,IFERROR(VLOOKUP(B552,'Baremos actuales'!A:E,5,FALSE),"No encontrado. Revisar código, fecha ejecución y/o contrato."),
IF(M552=$H$4,IFERROR(VLOOKUP(B552,'Baremos anteriores'!A:E,5,FALSE),"No encontrado. Revisar código, fecha ejecución y/o contrato."),
IF(M552=$H$3,IFERROR(VLOOKUP(B552,#REF!,5,FALSE),"No encontrado. Revisar código, fecha ejecución y/o contrato."),
IF(D552="","Código no encontrado",
IF(D552="ERROR","No encontrado. Revisar Código, fecha de ejecución y/o contrato.",
IF(D552="MATE",
IF(C551="DESCRIPCION","NO SE PUEDE COMENZAR SIN CÓDIGO DE TAREA",
IF(C551="","FALTA CÓDIGO DE TAREA",
CONCATENATE("          ",VLOOKUP(B552,'Maestro Materiales'!A:C,3,FALSE)))),IFERROR(VLOOKUP(B552,#REF!,5,FALSE),"No encontrado. Revisar código, fecha ejecución y/o contrato."))))))))</f>
        <v/>
      </c>
      <c r="D552" s="88" t="str">
        <f>IF(B552="","",
IFERROR(VLOOKUP(B552,'Maestro Materiales'!A:C,2,FALSE),
IFERROR(VLOOKUP(B552,'Baremos actuales'!A:B,2,FALSE),
IFERROR(VLOOKUP(B552,'Baremos anteriores'!A:B,2,FALSE),
""))))</f>
        <v/>
      </c>
      <c r="E552" s="9"/>
      <c r="F552" s="89" t="str">
        <f>IF(D552="MATE",
IF(E552="","¿Unidades?",""),
IF(D552="",IF(E552="","","¿Código?"),
IF(E552="","¿Unidades?",
IF(D552="TARE",
IF(M552=$H$3,IFERROR(VLOOKUP(B552,'Baremos actuales'!A:C,3,FALSE),0),
IF(M552=$H$4,IFERROR(VLOOKUP(B552,'Baremos anteriores'!A:C,3,FALSE),0),0))))))</f>
        <v/>
      </c>
      <c r="G552" s="7"/>
      <c r="H552" s="8"/>
      <c r="I552" s="8"/>
      <c r="J552" s="78" t="str">
        <f>IF($D552="","",
IF($E552="","",
IF($D552="MATE","",
IF(VLOOKUP($B552,'Baremos actuales'!A:D,4,FALSE)=J$9,$E552*$F552,IF(VLOOKUP($B552,'Baremos anteriores'!A:D,4,FALSE)="Sin Definir",$E552*$F552,"")))))</f>
        <v/>
      </c>
      <c r="K552" s="79" t="str">
        <f>IF($D552="","",
IF($E552="","",
IF($D552="MATE","",
IF(VLOOKUP($B552,'Baremos actuales'!$A:$D,4,FALSE)=K$9,$E552*$F552,IF(VLOOKUP($B552,'Baremos anteriores'!$A:$D,4,FALSE)="Desmonte",$E552*$F552,"")))))</f>
        <v/>
      </c>
      <c r="L552" s="80" t="str">
        <f>IF($D552="","",
IF($E552="","",
IF($D552="MATE","",
IF(VLOOKUP($B552,'Baremos actuales'!$A:$D,4,FALSE)=L$9,$E552*$F552,""))))</f>
        <v/>
      </c>
      <c r="M552" s="91" t="str">
        <f t="shared" si="8"/>
        <v/>
      </c>
      <c r="N552" s="96"/>
      <c r="O552" s="95"/>
      <c r="P552" s="96"/>
      <c r="Q552" s="98"/>
    </row>
    <row r="553" spans="1:17" ht="15.75" x14ac:dyDescent="0.2">
      <c r="A553" s="17"/>
      <c r="B553" s="18"/>
      <c r="C553" s="87" t="str">
        <f>IF(B553="","",
IF(M553=$H$5,IFERROR(VLOOKUP(B553,'Baremos actuales'!A:E,5,FALSE),"No encontrado. Revisar código, fecha ejecución y/o contrato."),
IF(M553=$H$4,IFERROR(VLOOKUP(B553,'Baremos anteriores'!A:E,5,FALSE),"No encontrado. Revisar código, fecha ejecución y/o contrato."),
IF(M553=$H$3,IFERROR(VLOOKUP(B553,#REF!,5,FALSE),"No encontrado. Revisar código, fecha ejecución y/o contrato."),
IF(D553="","Código no encontrado",
IF(D553="ERROR","No encontrado. Revisar Código, fecha de ejecución y/o contrato.",
IF(D553="MATE",
IF(C552="DESCRIPCION","NO SE PUEDE COMENZAR SIN CÓDIGO DE TAREA",
IF(C552="","FALTA CÓDIGO DE TAREA",
CONCATENATE("          ",VLOOKUP(B553,'Maestro Materiales'!A:C,3,FALSE)))),IFERROR(VLOOKUP(B553,#REF!,5,FALSE),"No encontrado. Revisar código, fecha ejecución y/o contrato."))))))))</f>
        <v/>
      </c>
      <c r="D553" s="88" t="str">
        <f>IF(B553="","",
IFERROR(VLOOKUP(B553,'Maestro Materiales'!A:C,2,FALSE),
IFERROR(VLOOKUP(B553,'Baremos actuales'!A:B,2,FALSE),
IFERROR(VLOOKUP(B553,'Baremos anteriores'!A:B,2,FALSE),
""))))</f>
        <v/>
      </c>
      <c r="E553" s="9"/>
      <c r="F553" s="89" t="str">
        <f>IF(D553="MATE",
IF(E553="","¿Unidades?",""),
IF(D553="",IF(E553="","","¿Código?"),
IF(E553="","¿Unidades?",
IF(D553="TARE",
IF(M553=$H$3,IFERROR(VLOOKUP(B553,'Baremos actuales'!A:C,3,FALSE),0),
IF(M553=$H$4,IFERROR(VLOOKUP(B553,'Baremos anteriores'!A:C,3,FALSE),0),0))))))</f>
        <v/>
      </c>
      <c r="G553" s="7"/>
      <c r="H553" s="8"/>
      <c r="I553" s="8"/>
      <c r="J553" s="78" t="str">
        <f>IF($D553="","",
IF($E553="","",
IF($D553="MATE","",
IF(VLOOKUP($B553,'Baremos actuales'!A:D,4,FALSE)=J$9,$E553*$F553,IF(VLOOKUP($B553,'Baremos anteriores'!A:D,4,FALSE)="Sin Definir",$E553*$F553,"")))))</f>
        <v/>
      </c>
      <c r="K553" s="79" t="str">
        <f>IF($D553="","",
IF($E553="","",
IF($D553="MATE","",
IF(VLOOKUP($B553,'Baremos actuales'!$A:$D,4,FALSE)=K$9,$E553*$F553,IF(VLOOKUP($B553,'Baremos anteriores'!$A:$D,4,FALSE)="Desmonte",$E553*$F553,"")))))</f>
        <v/>
      </c>
      <c r="L553" s="80" t="str">
        <f>IF($D553="","",
IF($E553="","",
IF($D553="MATE","",
IF(VLOOKUP($B553,'Baremos actuales'!$A:$D,4,FALSE)=L$9,$E553*$F553,""))))</f>
        <v/>
      </c>
      <c r="M553" s="91" t="str">
        <f t="shared" si="8"/>
        <v/>
      </c>
      <c r="N553" s="96"/>
      <c r="O553" s="95"/>
      <c r="P553" s="96"/>
      <c r="Q553" s="98"/>
    </row>
    <row r="554" spans="1:17" ht="15.75" x14ac:dyDescent="0.2">
      <c r="A554" s="17"/>
      <c r="B554" s="18"/>
      <c r="C554" s="87" t="str">
        <f>IF(B554="","",
IF(M554=$H$5,IFERROR(VLOOKUP(B554,'Baremos actuales'!A:E,5,FALSE),"No encontrado. Revisar código, fecha ejecución y/o contrato."),
IF(M554=$H$4,IFERROR(VLOOKUP(B554,'Baremos anteriores'!A:E,5,FALSE),"No encontrado. Revisar código, fecha ejecución y/o contrato."),
IF(M554=$H$3,IFERROR(VLOOKUP(B554,#REF!,5,FALSE),"No encontrado. Revisar código, fecha ejecución y/o contrato."),
IF(D554="","Código no encontrado",
IF(D554="ERROR","No encontrado. Revisar Código, fecha de ejecución y/o contrato.",
IF(D554="MATE",
IF(C553="DESCRIPCION","NO SE PUEDE COMENZAR SIN CÓDIGO DE TAREA",
IF(C553="","FALTA CÓDIGO DE TAREA",
CONCATENATE("          ",VLOOKUP(B554,'Maestro Materiales'!A:C,3,FALSE)))),IFERROR(VLOOKUP(B554,#REF!,5,FALSE),"No encontrado. Revisar código, fecha ejecución y/o contrato."))))))))</f>
        <v/>
      </c>
      <c r="D554" s="88" t="str">
        <f>IF(B554="","",
IFERROR(VLOOKUP(B554,'Maestro Materiales'!A:C,2,FALSE),
IFERROR(VLOOKUP(B554,'Baremos actuales'!A:B,2,FALSE),
IFERROR(VLOOKUP(B554,'Baremos anteriores'!A:B,2,FALSE),
""))))</f>
        <v/>
      </c>
      <c r="E554" s="9"/>
      <c r="F554" s="89" t="str">
        <f>IF(D554="MATE",
IF(E554="","¿Unidades?",""),
IF(D554="",IF(E554="","","¿Código?"),
IF(E554="","¿Unidades?",
IF(D554="TARE",
IF(M554=$H$3,IFERROR(VLOOKUP(B554,'Baremos actuales'!A:C,3,FALSE),0),
IF(M554=$H$4,IFERROR(VLOOKUP(B554,'Baremos anteriores'!A:C,3,FALSE),0),0))))))</f>
        <v/>
      </c>
      <c r="G554" s="7"/>
      <c r="H554" s="8"/>
      <c r="I554" s="8"/>
      <c r="J554" s="78" t="str">
        <f>IF($D554="","",
IF($E554="","",
IF($D554="MATE","",
IF(VLOOKUP($B554,'Baremos actuales'!A:D,4,FALSE)=J$9,$E554*$F554,IF(VLOOKUP($B554,'Baremos anteriores'!A:D,4,FALSE)="Sin Definir",$E554*$F554,"")))))</f>
        <v/>
      </c>
      <c r="K554" s="79" t="str">
        <f>IF($D554="","",
IF($E554="","",
IF($D554="MATE","",
IF(VLOOKUP($B554,'Baremos actuales'!$A:$D,4,FALSE)=K$9,$E554*$F554,IF(VLOOKUP($B554,'Baremos anteriores'!$A:$D,4,FALSE)="Desmonte",$E554*$F554,"")))))</f>
        <v/>
      </c>
      <c r="L554" s="80" t="str">
        <f>IF($D554="","",
IF($E554="","",
IF($D554="MATE","",
IF(VLOOKUP($B554,'Baremos actuales'!$A:$D,4,FALSE)=L$9,$E554*$F554,""))))</f>
        <v/>
      </c>
      <c r="M554" s="91" t="str">
        <f t="shared" si="8"/>
        <v/>
      </c>
      <c r="N554" s="96"/>
      <c r="O554" s="95"/>
      <c r="P554" s="96"/>
      <c r="Q554" s="98"/>
    </row>
    <row r="555" spans="1:17" ht="15.75" x14ac:dyDescent="0.2">
      <c r="A555" s="17"/>
      <c r="B555" s="18"/>
      <c r="C555" s="87" t="str">
        <f>IF(B555="","",
IF(M555=$H$5,IFERROR(VLOOKUP(B555,'Baremos actuales'!A:E,5,FALSE),"No encontrado. Revisar código, fecha ejecución y/o contrato."),
IF(M555=$H$4,IFERROR(VLOOKUP(B555,'Baremos anteriores'!A:E,5,FALSE),"No encontrado. Revisar código, fecha ejecución y/o contrato."),
IF(M555=$H$3,IFERROR(VLOOKUP(B555,#REF!,5,FALSE),"No encontrado. Revisar código, fecha ejecución y/o contrato."),
IF(D555="","Código no encontrado",
IF(D555="ERROR","No encontrado. Revisar Código, fecha de ejecución y/o contrato.",
IF(D555="MATE",
IF(C554="DESCRIPCION","NO SE PUEDE COMENZAR SIN CÓDIGO DE TAREA",
IF(C554="","FALTA CÓDIGO DE TAREA",
CONCATENATE("          ",VLOOKUP(B555,'Maestro Materiales'!A:C,3,FALSE)))),IFERROR(VLOOKUP(B555,#REF!,5,FALSE),"No encontrado. Revisar código, fecha ejecución y/o contrato."))))))))</f>
        <v/>
      </c>
      <c r="D555" s="88" t="str">
        <f>IF(B555="","",
IFERROR(VLOOKUP(B555,'Maestro Materiales'!A:C,2,FALSE),
IFERROR(VLOOKUP(B555,'Baremos actuales'!A:B,2,FALSE),
IFERROR(VLOOKUP(B555,'Baremos anteriores'!A:B,2,FALSE),
""))))</f>
        <v/>
      </c>
      <c r="E555" s="9"/>
      <c r="F555" s="89" t="str">
        <f>IF(D555="MATE",
IF(E555="","¿Unidades?",""),
IF(D555="",IF(E555="","","¿Código?"),
IF(E555="","¿Unidades?",
IF(D555="TARE",
IF(M555=$H$3,IFERROR(VLOOKUP(B555,'Baremos actuales'!A:C,3,FALSE),0),
IF(M555=$H$4,IFERROR(VLOOKUP(B555,'Baremos anteriores'!A:C,3,FALSE),0),0))))))</f>
        <v/>
      </c>
      <c r="G555" s="7"/>
      <c r="H555" s="8"/>
      <c r="I555" s="8"/>
      <c r="J555" s="78" t="str">
        <f>IF($D555="","",
IF($E555="","",
IF($D555="MATE","",
IF(VLOOKUP($B555,'Baremos actuales'!A:D,4,FALSE)=J$9,$E555*$F555,IF(VLOOKUP($B555,'Baremos anteriores'!A:D,4,FALSE)="Sin Definir",$E555*$F555,"")))))</f>
        <v/>
      </c>
      <c r="K555" s="79" t="str">
        <f>IF($D555="","",
IF($E555="","",
IF($D555="MATE","",
IF(VLOOKUP($B555,'Baremos actuales'!$A:$D,4,FALSE)=K$9,$E555*$F555,IF(VLOOKUP($B555,'Baremos anteriores'!$A:$D,4,FALSE)="Desmonte",$E555*$F555,"")))))</f>
        <v/>
      </c>
      <c r="L555" s="80" t="str">
        <f>IF($D555="","",
IF($E555="","",
IF($D555="MATE","",
IF(VLOOKUP($B555,'Baremos actuales'!$A:$D,4,FALSE)=L$9,$E555*$F555,""))))</f>
        <v/>
      </c>
      <c r="M555" s="91" t="str">
        <f t="shared" si="8"/>
        <v/>
      </c>
      <c r="N555" s="96"/>
      <c r="O555" s="95"/>
      <c r="P555" s="96"/>
      <c r="Q555" s="98"/>
    </row>
    <row r="556" spans="1:17" ht="15.75" x14ac:dyDescent="0.2">
      <c r="A556" s="17"/>
      <c r="B556" s="18"/>
      <c r="C556" s="87" t="str">
        <f>IF(B556="","",
IF(M556=$H$5,IFERROR(VLOOKUP(B556,'Baremos actuales'!A:E,5,FALSE),"No encontrado. Revisar código, fecha ejecución y/o contrato."),
IF(M556=$H$4,IFERROR(VLOOKUP(B556,'Baremos anteriores'!A:E,5,FALSE),"No encontrado. Revisar código, fecha ejecución y/o contrato."),
IF(M556=$H$3,IFERROR(VLOOKUP(B556,#REF!,5,FALSE),"No encontrado. Revisar código, fecha ejecución y/o contrato."),
IF(D556="","Código no encontrado",
IF(D556="ERROR","No encontrado. Revisar Código, fecha de ejecución y/o contrato.",
IF(D556="MATE",
IF(C555="DESCRIPCION","NO SE PUEDE COMENZAR SIN CÓDIGO DE TAREA",
IF(C555="","FALTA CÓDIGO DE TAREA",
CONCATENATE("          ",VLOOKUP(B556,'Maestro Materiales'!A:C,3,FALSE)))),IFERROR(VLOOKUP(B556,#REF!,5,FALSE),"No encontrado. Revisar código, fecha ejecución y/o contrato."))))))))</f>
        <v/>
      </c>
      <c r="D556" s="88" t="str">
        <f>IF(B556="","",
IFERROR(VLOOKUP(B556,'Maestro Materiales'!A:C,2,FALSE),
IFERROR(VLOOKUP(B556,'Baremos actuales'!A:B,2,FALSE),
IFERROR(VLOOKUP(B556,'Baremos anteriores'!A:B,2,FALSE),
""))))</f>
        <v/>
      </c>
      <c r="E556" s="9"/>
      <c r="F556" s="89" t="str">
        <f>IF(D556="MATE",
IF(E556="","¿Unidades?",""),
IF(D556="",IF(E556="","","¿Código?"),
IF(E556="","¿Unidades?",
IF(D556="TARE",
IF(M556=$H$3,IFERROR(VLOOKUP(B556,'Baremos actuales'!A:C,3,FALSE),0),
IF(M556=$H$4,IFERROR(VLOOKUP(B556,'Baremos anteriores'!A:C,3,FALSE),0),0))))))</f>
        <v/>
      </c>
      <c r="G556" s="7"/>
      <c r="H556" s="8"/>
      <c r="I556" s="8"/>
      <c r="J556" s="78" t="str">
        <f>IF($D556="","",
IF($E556="","",
IF($D556="MATE","",
IF(VLOOKUP($B556,'Baremos actuales'!A:D,4,FALSE)=J$9,$E556*$F556,IF(VLOOKUP($B556,'Baremos anteriores'!A:D,4,FALSE)="Sin Definir",$E556*$F556,"")))))</f>
        <v/>
      </c>
      <c r="K556" s="79" t="str">
        <f>IF($D556="","",
IF($E556="","",
IF($D556="MATE","",
IF(VLOOKUP($B556,'Baremos actuales'!$A:$D,4,FALSE)=K$9,$E556*$F556,IF(VLOOKUP($B556,'Baremos anteriores'!$A:$D,4,FALSE)="Desmonte",$E556*$F556,"")))))</f>
        <v/>
      </c>
      <c r="L556" s="80" t="str">
        <f>IF($D556="","",
IF($E556="","",
IF($D556="MATE","",
IF(VLOOKUP($B556,'Baremos actuales'!$A:$D,4,FALSE)=L$9,$E556*$F556,""))))</f>
        <v/>
      </c>
      <c r="M556" s="91" t="str">
        <f t="shared" si="8"/>
        <v/>
      </c>
      <c r="N556" s="96"/>
      <c r="O556" s="95"/>
      <c r="P556" s="96"/>
      <c r="Q556" s="98"/>
    </row>
    <row r="557" spans="1:17" ht="15.75" x14ac:dyDescent="0.2">
      <c r="A557" s="17"/>
      <c r="B557" s="18"/>
      <c r="C557" s="87" t="str">
        <f>IF(B557="","",
IF(M557=$H$5,IFERROR(VLOOKUP(B557,'Baremos actuales'!A:E,5,FALSE),"No encontrado. Revisar código, fecha ejecución y/o contrato."),
IF(M557=$H$4,IFERROR(VLOOKUP(B557,'Baremos anteriores'!A:E,5,FALSE),"No encontrado. Revisar código, fecha ejecución y/o contrato."),
IF(M557=$H$3,IFERROR(VLOOKUP(B557,#REF!,5,FALSE),"No encontrado. Revisar código, fecha ejecución y/o contrato."),
IF(D557="","Código no encontrado",
IF(D557="ERROR","No encontrado. Revisar Código, fecha de ejecución y/o contrato.",
IF(D557="MATE",
IF(C556="DESCRIPCION","NO SE PUEDE COMENZAR SIN CÓDIGO DE TAREA",
IF(C556="","FALTA CÓDIGO DE TAREA",
CONCATENATE("          ",VLOOKUP(B557,'Maestro Materiales'!A:C,3,FALSE)))),IFERROR(VLOOKUP(B557,#REF!,5,FALSE),"No encontrado. Revisar código, fecha ejecución y/o contrato."))))))))</f>
        <v/>
      </c>
      <c r="D557" s="88" t="str">
        <f>IF(B557="","",
IFERROR(VLOOKUP(B557,'Maestro Materiales'!A:C,2,FALSE),
IFERROR(VLOOKUP(B557,'Baremos actuales'!A:B,2,FALSE),
IFERROR(VLOOKUP(B557,'Baremos anteriores'!A:B,2,FALSE),
""))))</f>
        <v/>
      </c>
      <c r="E557" s="9"/>
      <c r="F557" s="89" t="str">
        <f>IF(D557="MATE",
IF(E557="","¿Unidades?",""),
IF(D557="",IF(E557="","","¿Código?"),
IF(E557="","¿Unidades?",
IF(D557="TARE",
IF(M557=$H$3,IFERROR(VLOOKUP(B557,'Baremos actuales'!A:C,3,FALSE),0),
IF(M557=$H$4,IFERROR(VLOOKUP(B557,'Baremos anteriores'!A:C,3,FALSE),0),0))))))</f>
        <v/>
      </c>
      <c r="G557" s="7"/>
      <c r="H557" s="8"/>
      <c r="I557" s="8"/>
      <c r="J557" s="78" t="str">
        <f>IF($D557="","",
IF($E557="","",
IF($D557="MATE","",
IF(VLOOKUP($B557,'Baremos actuales'!A:D,4,FALSE)=J$9,$E557*$F557,IF(VLOOKUP($B557,'Baremos anteriores'!A:D,4,FALSE)="Sin Definir",$E557*$F557,"")))))</f>
        <v/>
      </c>
      <c r="K557" s="79" t="str">
        <f>IF($D557="","",
IF($E557="","",
IF($D557="MATE","",
IF(VLOOKUP($B557,'Baremos actuales'!$A:$D,4,FALSE)=K$9,$E557*$F557,IF(VLOOKUP($B557,'Baremos anteriores'!$A:$D,4,FALSE)="Desmonte",$E557*$F557,"")))))</f>
        <v/>
      </c>
      <c r="L557" s="80" t="str">
        <f>IF($D557="","",
IF($E557="","",
IF($D557="MATE","",
IF(VLOOKUP($B557,'Baremos actuales'!$A:$D,4,FALSE)=L$9,$E557*$F557,""))))</f>
        <v/>
      </c>
      <c r="M557" s="91" t="str">
        <f t="shared" si="8"/>
        <v/>
      </c>
      <c r="N557" s="96"/>
      <c r="O557" s="95"/>
      <c r="P557" s="96"/>
      <c r="Q557" s="98"/>
    </row>
    <row r="558" spans="1:17" ht="15.75" x14ac:dyDescent="0.2">
      <c r="A558" s="17"/>
      <c r="B558" s="18"/>
      <c r="C558" s="87" t="str">
        <f>IF(B558="","",
IF(M558=$H$5,IFERROR(VLOOKUP(B558,'Baremos actuales'!A:E,5,FALSE),"No encontrado. Revisar código, fecha ejecución y/o contrato."),
IF(M558=$H$4,IFERROR(VLOOKUP(B558,'Baremos anteriores'!A:E,5,FALSE),"No encontrado. Revisar código, fecha ejecución y/o contrato."),
IF(M558=$H$3,IFERROR(VLOOKUP(B558,#REF!,5,FALSE),"No encontrado. Revisar código, fecha ejecución y/o contrato."),
IF(D558="","Código no encontrado",
IF(D558="ERROR","No encontrado. Revisar Código, fecha de ejecución y/o contrato.",
IF(D558="MATE",
IF(C557="DESCRIPCION","NO SE PUEDE COMENZAR SIN CÓDIGO DE TAREA",
IF(C557="","FALTA CÓDIGO DE TAREA",
CONCATENATE("          ",VLOOKUP(B558,'Maestro Materiales'!A:C,3,FALSE)))),IFERROR(VLOOKUP(B558,#REF!,5,FALSE),"No encontrado. Revisar código, fecha ejecución y/o contrato."))))))))</f>
        <v/>
      </c>
      <c r="D558" s="88" t="str">
        <f>IF(B558="","",
IFERROR(VLOOKUP(B558,'Maestro Materiales'!A:C,2,FALSE),
IFERROR(VLOOKUP(B558,'Baremos actuales'!A:B,2,FALSE),
IFERROR(VLOOKUP(B558,'Baremos anteriores'!A:B,2,FALSE),
""))))</f>
        <v/>
      </c>
      <c r="E558" s="9"/>
      <c r="F558" s="89" t="str">
        <f>IF(D558="MATE",
IF(E558="","¿Unidades?",""),
IF(D558="",IF(E558="","","¿Código?"),
IF(E558="","¿Unidades?",
IF(D558="TARE",
IF(M558=$H$3,IFERROR(VLOOKUP(B558,'Baremos actuales'!A:C,3,FALSE),0),
IF(M558=$H$4,IFERROR(VLOOKUP(B558,'Baremos anteriores'!A:C,3,FALSE),0),0))))))</f>
        <v/>
      </c>
      <c r="G558" s="7"/>
      <c r="H558" s="8"/>
      <c r="I558" s="8"/>
      <c r="J558" s="78" t="str">
        <f>IF($D558="","",
IF($E558="","",
IF($D558="MATE","",
IF(VLOOKUP($B558,'Baremos actuales'!A:D,4,FALSE)=J$9,$E558*$F558,IF(VLOOKUP($B558,'Baremos anteriores'!A:D,4,FALSE)="Sin Definir",$E558*$F558,"")))))</f>
        <v/>
      </c>
      <c r="K558" s="79" t="str">
        <f>IF($D558="","",
IF($E558="","",
IF($D558="MATE","",
IF(VLOOKUP($B558,'Baremos actuales'!$A:$D,4,FALSE)=K$9,$E558*$F558,IF(VLOOKUP($B558,'Baremos anteriores'!$A:$D,4,FALSE)="Desmonte",$E558*$F558,"")))))</f>
        <v/>
      </c>
      <c r="L558" s="80" t="str">
        <f>IF($D558="","",
IF($E558="","",
IF($D558="MATE","",
IF(VLOOKUP($B558,'Baremos actuales'!$A:$D,4,FALSE)=L$9,$E558*$F558,""))))</f>
        <v/>
      </c>
      <c r="M558" s="91" t="str">
        <f t="shared" si="8"/>
        <v/>
      </c>
      <c r="N558" s="96"/>
      <c r="O558" s="95"/>
      <c r="P558" s="96"/>
      <c r="Q558" s="98"/>
    </row>
    <row r="559" spans="1:17" ht="15.75" x14ac:dyDescent="0.2">
      <c r="A559" s="17"/>
      <c r="B559" s="18"/>
      <c r="C559" s="87" t="str">
        <f>IF(B559="","",
IF(M559=$H$5,IFERROR(VLOOKUP(B559,'Baremos actuales'!A:E,5,FALSE),"No encontrado. Revisar código, fecha ejecución y/o contrato."),
IF(M559=$H$4,IFERROR(VLOOKUP(B559,'Baremos anteriores'!A:E,5,FALSE),"No encontrado. Revisar código, fecha ejecución y/o contrato."),
IF(M559=$H$3,IFERROR(VLOOKUP(B559,#REF!,5,FALSE),"No encontrado. Revisar código, fecha ejecución y/o contrato."),
IF(D559="","Código no encontrado",
IF(D559="ERROR","No encontrado. Revisar Código, fecha de ejecución y/o contrato.",
IF(D559="MATE",
IF(C558="DESCRIPCION","NO SE PUEDE COMENZAR SIN CÓDIGO DE TAREA",
IF(C558="","FALTA CÓDIGO DE TAREA",
CONCATENATE("          ",VLOOKUP(B559,'Maestro Materiales'!A:C,3,FALSE)))),IFERROR(VLOOKUP(B559,#REF!,5,FALSE),"No encontrado. Revisar código, fecha ejecución y/o contrato."))))))))</f>
        <v/>
      </c>
      <c r="D559" s="88" t="str">
        <f>IF(B559="","",
IFERROR(VLOOKUP(B559,'Maestro Materiales'!A:C,2,FALSE),
IFERROR(VLOOKUP(B559,'Baremos actuales'!A:B,2,FALSE),
IFERROR(VLOOKUP(B559,'Baremos anteriores'!A:B,2,FALSE),
""))))</f>
        <v/>
      </c>
      <c r="E559" s="9"/>
      <c r="F559" s="89" t="str">
        <f>IF(D559="MATE",
IF(E559="","¿Unidades?",""),
IF(D559="",IF(E559="","","¿Código?"),
IF(E559="","¿Unidades?",
IF(D559="TARE",
IF(M559=$H$3,IFERROR(VLOOKUP(B559,'Baremos actuales'!A:C,3,FALSE),0),
IF(M559=$H$4,IFERROR(VLOOKUP(B559,'Baremos anteriores'!A:C,3,FALSE),0),0))))))</f>
        <v/>
      </c>
      <c r="G559" s="7"/>
      <c r="H559" s="8"/>
      <c r="I559" s="8"/>
      <c r="J559" s="78" t="str">
        <f>IF($D559="","",
IF($E559="","",
IF($D559="MATE","",
IF(VLOOKUP($B559,'Baremos actuales'!A:D,4,FALSE)=J$9,$E559*$F559,IF(VLOOKUP($B559,'Baremos anteriores'!A:D,4,FALSE)="Sin Definir",$E559*$F559,"")))))</f>
        <v/>
      </c>
      <c r="K559" s="79" t="str">
        <f>IF($D559="","",
IF($E559="","",
IF($D559="MATE","",
IF(VLOOKUP($B559,'Baremos actuales'!$A:$D,4,FALSE)=K$9,$E559*$F559,IF(VLOOKUP($B559,'Baremos anteriores'!$A:$D,4,FALSE)="Desmonte",$E559*$F559,"")))))</f>
        <v/>
      </c>
      <c r="L559" s="80" t="str">
        <f>IF($D559="","",
IF($E559="","",
IF($D559="MATE","",
IF(VLOOKUP($B559,'Baremos actuales'!$A:$D,4,FALSE)=L$9,$E559*$F559,""))))</f>
        <v/>
      </c>
      <c r="M559" s="91" t="str">
        <f t="shared" si="8"/>
        <v/>
      </c>
      <c r="N559" s="96"/>
      <c r="O559" s="95"/>
      <c r="P559" s="96"/>
      <c r="Q559" s="98"/>
    </row>
    <row r="560" spans="1:17" ht="15.75" x14ac:dyDescent="0.2">
      <c r="A560" s="17"/>
      <c r="B560" s="18"/>
      <c r="C560" s="87" t="str">
        <f>IF(B560="","",
IF(M560=$H$5,IFERROR(VLOOKUP(B560,'Baremos actuales'!A:E,5,FALSE),"No encontrado. Revisar código, fecha ejecución y/o contrato."),
IF(M560=$H$4,IFERROR(VLOOKUP(B560,'Baremos anteriores'!A:E,5,FALSE),"No encontrado. Revisar código, fecha ejecución y/o contrato."),
IF(M560=$H$3,IFERROR(VLOOKUP(B560,#REF!,5,FALSE),"No encontrado. Revisar código, fecha ejecución y/o contrato."),
IF(D560="","Código no encontrado",
IF(D560="ERROR","No encontrado. Revisar Código, fecha de ejecución y/o contrato.",
IF(D560="MATE",
IF(C559="DESCRIPCION","NO SE PUEDE COMENZAR SIN CÓDIGO DE TAREA",
IF(C559="","FALTA CÓDIGO DE TAREA",
CONCATENATE("          ",VLOOKUP(B560,'Maestro Materiales'!A:C,3,FALSE)))),IFERROR(VLOOKUP(B560,#REF!,5,FALSE),"No encontrado. Revisar código, fecha ejecución y/o contrato."))))))))</f>
        <v/>
      </c>
      <c r="D560" s="88" t="str">
        <f>IF(B560="","",
IFERROR(VLOOKUP(B560,'Maestro Materiales'!A:C,2,FALSE),
IFERROR(VLOOKUP(B560,'Baremos actuales'!A:B,2,FALSE),
IFERROR(VLOOKUP(B560,'Baremos anteriores'!A:B,2,FALSE),
""))))</f>
        <v/>
      </c>
      <c r="E560" s="9"/>
      <c r="F560" s="89" t="str">
        <f>IF(D560="MATE",
IF(E560="","¿Unidades?",""),
IF(D560="",IF(E560="","","¿Código?"),
IF(E560="","¿Unidades?",
IF(D560="TARE",
IF(M560=$H$3,IFERROR(VLOOKUP(B560,'Baremos actuales'!A:C,3,FALSE),0),
IF(M560=$H$4,IFERROR(VLOOKUP(B560,'Baremos anteriores'!A:C,3,FALSE),0),0))))))</f>
        <v/>
      </c>
      <c r="G560" s="7"/>
      <c r="H560" s="8"/>
      <c r="I560" s="8"/>
      <c r="J560" s="78" t="str">
        <f>IF($D560="","",
IF($E560="","",
IF($D560="MATE","",
IF(VLOOKUP($B560,'Baremos actuales'!A:D,4,FALSE)=J$9,$E560*$F560,IF(VLOOKUP($B560,'Baremos anteriores'!A:D,4,FALSE)="Sin Definir",$E560*$F560,"")))))</f>
        <v/>
      </c>
      <c r="K560" s="79" t="str">
        <f>IF($D560="","",
IF($E560="","",
IF($D560="MATE","",
IF(VLOOKUP($B560,'Baremos actuales'!$A:$D,4,FALSE)=K$9,$E560*$F560,IF(VLOOKUP($B560,'Baremos anteriores'!$A:$D,4,FALSE)="Desmonte",$E560*$F560,"")))))</f>
        <v/>
      </c>
      <c r="L560" s="80" t="str">
        <f>IF($D560="","",
IF($E560="","",
IF($D560="MATE","",
IF(VLOOKUP($B560,'Baremos actuales'!$A:$D,4,FALSE)=L$9,$E560*$F560,""))))</f>
        <v/>
      </c>
      <c r="M560" s="91" t="str">
        <f t="shared" si="8"/>
        <v/>
      </c>
      <c r="N560" s="96"/>
      <c r="O560" s="95"/>
      <c r="P560" s="96"/>
      <c r="Q560" s="98"/>
    </row>
    <row r="561" spans="1:17" ht="15.75" x14ac:dyDescent="0.2">
      <c r="A561" s="17"/>
      <c r="B561" s="18"/>
      <c r="C561" s="87" t="str">
        <f>IF(B561="","",
IF(M561=$H$5,IFERROR(VLOOKUP(B561,'Baremos actuales'!A:E,5,FALSE),"No encontrado. Revisar código, fecha ejecución y/o contrato."),
IF(M561=$H$4,IFERROR(VLOOKUP(B561,'Baremos anteriores'!A:E,5,FALSE),"No encontrado. Revisar código, fecha ejecución y/o contrato."),
IF(M561=$H$3,IFERROR(VLOOKUP(B561,#REF!,5,FALSE),"No encontrado. Revisar código, fecha ejecución y/o contrato."),
IF(D561="","Código no encontrado",
IF(D561="ERROR","No encontrado. Revisar Código, fecha de ejecución y/o contrato.",
IF(D561="MATE",
IF(C560="DESCRIPCION","NO SE PUEDE COMENZAR SIN CÓDIGO DE TAREA",
IF(C560="","FALTA CÓDIGO DE TAREA",
CONCATENATE("          ",VLOOKUP(B561,'Maestro Materiales'!A:C,3,FALSE)))),IFERROR(VLOOKUP(B561,#REF!,5,FALSE),"No encontrado. Revisar código, fecha ejecución y/o contrato."))))))))</f>
        <v/>
      </c>
      <c r="D561" s="88" t="str">
        <f>IF(B561="","",
IFERROR(VLOOKUP(B561,'Maestro Materiales'!A:C,2,FALSE),
IFERROR(VLOOKUP(B561,'Baremos actuales'!A:B,2,FALSE),
IFERROR(VLOOKUP(B561,'Baremos anteriores'!A:B,2,FALSE),
""))))</f>
        <v/>
      </c>
      <c r="E561" s="9"/>
      <c r="F561" s="89" t="str">
        <f>IF(D561="MATE",
IF(E561="","¿Unidades?",""),
IF(D561="",IF(E561="","","¿Código?"),
IF(E561="","¿Unidades?",
IF(D561="TARE",
IF(M561=$H$3,IFERROR(VLOOKUP(B561,'Baremos actuales'!A:C,3,FALSE),0),
IF(M561=$H$4,IFERROR(VLOOKUP(B561,'Baremos anteriores'!A:C,3,FALSE),0),0))))))</f>
        <v/>
      </c>
      <c r="G561" s="7"/>
      <c r="H561" s="8"/>
      <c r="I561" s="8"/>
      <c r="J561" s="78" t="str">
        <f>IF($D561="","",
IF($E561="","",
IF($D561="MATE","",
IF(VLOOKUP($B561,'Baremos actuales'!A:D,4,FALSE)=J$9,$E561*$F561,IF(VLOOKUP($B561,'Baremos anteriores'!A:D,4,FALSE)="Sin Definir",$E561*$F561,"")))))</f>
        <v/>
      </c>
      <c r="K561" s="79" t="str">
        <f>IF($D561="","",
IF($E561="","",
IF($D561="MATE","",
IF(VLOOKUP($B561,'Baremos actuales'!$A:$D,4,FALSE)=K$9,$E561*$F561,IF(VLOOKUP($B561,'Baremos anteriores'!$A:$D,4,FALSE)="Desmonte",$E561*$F561,"")))))</f>
        <v/>
      </c>
      <c r="L561" s="80" t="str">
        <f>IF($D561="","",
IF($E561="","",
IF($D561="MATE","",
IF(VLOOKUP($B561,'Baremos actuales'!$A:$D,4,FALSE)=L$9,$E561*$F561,""))))</f>
        <v/>
      </c>
      <c r="M561" s="91" t="str">
        <f t="shared" si="8"/>
        <v/>
      </c>
      <c r="N561" s="96"/>
      <c r="O561" s="95"/>
      <c r="P561" s="96"/>
      <c r="Q561" s="98"/>
    </row>
    <row r="562" spans="1:17" ht="15.75" x14ac:dyDescent="0.2">
      <c r="A562" s="17"/>
      <c r="B562" s="18"/>
      <c r="C562" s="87" t="str">
        <f>IF(B562="","",
IF(M562=$H$5,IFERROR(VLOOKUP(B562,'Baremos actuales'!A:E,5,FALSE),"No encontrado. Revisar código, fecha ejecución y/o contrato."),
IF(M562=$H$4,IFERROR(VLOOKUP(B562,'Baremos anteriores'!A:E,5,FALSE),"No encontrado. Revisar código, fecha ejecución y/o contrato."),
IF(M562=$H$3,IFERROR(VLOOKUP(B562,#REF!,5,FALSE),"No encontrado. Revisar código, fecha ejecución y/o contrato."),
IF(D562="","Código no encontrado",
IF(D562="ERROR","No encontrado. Revisar Código, fecha de ejecución y/o contrato.",
IF(D562="MATE",
IF(C561="DESCRIPCION","NO SE PUEDE COMENZAR SIN CÓDIGO DE TAREA",
IF(C561="","FALTA CÓDIGO DE TAREA",
CONCATENATE("          ",VLOOKUP(B562,'Maestro Materiales'!A:C,3,FALSE)))),IFERROR(VLOOKUP(B562,#REF!,5,FALSE),"No encontrado. Revisar código, fecha ejecución y/o contrato."))))))))</f>
        <v/>
      </c>
      <c r="D562" s="88" t="str">
        <f>IF(B562="","",
IFERROR(VLOOKUP(B562,'Maestro Materiales'!A:C,2,FALSE),
IFERROR(VLOOKUP(B562,'Baremos actuales'!A:B,2,FALSE),
IFERROR(VLOOKUP(B562,'Baremos anteriores'!A:B,2,FALSE),
""))))</f>
        <v/>
      </c>
      <c r="E562" s="9"/>
      <c r="F562" s="89" t="str">
        <f>IF(D562="MATE",
IF(E562="","¿Unidades?",""),
IF(D562="",IF(E562="","","¿Código?"),
IF(E562="","¿Unidades?",
IF(D562="TARE",
IF(M562=$H$3,IFERROR(VLOOKUP(B562,'Baremos actuales'!A:C,3,FALSE),0),
IF(M562=$H$4,IFERROR(VLOOKUP(B562,'Baremos anteriores'!A:C,3,FALSE),0),0))))))</f>
        <v/>
      </c>
      <c r="G562" s="7"/>
      <c r="H562" s="8"/>
      <c r="I562" s="8"/>
      <c r="J562" s="78" t="str">
        <f>IF($D562="","",
IF($E562="","",
IF($D562="MATE","",
IF(VLOOKUP($B562,'Baremos actuales'!A:D,4,FALSE)=J$9,$E562*$F562,IF(VLOOKUP($B562,'Baremos anteriores'!A:D,4,FALSE)="Sin Definir",$E562*$F562,"")))))</f>
        <v/>
      </c>
      <c r="K562" s="79" t="str">
        <f>IF($D562="","",
IF($E562="","",
IF($D562="MATE","",
IF(VLOOKUP($B562,'Baremos actuales'!$A:$D,4,FALSE)=K$9,$E562*$F562,IF(VLOOKUP($B562,'Baremos anteriores'!$A:$D,4,FALSE)="Desmonte",$E562*$F562,"")))))</f>
        <v/>
      </c>
      <c r="L562" s="80" t="str">
        <f>IF($D562="","",
IF($E562="","",
IF($D562="MATE","",
IF(VLOOKUP($B562,'Baremos actuales'!$A:$D,4,FALSE)=L$9,$E562*$F562,""))))</f>
        <v/>
      </c>
      <c r="M562" s="91" t="str">
        <f t="shared" si="8"/>
        <v/>
      </c>
      <c r="N562" s="96"/>
      <c r="O562" s="95"/>
      <c r="P562" s="96"/>
      <c r="Q562" s="98"/>
    </row>
    <row r="563" spans="1:17" ht="15.75" x14ac:dyDescent="0.2">
      <c r="A563" s="17"/>
      <c r="B563" s="18"/>
      <c r="C563" s="87" t="str">
        <f>IF(B563="","",
IF(M563=$H$5,IFERROR(VLOOKUP(B563,'Baremos actuales'!A:E,5,FALSE),"No encontrado. Revisar código, fecha ejecución y/o contrato."),
IF(M563=$H$4,IFERROR(VLOOKUP(B563,'Baremos anteriores'!A:E,5,FALSE),"No encontrado. Revisar código, fecha ejecución y/o contrato."),
IF(M563=$H$3,IFERROR(VLOOKUP(B563,#REF!,5,FALSE),"No encontrado. Revisar código, fecha ejecución y/o contrato."),
IF(D563="","Código no encontrado",
IF(D563="ERROR","No encontrado. Revisar Código, fecha de ejecución y/o contrato.",
IF(D563="MATE",
IF(C562="DESCRIPCION","NO SE PUEDE COMENZAR SIN CÓDIGO DE TAREA",
IF(C562="","FALTA CÓDIGO DE TAREA",
CONCATENATE("          ",VLOOKUP(B563,'Maestro Materiales'!A:C,3,FALSE)))),IFERROR(VLOOKUP(B563,#REF!,5,FALSE),"No encontrado. Revisar código, fecha ejecución y/o contrato."))))))))</f>
        <v/>
      </c>
      <c r="D563" s="88" t="str">
        <f>IF(B563="","",
IFERROR(VLOOKUP(B563,'Maestro Materiales'!A:C,2,FALSE),
IFERROR(VLOOKUP(B563,'Baremos actuales'!A:B,2,FALSE),
IFERROR(VLOOKUP(B563,'Baremos anteriores'!A:B,2,FALSE),
""))))</f>
        <v/>
      </c>
      <c r="E563" s="9"/>
      <c r="F563" s="89" t="str">
        <f>IF(D563="MATE",
IF(E563="","¿Unidades?",""),
IF(D563="",IF(E563="","","¿Código?"),
IF(E563="","¿Unidades?",
IF(D563="TARE",
IF(M563=$H$3,IFERROR(VLOOKUP(B563,'Baremos actuales'!A:C,3,FALSE),0),
IF(M563=$H$4,IFERROR(VLOOKUP(B563,'Baremos anteriores'!A:C,3,FALSE),0),0))))))</f>
        <v/>
      </c>
      <c r="G563" s="7"/>
      <c r="H563" s="8"/>
      <c r="I563" s="8"/>
      <c r="J563" s="78" t="str">
        <f>IF($D563="","",
IF($E563="","",
IF($D563="MATE","",
IF(VLOOKUP($B563,'Baremos actuales'!A:D,4,FALSE)=J$9,$E563*$F563,IF(VLOOKUP($B563,'Baremos anteriores'!A:D,4,FALSE)="Sin Definir",$E563*$F563,"")))))</f>
        <v/>
      </c>
      <c r="K563" s="79" t="str">
        <f>IF($D563="","",
IF($E563="","",
IF($D563="MATE","",
IF(VLOOKUP($B563,'Baremos actuales'!$A:$D,4,FALSE)=K$9,$E563*$F563,IF(VLOOKUP($B563,'Baremos anteriores'!$A:$D,4,FALSE)="Desmonte",$E563*$F563,"")))))</f>
        <v/>
      </c>
      <c r="L563" s="80" t="str">
        <f>IF($D563="","",
IF($E563="","",
IF($D563="MATE","",
IF(VLOOKUP($B563,'Baremos actuales'!$A:$D,4,FALSE)=L$9,$E563*$F563,""))))</f>
        <v/>
      </c>
      <c r="M563" s="91" t="str">
        <f t="shared" si="8"/>
        <v/>
      </c>
      <c r="N563" s="96"/>
      <c r="O563" s="95"/>
      <c r="P563" s="96"/>
      <c r="Q563" s="98"/>
    </row>
    <row r="564" spans="1:17" ht="15.75" x14ac:dyDescent="0.2">
      <c r="A564" s="17"/>
      <c r="B564" s="18"/>
      <c r="C564" s="87" t="str">
        <f>IF(B564="","",
IF(M564=$H$5,IFERROR(VLOOKUP(B564,'Baremos actuales'!A:E,5,FALSE),"No encontrado. Revisar código, fecha ejecución y/o contrato."),
IF(M564=$H$4,IFERROR(VLOOKUP(B564,'Baremos anteriores'!A:E,5,FALSE),"No encontrado. Revisar código, fecha ejecución y/o contrato."),
IF(M564=$H$3,IFERROR(VLOOKUP(B564,#REF!,5,FALSE),"No encontrado. Revisar código, fecha ejecución y/o contrato."),
IF(D564="","Código no encontrado",
IF(D564="ERROR","No encontrado. Revisar Código, fecha de ejecución y/o contrato.",
IF(D564="MATE",
IF(C563="DESCRIPCION","NO SE PUEDE COMENZAR SIN CÓDIGO DE TAREA",
IF(C563="","FALTA CÓDIGO DE TAREA",
CONCATENATE("          ",VLOOKUP(B564,'Maestro Materiales'!A:C,3,FALSE)))),IFERROR(VLOOKUP(B564,#REF!,5,FALSE),"No encontrado. Revisar código, fecha ejecución y/o contrato."))))))))</f>
        <v/>
      </c>
      <c r="D564" s="88" t="str">
        <f>IF(B564="","",
IFERROR(VLOOKUP(B564,'Maestro Materiales'!A:C,2,FALSE),
IFERROR(VLOOKUP(B564,'Baremos actuales'!A:B,2,FALSE),
IFERROR(VLOOKUP(B564,'Baremos anteriores'!A:B,2,FALSE),
""))))</f>
        <v/>
      </c>
      <c r="E564" s="9"/>
      <c r="F564" s="89" t="str">
        <f>IF(D564="MATE",
IF(E564="","¿Unidades?",""),
IF(D564="",IF(E564="","","¿Código?"),
IF(E564="","¿Unidades?",
IF(D564="TARE",
IF(M564=$H$3,IFERROR(VLOOKUP(B564,'Baremos actuales'!A:C,3,FALSE),0),
IF(M564=$H$4,IFERROR(VLOOKUP(B564,'Baremos anteriores'!A:C,3,FALSE),0),0))))))</f>
        <v/>
      </c>
      <c r="G564" s="7"/>
      <c r="H564" s="8"/>
      <c r="I564" s="8"/>
      <c r="J564" s="78" t="str">
        <f>IF($D564="","",
IF($E564="","",
IF($D564="MATE","",
IF(VLOOKUP($B564,'Baremos actuales'!A:D,4,FALSE)=J$9,$E564*$F564,IF(VLOOKUP($B564,'Baremos anteriores'!A:D,4,FALSE)="Sin Definir",$E564*$F564,"")))))</f>
        <v/>
      </c>
      <c r="K564" s="79" t="str">
        <f>IF($D564="","",
IF($E564="","",
IF($D564="MATE","",
IF(VLOOKUP($B564,'Baremos actuales'!$A:$D,4,FALSE)=K$9,$E564*$F564,IF(VLOOKUP($B564,'Baremos anteriores'!$A:$D,4,FALSE)="Desmonte",$E564*$F564,"")))))</f>
        <v/>
      </c>
      <c r="L564" s="80" t="str">
        <f>IF($D564="","",
IF($E564="","",
IF($D564="MATE","",
IF(VLOOKUP($B564,'Baremos actuales'!$A:$D,4,FALSE)=L$9,$E564*$F564,""))))</f>
        <v/>
      </c>
      <c r="M564" s="91" t="str">
        <f t="shared" si="8"/>
        <v/>
      </c>
      <c r="N564" s="96"/>
      <c r="O564" s="95"/>
      <c r="P564" s="96"/>
      <c r="Q564" s="98"/>
    </row>
    <row r="565" spans="1:17" ht="15.75" x14ac:dyDescent="0.2">
      <c r="A565" s="17"/>
      <c r="B565" s="18"/>
      <c r="C565" s="87" t="str">
        <f>IF(B565="","",
IF(M565=$H$5,IFERROR(VLOOKUP(B565,'Baremos actuales'!A:E,5,FALSE),"No encontrado. Revisar código, fecha ejecución y/o contrato."),
IF(M565=$H$4,IFERROR(VLOOKUP(B565,'Baremos anteriores'!A:E,5,FALSE),"No encontrado. Revisar código, fecha ejecución y/o contrato."),
IF(M565=$H$3,IFERROR(VLOOKUP(B565,#REF!,5,FALSE),"No encontrado. Revisar código, fecha ejecución y/o contrato."),
IF(D565="","Código no encontrado",
IF(D565="ERROR","No encontrado. Revisar Código, fecha de ejecución y/o contrato.",
IF(D565="MATE",
IF(C564="DESCRIPCION","NO SE PUEDE COMENZAR SIN CÓDIGO DE TAREA",
IF(C564="","FALTA CÓDIGO DE TAREA",
CONCATENATE("          ",VLOOKUP(B565,'Maestro Materiales'!A:C,3,FALSE)))),IFERROR(VLOOKUP(B565,#REF!,5,FALSE),"No encontrado. Revisar código, fecha ejecución y/o contrato."))))))))</f>
        <v/>
      </c>
      <c r="D565" s="88" t="str">
        <f>IF(B565="","",
IFERROR(VLOOKUP(B565,'Maestro Materiales'!A:C,2,FALSE),
IFERROR(VLOOKUP(B565,'Baremos actuales'!A:B,2,FALSE),
IFERROR(VLOOKUP(B565,'Baremos anteriores'!A:B,2,FALSE),
""))))</f>
        <v/>
      </c>
      <c r="E565" s="9"/>
      <c r="F565" s="89" t="str">
        <f>IF(D565="MATE",
IF(E565="","¿Unidades?",""),
IF(D565="",IF(E565="","","¿Código?"),
IF(E565="","¿Unidades?",
IF(D565="TARE",
IF(M565=$H$3,IFERROR(VLOOKUP(B565,'Baremos actuales'!A:C,3,FALSE),0),
IF(M565=$H$4,IFERROR(VLOOKUP(B565,'Baremos anteriores'!A:C,3,FALSE),0),0))))))</f>
        <v/>
      </c>
      <c r="G565" s="7"/>
      <c r="H565" s="8"/>
      <c r="I565" s="8"/>
      <c r="J565" s="78" t="str">
        <f>IF($D565="","",
IF($E565="","",
IF($D565="MATE","",
IF(VLOOKUP($B565,'Baremos actuales'!A:D,4,FALSE)=J$9,$E565*$F565,IF(VLOOKUP($B565,'Baremos anteriores'!A:D,4,FALSE)="Sin Definir",$E565*$F565,"")))))</f>
        <v/>
      </c>
      <c r="K565" s="79" t="str">
        <f>IF($D565="","",
IF($E565="","",
IF($D565="MATE","",
IF(VLOOKUP($B565,'Baremos actuales'!$A:$D,4,FALSE)=K$9,$E565*$F565,IF(VLOOKUP($B565,'Baremos anteriores'!$A:$D,4,FALSE)="Desmonte",$E565*$F565,"")))))</f>
        <v/>
      </c>
      <c r="L565" s="80" t="str">
        <f>IF($D565="","",
IF($E565="","",
IF($D565="MATE","",
IF(VLOOKUP($B565,'Baremos actuales'!$A:$D,4,FALSE)=L$9,$E565*$F565,""))))</f>
        <v/>
      </c>
      <c r="M565" s="91" t="str">
        <f t="shared" si="8"/>
        <v/>
      </c>
      <c r="N565" s="96"/>
      <c r="O565" s="95"/>
      <c r="P565" s="96"/>
      <c r="Q565" s="98"/>
    </row>
    <row r="566" spans="1:17" ht="15.75" x14ac:dyDescent="0.2">
      <c r="A566" s="17"/>
      <c r="B566" s="18"/>
      <c r="C566" s="87" t="str">
        <f>IF(B566="","",
IF(M566=$H$5,IFERROR(VLOOKUP(B566,'Baremos actuales'!A:E,5,FALSE),"No encontrado. Revisar código, fecha ejecución y/o contrato."),
IF(M566=$H$4,IFERROR(VLOOKUP(B566,'Baremos anteriores'!A:E,5,FALSE),"No encontrado. Revisar código, fecha ejecución y/o contrato."),
IF(M566=$H$3,IFERROR(VLOOKUP(B566,#REF!,5,FALSE),"No encontrado. Revisar código, fecha ejecución y/o contrato."),
IF(D566="","Código no encontrado",
IF(D566="ERROR","No encontrado. Revisar Código, fecha de ejecución y/o contrato.",
IF(D566="MATE",
IF(C565="DESCRIPCION","NO SE PUEDE COMENZAR SIN CÓDIGO DE TAREA",
IF(C565="","FALTA CÓDIGO DE TAREA",
CONCATENATE("          ",VLOOKUP(B566,'Maestro Materiales'!A:C,3,FALSE)))),IFERROR(VLOOKUP(B566,#REF!,5,FALSE),"No encontrado. Revisar código, fecha ejecución y/o contrato."))))))))</f>
        <v/>
      </c>
      <c r="D566" s="88" t="str">
        <f>IF(B566="","",
IFERROR(VLOOKUP(B566,'Maestro Materiales'!A:C,2,FALSE),
IFERROR(VLOOKUP(B566,'Baremos actuales'!A:B,2,FALSE),
IFERROR(VLOOKUP(B566,'Baremos anteriores'!A:B,2,FALSE),
""))))</f>
        <v/>
      </c>
      <c r="E566" s="9"/>
      <c r="F566" s="89" t="str">
        <f>IF(D566="MATE",
IF(E566="","¿Unidades?",""),
IF(D566="",IF(E566="","","¿Código?"),
IF(E566="","¿Unidades?",
IF(D566="TARE",
IF(M566=$H$3,IFERROR(VLOOKUP(B566,'Baremos actuales'!A:C,3,FALSE),0),
IF(M566=$H$4,IFERROR(VLOOKUP(B566,'Baremos anteriores'!A:C,3,FALSE),0),0))))))</f>
        <v/>
      </c>
      <c r="G566" s="7"/>
      <c r="H566" s="8"/>
      <c r="I566" s="8"/>
      <c r="J566" s="78" t="str">
        <f>IF($D566="","",
IF($E566="","",
IF($D566="MATE","",
IF(VLOOKUP($B566,'Baremos actuales'!A:D,4,FALSE)=J$9,$E566*$F566,IF(VLOOKUP($B566,'Baremos anteriores'!A:D,4,FALSE)="Sin Definir",$E566*$F566,"")))))</f>
        <v/>
      </c>
      <c r="K566" s="79" t="str">
        <f>IF($D566="","",
IF($E566="","",
IF($D566="MATE","",
IF(VLOOKUP($B566,'Baremos actuales'!$A:$D,4,FALSE)=K$9,$E566*$F566,IF(VLOOKUP($B566,'Baremos anteriores'!$A:$D,4,FALSE)="Desmonte",$E566*$F566,"")))))</f>
        <v/>
      </c>
      <c r="L566" s="80" t="str">
        <f>IF($D566="","",
IF($E566="","",
IF($D566="MATE","",
IF(VLOOKUP($B566,'Baremos actuales'!$A:$D,4,FALSE)=L$9,$E566*$F566,""))))</f>
        <v/>
      </c>
      <c r="M566" s="91" t="str">
        <f t="shared" si="8"/>
        <v/>
      </c>
      <c r="N566" s="96"/>
      <c r="O566" s="95"/>
      <c r="P566" s="96"/>
      <c r="Q566" s="98"/>
    </row>
    <row r="567" spans="1:17" ht="15.75" x14ac:dyDescent="0.2">
      <c r="A567" s="17"/>
      <c r="B567" s="18"/>
      <c r="C567" s="87" t="str">
        <f>IF(B567="","",
IF(M567=$H$5,IFERROR(VLOOKUP(B567,'Baremos actuales'!A:E,5,FALSE),"No encontrado. Revisar código, fecha ejecución y/o contrato."),
IF(M567=$H$4,IFERROR(VLOOKUP(B567,'Baremos anteriores'!A:E,5,FALSE),"No encontrado. Revisar código, fecha ejecución y/o contrato."),
IF(M567=$H$3,IFERROR(VLOOKUP(B567,#REF!,5,FALSE),"No encontrado. Revisar código, fecha ejecución y/o contrato."),
IF(D567="","Código no encontrado",
IF(D567="ERROR","No encontrado. Revisar Código, fecha de ejecución y/o contrato.",
IF(D567="MATE",
IF(C566="DESCRIPCION","NO SE PUEDE COMENZAR SIN CÓDIGO DE TAREA",
IF(C566="","FALTA CÓDIGO DE TAREA",
CONCATENATE("          ",VLOOKUP(B567,'Maestro Materiales'!A:C,3,FALSE)))),IFERROR(VLOOKUP(B567,#REF!,5,FALSE),"No encontrado. Revisar código, fecha ejecución y/o contrato."))))))))</f>
        <v/>
      </c>
      <c r="D567" s="88" t="str">
        <f>IF(B567="","",
IFERROR(VLOOKUP(B567,'Maestro Materiales'!A:C,2,FALSE),
IFERROR(VLOOKUP(B567,'Baremos actuales'!A:B,2,FALSE),
IFERROR(VLOOKUP(B567,'Baremos anteriores'!A:B,2,FALSE),
""))))</f>
        <v/>
      </c>
      <c r="E567" s="9"/>
      <c r="F567" s="89" t="str">
        <f>IF(D567="MATE",
IF(E567="","¿Unidades?",""),
IF(D567="",IF(E567="","","¿Código?"),
IF(E567="","¿Unidades?",
IF(D567="TARE",
IF(M567=$H$3,IFERROR(VLOOKUP(B567,'Baremos actuales'!A:C,3,FALSE),0),
IF(M567=$H$4,IFERROR(VLOOKUP(B567,'Baremos anteriores'!A:C,3,FALSE),0),0))))))</f>
        <v/>
      </c>
      <c r="G567" s="7"/>
      <c r="H567" s="8"/>
      <c r="I567" s="8"/>
      <c r="J567" s="78" t="str">
        <f>IF($D567="","",
IF($E567="","",
IF($D567="MATE","",
IF(VLOOKUP($B567,'Baremos actuales'!A:D,4,FALSE)=J$9,$E567*$F567,IF(VLOOKUP($B567,'Baremos anteriores'!A:D,4,FALSE)="Sin Definir",$E567*$F567,"")))))</f>
        <v/>
      </c>
      <c r="K567" s="79" t="str">
        <f>IF($D567="","",
IF($E567="","",
IF($D567="MATE","",
IF(VLOOKUP($B567,'Baremos actuales'!$A:$D,4,FALSE)=K$9,$E567*$F567,IF(VLOOKUP($B567,'Baremos anteriores'!$A:$D,4,FALSE)="Desmonte",$E567*$F567,"")))))</f>
        <v/>
      </c>
      <c r="L567" s="80" t="str">
        <f>IF($D567="","",
IF($E567="","",
IF($D567="MATE","",
IF(VLOOKUP($B567,'Baremos actuales'!$A:$D,4,FALSE)=L$9,$E567*$F567,""))))</f>
        <v/>
      </c>
      <c r="M567" s="91" t="str">
        <f t="shared" si="8"/>
        <v/>
      </c>
      <c r="N567" s="96"/>
      <c r="O567" s="95"/>
      <c r="P567" s="96"/>
      <c r="Q567" s="98"/>
    </row>
    <row r="568" spans="1:17" ht="15.75" x14ac:dyDescent="0.2">
      <c r="A568" s="17"/>
      <c r="B568" s="18"/>
      <c r="C568" s="87" t="str">
        <f>IF(B568="","",
IF(M568=$H$5,IFERROR(VLOOKUP(B568,'Baremos actuales'!A:E,5,FALSE),"No encontrado. Revisar código, fecha ejecución y/o contrato."),
IF(M568=$H$4,IFERROR(VLOOKUP(B568,'Baremos anteriores'!A:E,5,FALSE),"No encontrado. Revisar código, fecha ejecución y/o contrato."),
IF(M568=$H$3,IFERROR(VLOOKUP(B568,#REF!,5,FALSE),"No encontrado. Revisar código, fecha ejecución y/o contrato."),
IF(D568="","Código no encontrado",
IF(D568="ERROR","No encontrado. Revisar Código, fecha de ejecución y/o contrato.",
IF(D568="MATE",
IF(C567="DESCRIPCION","NO SE PUEDE COMENZAR SIN CÓDIGO DE TAREA",
IF(C567="","FALTA CÓDIGO DE TAREA",
CONCATENATE("          ",VLOOKUP(B568,'Maestro Materiales'!A:C,3,FALSE)))),IFERROR(VLOOKUP(B568,#REF!,5,FALSE),"No encontrado. Revisar código, fecha ejecución y/o contrato."))))))))</f>
        <v/>
      </c>
      <c r="D568" s="88" t="str">
        <f>IF(B568="","",
IFERROR(VLOOKUP(B568,'Maestro Materiales'!A:C,2,FALSE),
IFERROR(VLOOKUP(B568,'Baremos actuales'!A:B,2,FALSE),
IFERROR(VLOOKUP(B568,'Baremos anteriores'!A:B,2,FALSE),
""))))</f>
        <v/>
      </c>
      <c r="E568" s="9"/>
      <c r="F568" s="89" t="str">
        <f>IF(D568="MATE",
IF(E568="","¿Unidades?",""),
IF(D568="",IF(E568="","","¿Código?"),
IF(E568="","¿Unidades?",
IF(D568="TARE",
IF(M568=$H$3,IFERROR(VLOOKUP(B568,'Baremos actuales'!A:C,3,FALSE),0),
IF(M568=$H$4,IFERROR(VLOOKUP(B568,'Baremos anteriores'!A:C,3,FALSE),0),0))))))</f>
        <v/>
      </c>
      <c r="G568" s="7"/>
      <c r="H568" s="8"/>
      <c r="I568" s="8"/>
      <c r="J568" s="78" t="str">
        <f>IF($D568="","",
IF($E568="","",
IF($D568="MATE","",
IF(VLOOKUP($B568,'Baremos actuales'!A:D,4,FALSE)=J$9,$E568*$F568,IF(VLOOKUP($B568,'Baremos anteriores'!A:D,4,FALSE)="Sin Definir",$E568*$F568,"")))))</f>
        <v/>
      </c>
      <c r="K568" s="79" t="str">
        <f>IF($D568="","",
IF($E568="","",
IF($D568="MATE","",
IF(VLOOKUP($B568,'Baremos actuales'!$A:$D,4,FALSE)=K$9,$E568*$F568,IF(VLOOKUP($B568,'Baremos anteriores'!$A:$D,4,FALSE)="Desmonte",$E568*$F568,"")))))</f>
        <v/>
      </c>
      <c r="L568" s="80" t="str">
        <f>IF($D568="","",
IF($E568="","",
IF($D568="MATE","",
IF(VLOOKUP($B568,'Baremos actuales'!$A:$D,4,FALSE)=L$9,$E568*$F568,""))))</f>
        <v/>
      </c>
      <c r="M568" s="91" t="str">
        <f t="shared" si="8"/>
        <v/>
      </c>
      <c r="N568" s="96"/>
      <c r="O568" s="95"/>
      <c r="P568" s="96"/>
      <c r="Q568" s="98"/>
    </row>
    <row r="569" spans="1:17" ht="15.75" x14ac:dyDescent="0.2">
      <c r="A569" s="17"/>
      <c r="B569" s="18"/>
      <c r="C569" s="87" t="str">
        <f>IF(B569="","",
IF(M569=$H$5,IFERROR(VLOOKUP(B569,'Baremos actuales'!A:E,5,FALSE),"No encontrado. Revisar código, fecha ejecución y/o contrato."),
IF(M569=$H$4,IFERROR(VLOOKUP(B569,'Baremos anteriores'!A:E,5,FALSE),"No encontrado. Revisar código, fecha ejecución y/o contrato."),
IF(M569=$H$3,IFERROR(VLOOKUP(B569,#REF!,5,FALSE),"No encontrado. Revisar código, fecha ejecución y/o contrato."),
IF(D569="","Código no encontrado",
IF(D569="ERROR","No encontrado. Revisar Código, fecha de ejecución y/o contrato.",
IF(D569="MATE",
IF(C568="DESCRIPCION","NO SE PUEDE COMENZAR SIN CÓDIGO DE TAREA",
IF(C568="","FALTA CÓDIGO DE TAREA",
CONCATENATE("          ",VLOOKUP(B569,'Maestro Materiales'!A:C,3,FALSE)))),IFERROR(VLOOKUP(B569,#REF!,5,FALSE),"No encontrado. Revisar código, fecha ejecución y/o contrato."))))))))</f>
        <v/>
      </c>
      <c r="D569" s="88" t="str">
        <f>IF(B569="","",
IFERROR(VLOOKUP(B569,'Maestro Materiales'!A:C,2,FALSE),
IFERROR(VLOOKUP(B569,'Baremos actuales'!A:B,2,FALSE),
IFERROR(VLOOKUP(B569,'Baremos anteriores'!A:B,2,FALSE),
""))))</f>
        <v/>
      </c>
      <c r="E569" s="9"/>
      <c r="F569" s="89" t="str">
        <f>IF(D569="MATE",
IF(E569="","¿Unidades?",""),
IF(D569="",IF(E569="","","¿Código?"),
IF(E569="","¿Unidades?",
IF(D569="TARE",
IF(M569=$H$3,IFERROR(VLOOKUP(B569,'Baremos actuales'!A:C,3,FALSE),0),
IF(M569=$H$4,IFERROR(VLOOKUP(B569,'Baremos anteriores'!A:C,3,FALSE),0),0))))))</f>
        <v/>
      </c>
      <c r="G569" s="7"/>
      <c r="H569" s="8"/>
      <c r="I569" s="8"/>
      <c r="J569" s="78" t="str">
        <f>IF($D569="","",
IF($E569="","",
IF($D569="MATE","",
IF(VLOOKUP($B569,'Baremos actuales'!A:D,4,FALSE)=J$9,$E569*$F569,IF(VLOOKUP($B569,'Baremos anteriores'!A:D,4,FALSE)="Sin Definir",$E569*$F569,"")))))</f>
        <v/>
      </c>
      <c r="K569" s="79" t="str">
        <f>IF($D569="","",
IF($E569="","",
IF($D569="MATE","",
IF(VLOOKUP($B569,'Baremos actuales'!$A:$D,4,FALSE)=K$9,$E569*$F569,IF(VLOOKUP($B569,'Baremos anteriores'!$A:$D,4,FALSE)="Desmonte",$E569*$F569,"")))))</f>
        <v/>
      </c>
      <c r="L569" s="80" t="str">
        <f>IF($D569="","",
IF($E569="","",
IF($D569="MATE","",
IF(VLOOKUP($B569,'Baremos actuales'!$A:$D,4,FALSE)=L$9,$E569*$F569,""))))</f>
        <v/>
      </c>
      <c r="M569" s="91" t="str">
        <f t="shared" si="8"/>
        <v/>
      </c>
      <c r="N569" s="96"/>
      <c r="O569" s="95"/>
      <c r="P569" s="96"/>
      <c r="Q569" s="98"/>
    </row>
    <row r="570" spans="1:17" ht="15.75" x14ac:dyDescent="0.2">
      <c r="A570" s="17"/>
      <c r="B570" s="18"/>
      <c r="C570" s="87" t="str">
        <f>IF(B570="","",
IF(M570=$H$5,IFERROR(VLOOKUP(B570,'Baremos actuales'!A:E,5,FALSE),"No encontrado. Revisar código, fecha ejecución y/o contrato."),
IF(M570=$H$4,IFERROR(VLOOKUP(B570,'Baremos anteriores'!A:E,5,FALSE),"No encontrado. Revisar código, fecha ejecución y/o contrato."),
IF(M570=$H$3,IFERROR(VLOOKUP(B570,#REF!,5,FALSE),"No encontrado. Revisar código, fecha ejecución y/o contrato."),
IF(D570="","Código no encontrado",
IF(D570="ERROR","No encontrado. Revisar Código, fecha de ejecución y/o contrato.",
IF(D570="MATE",
IF(C569="DESCRIPCION","NO SE PUEDE COMENZAR SIN CÓDIGO DE TAREA",
IF(C569="","FALTA CÓDIGO DE TAREA",
CONCATENATE("          ",VLOOKUP(B570,'Maestro Materiales'!A:C,3,FALSE)))),IFERROR(VLOOKUP(B570,#REF!,5,FALSE),"No encontrado. Revisar código, fecha ejecución y/o contrato."))))))))</f>
        <v/>
      </c>
      <c r="D570" s="88" t="str">
        <f>IF(B570="","",
IFERROR(VLOOKUP(B570,'Maestro Materiales'!A:C,2,FALSE),
IFERROR(VLOOKUP(B570,'Baremos actuales'!A:B,2,FALSE),
IFERROR(VLOOKUP(B570,'Baremos anteriores'!A:B,2,FALSE),
""))))</f>
        <v/>
      </c>
      <c r="E570" s="9"/>
      <c r="F570" s="89" t="str">
        <f>IF(D570="MATE",
IF(E570="","¿Unidades?",""),
IF(D570="",IF(E570="","","¿Código?"),
IF(E570="","¿Unidades?",
IF(D570="TARE",
IF(M570=$H$3,IFERROR(VLOOKUP(B570,'Baremos actuales'!A:C,3,FALSE),0),
IF(M570=$H$4,IFERROR(VLOOKUP(B570,'Baremos anteriores'!A:C,3,FALSE),0),0))))))</f>
        <v/>
      </c>
      <c r="G570" s="7"/>
      <c r="H570" s="8"/>
      <c r="I570" s="8"/>
      <c r="J570" s="78" t="str">
        <f>IF($D570="","",
IF($E570="","",
IF($D570="MATE","",
IF(VLOOKUP($B570,'Baremos actuales'!A:D,4,FALSE)=J$9,$E570*$F570,IF(VLOOKUP($B570,'Baremos anteriores'!A:D,4,FALSE)="Sin Definir",$E570*$F570,"")))))</f>
        <v/>
      </c>
      <c r="K570" s="79" t="str">
        <f>IF($D570="","",
IF($E570="","",
IF($D570="MATE","",
IF(VLOOKUP($B570,'Baremos actuales'!$A:$D,4,FALSE)=K$9,$E570*$F570,IF(VLOOKUP($B570,'Baremos anteriores'!$A:$D,4,FALSE)="Desmonte",$E570*$F570,"")))))</f>
        <v/>
      </c>
      <c r="L570" s="80" t="str">
        <f>IF($D570="","",
IF($E570="","",
IF($D570="MATE","",
IF(VLOOKUP($B570,'Baremos actuales'!$A:$D,4,FALSE)=L$9,$E570*$F570,""))))</f>
        <v/>
      </c>
      <c r="M570" s="91" t="str">
        <f t="shared" si="8"/>
        <v/>
      </c>
      <c r="N570" s="96"/>
      <c r="O570" s="95"/>
      <c r="P570" s="96"/>
      <c r="Q570" s="98"/>
    </row>
    <row r="571" spans="1:17" ht="15.75" x14ac:dyDescent="0.2">
      <c r="A571" s="17"/>
      <c r="B571" s="18"/>
      <c r="C571" s="87" t="str">
        <f>IF(B571="","",
IF(M571=$H$5,IFERROR(VLOOKUP(B571,'Baremos actuales'!A:E,5,FALSE),"No encontrado. Revisar código, fecha ejecución y/o contrato."),
IF(M571=$H$4,IFERROR(VLOOKUP(B571,'Baremos anteriores'!A:E,5,FALSE),"No encontrado. Revisar código, fecha ejecución y/o contrato."),
IF(M571=$H$3,IFERROR(VLOOKUP(B571,#REF!,5,FALSE),"No encontrado. Revisar código, fecha ejecución y/o contrato."),
IF(D571="","Código no encontrado",
IF(D571="ERROR","No encontrado. Revisar Código, fecha de ejecución y/o contrato.",
IF(D571="MATE",
IF(C570="DESCRIPCION","NO SE PUEDE COMENZAR SIN CÓDIGO DE TAREA",
IF(C570="","FALTA CÓDIGO DE TAREA",
CONCATENATE("          ",VLOOKUP(B571,'Maestro Materiales'!A:C,3,FALSE)))),IFERROR(VLOOKUP(B571,#REF!,5,FALSE),"No encontrado. Revisar código, fecha ejecución y/o contrato."))))))))</f>
        <v/>
      </c>
      <c r="D571" s="88" t="str">
        <f>IF(B571="","",
IFERROR(VLOOKUP(B571,'Maestro Materiales'!A:C,2,FALSE),
IFERROR(VLOOKUP(B571,'Baremos actuales'!A:B,2,FALSE),
IFERROR(VLOOKUP(B571,'Baremos anteriores'!A:B,2,FALSE),
""))))</f>
        <v/>
      </c>
      <c r="E571" s="9"/>
      <c r="F571" s="89" t="str">
        <f>IF(D571="MATE",
IF(E571="","¿Unidades?",""),
IF(D571="",IF(E571="","","¿Código?"),
IF(E571="","¿Unidades?",
IF(D571="TARE",
IF(M571=$H$3,IFERROR(VLOOKUP(B571,'Baremos actuales'!A:C,3,FALSE),0),
IF(M571=$H$4,IFERROR(VLOOKUP(B571,'Baremos anteriores'!A:C,3,FALSE),0),0))))))</f>
        <v/>
      </c>
      <c r="G571" s="7"/>
      <c r="H571" s="8"/>
      <c r="I571" s="8"/>
      <c r="J571" s="78" t="str">
        <f>IF($D571="","",
IF($E571="","",
IF($D571="MATE","",
IF(VLOOKUP($B571,'Baremos actuales'!A:D,4,FALSE)=J$9,$E571*$F571,IF(VLOOKUP($B571,'Baremos anteriores'!A:D,4,FALSE)="Sin Definir",$E571*$F571,"")))))</f>
        <v/>
      </c>
      <c r="K571" s="79" t="str">
        <f>IF($D571="","",
IF($E571="","",
IF($D571="MATE","",
IF(VLOOKUP($B571,'Baremos actuales'!$A:$D,4,FALSE)=K$9,$E571*$F571,IF(VLOOKUP($B571,'Baremos anteriores'!$A:$D,4,FALSE)="Desmonte",$E571*$F571,"")))))</f>
        <v/>
      </c>
      <c r="L571" s="80" t="str">
        <f>IF($D571="","",
IF($E571="","",
IF($D571="MATE","",
IF(VLOOKUP($B571,'Baremos actuales'!$A:$D,4,FALSE)=L$9,$E571*$F571,""))))</f>
        <v/>
      </c>
      <c r="M571" s="91" t="str">
        <f t="shared" si="8"/>
        <v/>
      </c>
      <c r="N571" s="96"/>
      <c r="O571" s="95"/>
      <c r="P571" s="96"/>
      <c r="Q571" s="98"/>
    </row>
    <row r="572" spans="1:17" ht="15.75" x14ac:dyDescent="0.2">
      <c r="A572" s="17"/>
      <c r="B572" s="18"/>
      <c r="C572" s="87" t="str">
        <f>IF(B572="","",
IF(M572=$H$5,IFERROR(VLOOKUP(B572,'Baremos actuales'!A:E,5,FALSE),"No encontrado. Revisar código, fecha ejecución y/o contrato."),
IF(M572=$H$4,IFERROR(VLOOKUP(B572,'Baremos anteriores'!A:E,5,FALSE),"No encontrado. Revisar código, fecha ejecución y/o contrato."),
IF(M572=$H$3,IFERROR(VLOOKUP(B572,#REF!,5,FALSE),"No encontrado. Revisar código, fecha ejecución y/o contrato."),
IF(D572="","Código no encontrado",
IF(D572="ERROR","No encontrado. Revisar Código, fecha de ejecución y/o contrato.",
IF(D572="MATE",
IF(C571="DESCRIPCION","NO SE PUEDE COMENZAR SIN CÓDIGO DE TAREA",
IF(C571="","FALTA CÓDIGO DE TAREA",
CONCATENATE("          ",VLOOKUP(B572,'Maestro Materiales'!A:C,3,FALSE)))),IFERROR(VLOOKUP(B572,#REF!,5,FALSE),"No encontrado. Revisar código, fecha ejecución y/o contrato."))))))))</f>
        <v/>
      </c>
      <c r="D572" s="88" t="str">
        <f>IF(B572="","",
IFERROR(VLOOKUP(B572,'Maestro Materiales'!A:C,2,FALSE),
IFERROR(VLOOKUP(B572,'Baremos actuales'!A:B,2,FALSE),
IFERROR(VLOOKUP(B572,'Baremos anteriores'!A:B,2,FALSE),
""))))</f>
        <v/>
      </c>
      <c r="E572" s="9"/>
      <c r="F572" s="89" t="str">
        <f>IF(D572="MATE",
IF(E572="","¿Unidades?",""),
IF(D572="",IF(E572="","","¿Código?"),
IF(E572="","¿Unidades?",
IF(D572="TARE",
IF(M572=$H$3,IFERROR(VLOOKUP(B572,'Baremos actuales'!A:C,3,FALSE),0),
IF(M572=$H$4,IFERROR(VLOOKUP(B572,'Baremos anteriores'!A:C,3,FALSE),0),0))))))</f>
        <v/>
      </c>
      <c r="G572" s="7"/>
      <c r="H572" s="8"/>
      <c r="I572" s="8"/>
      <c r="J572" s="78" t="str">
        <f>IF($D572="","",
IF($E572="","",
IF($D572="MATE","",
IF(VLOOKUP($B572,'Baremos actuales'!A:D,4,FALSE)=J$9,$E572*$F572,IF(VLOOKUP($B572,'Baremos anteriores'!A:D,4,FALSE)="Sin Definir",$E572*$F572,"")))))</f>
        <v/>
      </c>
      <c r="K572" s="79" t="str">
        <f>IF($D572="","",
IF($E572="","",
IF($D572="MATE","",
IF(VLOOKUP($B572,'Baremos actuales'!$A:$D,4,FALSE)=K$9,$E572*$F572,IF(VLOOKUP($B572,'Baremos anteriores'!$A:$D,4,FALSE)="Desmonte",$E572*$F572,"")))))</f>
        <v/>
      </c>
      <c r="L572" s="80" t="str">
        <f>IF($D572="","",
IF($E572="","",
IF($D572="MATE","",
IF(VLOOKUP($B572,'Baremos actuales'!$A:$D,4,FALSE)=L$9,$E572*$F572,""))))</f>
        <v/>
      </c>
      <c r="M572" s="91" t="str">
        <f t="shared" si="8"/>
        <v/>
      </c>
      <c r="N572" s="96"/>
      <c r="O572" s="95"/>
      <c r="P572" s="96"/>
      <c r="Q572" s="98"/>
    </row>
    <row r="573" spans="1:17" ht="15.75" x14ac:dyDescent="0.2">
      <c r="A573" s="17"/>
      <c r="B573" s="18"/>
      <c r="C573" s="87" t="str">
        <f>IF(B573="","",
IF(M573=$H$5,IFERROR(VLOOKUP(B573,'Baremos actuales'!A:E,5,FALSE),"No encontrado. Revisar código, fecha ejecución y/o contrato."),
IF(M573=$H$4,IFERROR(VLOOKUP(B573,'Baremos anteriores'!A:E,5,FALSE),"No encontrado. Revisar código, fecha ejecución y/o contrato."),
IF(M573=$H$3,IFERROR(VLOOKUP(B573,#REF!,5,FALSE),"No encontrado. Revisar código, fecha ejecución y/o contrato."),
IF(D573="","Código no encontrado",
IF(D573="ERROR","No encontrado. Revisar Código, fecha de ejecución y/o contrato.",
IF(D573="MATE",
IF(C572="DESCRIPCION","NO SE PUEDE COMENZAR SIN CÓDIGO DE TAREA",
IF(C572="","FALTA CÓDIGO DE TAREA",
CONCATENATE("          ",VLOOKUP(B573,'Maestro Materiales'!A:C,3,FALSE)))),IFERROR(VLOOKUP(B573,#REF!,5,FALSE),"No encontrado. Revisar código, fecha ejecución y/o contrato."))))))))</f>
        <v/>
      </c>
      <c r="D573" s="88" t="str">
        <f>IF(B573="","",
IFERROR(VLOOKUP(B573,'Maestro Materiales'!A:C,2,FALSE),
IFERROR(VLOOKUP(B573,'Baremos actuales'!A:B,2,FALSE),
IFERROR(VLOOKUP(B573,'Baremos anteriores'!A:B,2,FALSE),
""))))</f>
        <v/>
      </c>
      <c r="E573" s="9"/>
      <c r="F573" s="89" t="str">
        <f>IF(D573="MATE",
IF(E573="","¿Unidades?",""),
IF(D573="",IF(E573="","","¿Código?"),
IF(E573="","¿Unidades?",
IF(D573="TARE",
IF(M573=$H$3,IFERROR(VLOOKUP(B573,'Baremos actuales'!A:C,3,FALSE),0),
IF(M573=$H$4,IFERROR(VLOOKUP(B573,'Baremos anteriores'!A:C,3,FALSE),0),0))))))</f>
        <v/>
      </c>
      <c r="G573" s="7"/>
      <c r="H573" s="8"/>
      <c r="I573" s="8"/>
      <c r="J573" s="78" t="str">
        <f>IF($D573="","",
IF($E573="","",
IF($D573="MATE","",
IF(VLOOKUP($B573,'Baremos actuales'!A:D,4,FALSE)=J$9,$E573*$F573,IF(VLOOKUP($B573,'Baremos anteriores'!A:D,4,FALSE)="Sin Definir",$E573*$F573,"")))))</f>
        <v/>
      </c>
      <c r="K573" s="79" t="str">
        <f>IF($D573="","",
IF($E573="","",
IF($D573="MATE","",
IF(VLOOKUP($B573,'Baremos actuales'!$A:$D,4,FALSE)=K$9,$E573*$F573,IF(VLOOKUP($B573,'Baremos anteriores'!$A:$D,4,FALSE)="Desmonte",$E573*$F573,"")))))</f>
        <v/>
      </c>
      <c r="L573" s="80" t="str">
        <f>IF($D573="","",
IF($E573="","",
IF($D573="MATE","",
IF(VLOOKUP($B573,'Baremos actuales'!$A:$D,4,FALSE)=L$9,$E573*$F573,""))))</f>
        <v/>
      </c>
      <c r="M573" s="91" t="str">
        <f t="shared" si="8"/>
        <v/>
      </c>
      <c r="N573" s="96"/>
      <c r="O573" s="95"/>
      <c r="P573" s="96"/>
      <c r="Q573" s="98"/>
    </row>
    <row r="574" spans="1:17" ht="15.75" x14ac:dyDescent="0.2">
      <c r="A574" s="17"/>
      <c r="B574" s="18"/>
      <c r="C574" s="87" t="str">
        <f>IF(B574="","",
IF(M574=$H$5,IFERROR(VLOOKUP(B574,'Baremos actuales'!A:E,5,FALSE),"No encontrado. Revisar código, fecha ejecución y/o contrato."),
IF(M574=$H$4,IFERROR(VLOOKUP(B574,'Baremos anteriores'!A:E,5,FALSE),"No encontrado. Revisar código, fecha ejecución y/o contrato."),
IF(M574=$H$3,IFERROR(VLOOKUP(B574,#REF!,5,FALSE),"No encontrado. Revisar código, fecha ejecución y/o contrato."),
IF(D574="","Código no encontrado",
IF(D574="ERROR","No encontrado. Revisar Código, fecha de ejecución y/o contrato.",
IF(D574="MATE",
IF(C573="DESCRIPCION","NO SE PUEDE COMENZAR SIN CÓDIGO DE TAREA",
IF(C573="","FALTA CÓDIGO DE TAREA",
CONCATENATE("          ",VLOOKUP(B574,'Maestro Materiales'!A:C,3,FALSE)))),IFERROR(VLOOKUP(B574,#REF!,5,FALSE),"No encontrado. Revisar código, fecha ejecución y/o contrato."))))))))</f>
        <v/>
      </c>
      <c r="D574" s="88" t="str">
        <f>IF(B574="","",
IFERROR(VLOOKUP(B574,'Maestro Materiales'!A:C,2,FALSE),
IFERROR(VLOOKUP(B574,'Baremos actuales'!A:B,2,FALSE),
IFERROR(VLOOKUP(B574,'Baremos anteriores'!A:B,2,FALSE),
""))))</f>
        <v/>
      </c>
      <c r="E574" s="9"/>
      <c r="F574" s="89" t="str">
        <f>IF(D574="MATE",
IF(E574="","¿Unidades?",""),
IF(D574="",IF(E574="","","¿Código?"),
IF(E574="","¿Unidades?",
IF(D574="TARE",
IF(M574=$H$3,IFERROR(VLOOKUP(B574,'Baremos actuales'!A:C,3,FALSE),0),
IF(M574=$H$4,IFERROR(VLOOKUP(B574,'Baremos anteriores'!A:C,3,FALSE),0),0))))))</f>
        <v/>
      </c>
      <c r="G574" s="7"/>
      <c r="H574" s="8"/>
      <c r="I574" s="8"/>
      <c r="J574" s="78" t="str">
        <f>IF($D574="","",
IF($E574="","",
IF($D574="MATE","",
IF(VLOOKUP($B574,'Baremos actuales'!A:D,4,FALSE)=J$9,$E574*$F574,IF(VLOOKUP($B574,'Baremos anteriores'!A:D,4,FALSE)="Sin Definir",$E574*$F574,"")))))</f>
        <v/>
      </c>
      <c r="K574" s="79" t="str">
        <f>IF($D574="","",
IF($E574="","",
IF($D574="MATE","",
IF(VLOOKUP($B574,'Baremos actuales'!$A:$D,4,FALSE)=K$9,$E574*$F574,IF(VLOOKUP($B574,'Baremos anteriores'!$A:$D,4,FALSE)="Desmonte",$E574*$F574,"")))))</f>
        <v/>
      </c>
      <c r="L574" s="80" t="str">
        <f>IF($D574="","",
IF($E574="","",
IF($D574="MATE","",
IF(VLOOKUP($B574,'Baremos actuales'!$A:$D,4,FALSE)=L$9,$E574*$F574,""))))</f>
        <v/>
      </c>
      <c r="M574" s="91" t="str">
        <f t="shared" si="8"/>
        <v/>
      </c>
      <c r="N574" s="96"/>
      <c r="O574" s="95"/>
      <c r="P574" s="96"/>
      <c r="Q574" s="98"/>
    </row>
    <row r="575" spans="1:17" ht="15.75" x14ac:dyDescent="0.2">
      <c r="A575" s="17"/>
      <c r="B575" s="18"/>
      <c r="C575" s="87" t="str">
        <f>IF(B575="","",
IF(M575=$H$5,IFERROR(VLOOKUP(B575,'Baremos actuales'!A:E,5,FALSE),"No encontrado. Revisar código, fecha ejecución y/o contrato."),
IF(M575=$H$4,IFERROR(VLOOKUP(B575,'Baremos anteriores'!A:E,5,FALSE),"No encontrado. Revisar código, fecha ejecución y/o contrato."),
IF(M575=$H$3,IFERROR(VLOOKUP(B575,#REF!,5,FALSE),"No encontrado. Revisar código, fecha ejecución y/o contrato."),
IF(D575="","Código no encontrado",
IF(D575="ERROR","No encontrado. Revisar Código, fecha de ejecución y/o contrato.",
IF(D575="MATE",
IF(C574="DESCRIPCION","NO SE PUEDE COMENZAR SIN CÓDIGO DE TAREA",
IF(C574="","FALTA CÓDIGO DE TAREA",
CONCATENATE("          ",VLOOKUP(B575,'Maestro Materiales'!A:C,3,FALSE)))),IFERROR(VLOOKUP(B575,#REF!,5,FALSE),"No encontrado. Revisar código, fecha ejecución y/o contrato."))))))))</f>
        <v/>
      </c>
      <c r="D575" s="88" t="str">
        <f>IF(B575="","",
IFERROR(VLOOKUP(B575,'Maestro Materiales'!A:C,2,FALSE),
IFERROR(VLOOKUP(B575,'Baremos actuales'!A:B,2,FALSE),
IFERROR(VLOOKUP(B575,'Baremos anteriores'!A:B,2,FALSE),
""))))</f>
        <v/>
      </c>
      <c r="E575" s="9"/>
      <c r="F575" s="89" t="str">
        <f>IF(D575="MATE",
IF(E575="","¿Unidades?",""),
IF(D575="",IF(E575="","","¿Código?"),
IF(E575="","¿Unidades?",
IF(D575="TARE",
IF(M575=$H$3,IFERROR(VLOOKUP(B575,'Baremos actuales'!A:C,3,FALSE),0),
IF(M575=$H$4,IFERROR(VLOOKUP(B575,'Baremos anteriores'!A:C,3,FALSE),0),0))))))</f>
        <v/>
      </c>
      <c r="G575" s="7"/>
      <c r="H575" s="8"/>
      <c r="I575" s="8"/>
      <c r="J575" s="78" t="str">
        <f>IF($D575="","",
IF($E575="","",
IF($D575="MATE","",
IF(VLOOKUP($B575,'Baremos actuales'!A:D,4,FALSE)=J$9,$E575*$F575,IF(VLOOKUP($B575,'Baremos anteriores'!A:D,4,FALSE)="Sin Definir",$E575*$F575,"")))))</f>
        <v/>
      </c>
      <c r="K575" s="79" t="str">
        <f>IF($D575="","",
IF($E575="","",
IF($D575="MATE","",
IF(VLOOKUP($B575,'Baremos actuales'!$A:$D,4,FALSE)=K$9,$E575*$F575,IF(VLOOKUP($B575,'Baremos anteriores'!$A:$D,4,FALSE)="Desmonte",$E575*$F575,"")))))</f>
        <v/>
      </c>
      <c r="L575" s="80" t="str">
        <f>IF($D575="","",
IF($E575="","",
IF($D575="MATE","",
IF(VLOOKUP($B575,'Baremos actuales'!$A:$D,4,FALSE)=L$9,$E575*$F575,""))))</f>
        <v/>
      </c>
      <c r="M575" s="91" t="str">
        <f t="shared" si="8"/>
        <v/>
      </c>
      <c r="N575" s="96"/>
      <c r="O575" s="95"/>
      <c r="P575" s="96"/>
      <c r="Q575" s="98"/>
    </row>
    <row r="576" spans="1:17" ht="15.75" x14ac:dyDescent="0.2">
      <c r="A576" s="17"/>
      <c r="B576" s="18"/>
      <c r="C576" s="87" t="str">
        <f>IF(B576="","",
IF(M576=$H$5,IFERROR(VLOOKUP(B576,'Baremos actuales'!A:E,5,FALSE),"No encontrado. Revisar código, fecha ejecución y/o contrato."),
IF(M576=$H$4,IFERROR(VLOOKUP(B576,'Baremos anteriores'!A:E,5,FALSE),"No encontrado. Revisar código, fecha ejecución y/o contrato."),
IF(M576=$H$3,IFERROR(VLOOKUP(B576,#REF!,5,FALSE),"No encontrado. Revisar código, fecha ejecución y/o contrato."),
IF(D576="","Código no encontrado",
IF(D576="ERROR","No encontrado. Revisar Código, fecha de ejecución y/o contrato.",
IF(D576="MATE",
IF(C575="DESCRIPCION","NO SE PUEDE COMENZAR SIN CÓDIGO DE TAREA",
IF(C575="","FALTA CÓDIGO DE TAREA",
CONCATENATE("          ",VLOOKUP(B576,'Maestro Materiales'!A:C,3,FALSE)))),IFERROR(VLOOKUP(B576,#REF!,5,FALSE),"No encontrado. Revisar código, fecha ejecución y/o contrato."))))))))</f>
        <v/>
      </c>
      <c r="D576" s="88" t="str">
        <f>IF(B576="","",
IFERROR(VLOOKUP(B576,'Maestro Materiales'!A:C,2,FALSE),
IFERROR(VLOOKUP(B576,'Baremos actuales'!A:B,2,FALSE),
IFERROR(VLOOKUP(B576,'Baremos anteriores'!A:B,2,FALSE),
""))))</f>
        <v/>
      </c>
      <c r="E576" s="9"/>
      <c r="F576" s="89" t="str">
        <f>IF(D576="MATE",
IF(E576="","¿Unidades?",""),
IF(D576="",IF(E576="","","¿Código?"),
IF(E576="","¿Unidades?",
IF(D576="TARE",
IF(M576=$H$3,IFERROR(VLOOKUP(B576,'Baremos actuales'!A:C,3,FALSE),0),
IF(M576=$H$4,IFERROR(VLOOKUP(B576,'Baremos anteriores'!A:C,3,FALSE),0),0))))))</f>
        <v/>
      </c>
      <c r="G576" s="7"/>
      <c r="H576" s="8"/>
      <c r="I576" s="8"/>
      <c r="J576" s="78" t="str">
        <f>IF($D576="","",
IF($E576="","",
IF($D576="MATE","",
IF(VLOOKUP($B576,'Baremos actuales'!A:D,4,FALSE)=J$9,$E576*$F576,IF(VLOOKUP($B576,'Baremos anteriores'!A:D,4,FALSE)="Sin Definir",$E576*$F576,"")))))</f>
        <v/>
      </c>
      <c r="K576" s="79" t="str">
        <f>IF($D576="","",
IF($E576="","",
IF($D576="MATE","",
IF(VLOOKUP($B576,'Baremos actuales'!$A:$D,4,FALSE)=K$9,$E576*$F576,IF(VLOOKUP($B576,'Baremos anteriores'!$A:$D,4,FALSE)="Desmonte",$E576*$F576,"")))))</f>
        <v/>
      </c>
      <c r="L576" s="80" t="str">
        <f>IF($D576="","",
IF($E576="","",
IF($D576="MATE","",
IF(VLOOKUP($B576,'Baremos actuales'!$A:$D,4,FALSE)=L$9,$E576*$F576,""))))</f>
        <v/>
      </c>
      <c r="M576" s="91" t="str">
        <f t="shared" si="8"/>
        <v/>
      </c>
      <c r="N576" s="96"/>
      <c r="O576" s="95"/>
      <c r="P576" s="96"/>
      <c r="Q576" s="98"/>
    </row>
    <row r="577" spans="1:17" ht="15.75" x14ac:dyDescent="0.2">
      <c r="A577" s="17"/>
      <c r="B577" s="18"/>
      <c r="C577" s="87" t="str">
        <f>IF(B577="","",
IF(M577=$H$5,IFERROR(VLOOKUP(B577,'Baremos actuales'!A:E,5,FALSE),"No encontrado. Revisar código, fecha ejecución y/o contrato."),
IF(M577=$H$4,IFERROR(VLOOKUP(B577,'Baremos anteriores'!A:E,5,FALSE),"No encontrado. Revisar código, fecha ejecución y/o contrato."),
IF(M577=$H$3,IFERROR(VLOOKUP(B577,#REF!,5,FALSE),"No encontrado. Revisar código, fecha ejecución y/o contrato."),
IF(D577="","Código no encontrado",
IF(D577="ERROR","No encontrado. Revisar Código, fecha de ejecución y/o contrato.",
IF(D577="MATE",
IF(C576="DESCRIPCION","NO SE PUEDE COMENZAR SIN CÓDIGO DE TAREA",
IF(C576="","FALTA CÓDIGO DE TAREA",
CONCATENATE("          ",VLOOKUP(B577,'Maestro Materiales'!A:C,3,FALSE)))),IFERROR(VLOOKUP(B577,#REF!,5,FALSE),"No encontrado. Revisar código, fecha ejecución y/o contrato."))))))))</f>
        <v/>
      </c>
      <c r="D577" s="88" t="str">
        <f>IF(B577="","",
IFERROR(VLOOKUP(B577,'Maestro Materiales'!A:C,2,FALSE),
IFERROR(VLOOKUP(B577,'Baremos actuales'!A:B,2,FALSE),
IFERROR(VLOOKUP(B577,'Baremos anteriores'!A:B,2,FALSE),
""))))</f>
        <v/>
      </c>
      <c r="E577" s="9"/>
      <c r="F577" s="89" t="str">
        <f>IF(D577="MATE",
IF(E577="","¿Unidades?",""),
IF(D577="",IF(E577="","","¿Código?"),
IF(E577="","¿Unidades?",
IF(D577="TARE",
IF(M577=$H$3,IFERROR(VLOOKUP(B577,'Baremos actuales'!A:C,3,FALSE),0),
IF(M577=$H$4,IFERROR(VLOOKUP(B577,'Baremos anteriores'!A:C,3,FALSE),0),0))))))</f>
        <v/>
      </c>
      <c r="G577" s="7"/>
      <c r="H577" s="8"/>
      <c r="I577" s="8"/>
      <c r="J577" s="78" t="str">
        <f>IF($D577="","",
IF($E577="","",
IF($D577="MATE","",
IF(VLOOKUP($B577,'Baremos actuales'!A:D,4,FALSE)=J$9,$E577*$F577,IF(VLOOKUP($B577,'Baremos anteriores'!A:D,4,FALSE)="Sin Definir",$E577*$F577,"")))))</f>
        <v/>
      </c>
      <c r="K577" s="79" t="str">
        <f>IF($D577="","",
IF($E577="","",
IF($D577="MATE","",
IF(VLOOKUP($B577,'Baremos actuales'!$A:$D,4,FALSE)=K$9,$E577*$F577,IF(VLOOKUP($B577,'Baremos anteriores'!$A:$D,4,FALSE)="Desmonte",$E577*$F577,"")))))</f>
        <v/>
      </c>
      <c r="L577" s="80" t="str">
        <f>IF($D577="","",
IF($E577="","",
IF($D577="MATE","",
IF(VLOOKUP($B577,'Baremos actuales'!$A:$D,4,FALSE)=L$9,$E577*$F577,""))))</f>
        <v/>
      </c>
      <c r="M577" s="91" t="str">
        <f t="shared" si="8"/>
        <v/>
      </c>
      <c r="N577" s="96"/>
      <c r="O577" s="95"/>
      <c r="P577" s="96"/>
      <c r="Q577" s="98"/>
    </row>
    <row r="578" spans="1:17" ht="15.75" x14ac:dyDescent="0.2">
      <c r="A578" s="17"/>
      <c r="B578" s="18"/>
      <c r="C578" s="87" t="str">
        <f>IF(B578="","",
IF(M578=$H$5,IFERROR(VLOOKUP(B578,'Baremos actuales'!A:E,5,FALSE),"No encontrado. Revisar código, fecha ejecución y/o contrato."),
IF(M578=$H$4,IFERROR(VLOOKUP(B578,'Baremos anteriores'!A:E,5,FALSE),"No encontrado. Revisar código, fecha ejecución y/o contrato."),
IF(M578=$H$3,IFERROR(VLOOKUP(B578,#REF!,5,FALSE),"No encontrado. Revisar código, fecha ejecución y/o contrato."),
IF(D578="","Código no encontrado",
IF(D578="ERROR","No encontrado. Revisar Código, fecha de ejecución y/o contrato.",
IF(D578="MATE",
IF(C577="DESCRIPCION","NO SE PUEDE COMENZAR SIN CÓDIGO DE TAREA",
IF(C577="","FALTA CÓDIGO DE TAREA",
CONCATENATE("          ",VLOOKUP(B578,'Maestro Materiales'!A:C,3,FALSE)))),IFERROR(VLOOKUP(B578,#REF!,5,FALSE),"No encontrado. Revisar código, fecha ejecución y/o contrato."))))))))</f>
        <v/>
      </c>
      <c r="D578" s="88" t="str">
        <f>IF(B578="","",
IFERROR(VLOOKUP(B578,'Maestro Materiales'!A:C,2,FALSE),
IFERROR(VLOOKUP(B578,'Baremos actuales'!A:B,2,FALSE),
IFERROR(VLOOKUP(B578,'Baremos anteriores'!A:B,2,FALSE),
""))))</f>
        <v/>
      </c>
      <c r="E578" s="9"/>
      <c r="F578" s="89" t="str">
        <f>IF(D578="MATE",
IF(E578="","¿Unidades?",""),
IF(D578="",IF(E578="","","¿Código?"),
IF(E578="","¿Unidades?",
IF(D578="TARE",
IF(M578=$H$3,IFERROR(VLOOKUP(B578,'Baremos actuales'!A:C,3,FALSE),0),
IF(M578=$H$4,IFERROR(VLOOKUP(B578,'Baremos anteriores'!A:C,3,FALSE),0),0))))))</f>
        <v/>
      </c>
      <c r="G578" s="7"/>
      <c r="H578" s="8"/>
      <c r="I578" s="8"/>
      <c r="J578" s="78" t="str">
        <f>IF($D578="","",
IF($E578="","",
IF($D578="MATE","",
IF(VLOOKUP($B578,'Baremos actuales'!A:D,4,FALSE)=J$9,$E578*$F578,IF(VLOOKUP($B578,'Baremos anteriores'!A:D,4,FALSE)="Sin Definir",$E578*$F578,"")))))</f>
        <v/>
      </c>
      <c r="K578" s="79" t="str">
        <f>IF($D578="","",
IF($E578="","",
IF($D578="MATE","",
IF(VLOOKUP($B578,'Baremos actuales'!$A:$D,4,FALSE)=K$9,$E578*$F578,IF(VLOOKUP($B578,'Baremos anteriores'!$A:$D,4,FALSE)="Desmonte",$E578*$F578,"")))))</f>
        <v/>
      </c>
      <c r="L578" s="80" t="str">
        <f>IF($D578="","",
IF($E578="","",
IF($D578="MATE","",
IF(VLOOKUP($B578,'Baremos actuales'!$A:$D,4,FALSE)=L$9,$E578*$F578,""))))</f>
        <v/>
      </c>
      <c r="M578" s="91" t="str">
        <f t="shared" si="8"/>
        <v/>
      </c>
      <c r="N578" s="96"/>
      <c r="O578" s="95"/>
      <c r="P578" s="96"/>
      <c r="Q578" s="98"/>
    </row>
    <row r="579" spans="1:17" ht="15.75" x14ac:dyDescent="0.2">
      <c r="A579" s="17"/>
      <c r="B579" s="18"/>
      <c r="C579" s="87" t="str">
        <f>IF(B579="","",
IF(M579=$H$5,IFERROR(VLOOKUP(B579,'Baremos actuales'!A:E,5,FALSE),"No encontrado. Revisar código, fecha ejecución y/o contrato."),
IF(M579=$H$4,IFERROR(VLOOKUP(B579,'Baremos anteriores'!A:E,5,FALSE),"No encontrado. Revisar código, fecha ejecución y/o contrato."),
IF(M579=$H$3,IFERROR(VLOOKUP(B579,#REF!,5,FALSE),"No encontrado. Revisar código, fecha ejecución y/o contrato."),
IF(D579="","Código no encontrado",
IF(D579="ERROR","No encontrado. Revisar Código, fecha de ejecución y/o contrato.",
IF(D579="MATE",
IF(C578="DESCRIPCION","NO SE PUEDE COMENZAR SIN CÓDIGO DE TAREA",
IF(C578="","FALTA CÓDIGO DE TAREA",
CONCATENATE("          ",VLOOKUP(B579,'Maestro Materiales'!A:C,3,FALSE)))),IFERROR(VLOOKUP(B579,#REF!,5,FALSE),"No encontrado. Revisar código, fecha ejecución y/o contrato."))))))))</f>
        <v/>
      </c>
      <c r="D579" s="88" t="str">
        <f>IF(B579="","",
IFERROR(VLOOKUP(B579,'Maestro Materiales'!A:C,2,FALSE),
IFERROR(VLOOKUP(B579,'Baremos actuales'!A:B,2,FALSE),
IFERROR(VLOOKUP(B579,'Baremos anteriores'!A:B,2,FALSE),
""))))</f>
        <v/>
      </c>
      <c r="E579" s="9"/>
      <c r="F579" s="89" t="str">
        <f>IF(D579="MATE",
IF(E579="","¿Unidades?",""),
IF(D579="",IF(E579="","","¿Código?"),
IF(E579="","¿Unidades?",
IF(D579="TARE",
IF(M579=$H$3,IFERROR(VLOOKUP(B579,'Baremos actuales'!A:C,3,FALSE),0),
IF(M579=$H$4,IFERROR(VLOOKUP(B579,'Baremos anteriores'!A:C,3,FALSE),0),0))))))</f>
        <v/>
      </c>
      <c r="G579" s="7"/>
      <c r="H579" s="8"/>
      <c r="I579" s="8"/>
      <c r="J579" s="78" t="str">
        <f>IF($D579="","",
IF($E579="","",
IF($D579="MATE","",
IF(VLOOKUP($B579,'Baremos actuales'!A:D,4,FALSE)=J$9,$E579*$F579,IF(VLOOKUP($B579,'Baremos anteriores'!A:D,4,FALSE)="Sin Definir",$E579*$F579,"")))))</f>
        <v/>
      </c>
      <c r="K579" s="79" t="str">
        <f>IF($D579="","",
IF($E579="","",
IF($D579="MATE","",
IF(VLOOKUP($B579,'Baremos actuales'!$A:$D,4,FALSE)=K$9,$E579*$F579,IF(VLOOKUP($B579,'Baremos anteriores'!$A:$D,4,FALSE)="Desmonte",$E579*$F579,"")))))</f>
        <v/>
      </c>
      <c r="L579" s="80" t="str">
        <f>IF($D579="","",
IF($E579="","",
IF($D579="MATE","",
IF(VLOOKUP($B579,'Baremos actuales'!$A:$D,4,FALSE)=L$9,$E579*$F579,""))))</f>
        <v/>
      </c>
      <c r="M579" s="91" t="str">
        <f t="shared" si="8"/>
        <v/>
      </c>
      <c r="N579" s="96"/>
      <c r="O579" s="95"/>
      <c r="P579" s="96"/>
      <c r="Q579" s="98"/>
    </row>
    <row r="580" spans="1:17" ht="15.75" x14ac:dyDescent="0.2">
      <c r="A580" s="17"/>
      <c r="B580" s="18"/>
      <c r="C580" s="87" t="str">
        <f>IF(B580="","",
IF(M580=$H$5,IFERROR(VLOOKUP(B580,'Baremos actuales'!A:E,5,FALSE),"No encontrado. Revisar código, fecha ejecución y/o contrato."),
IF(M580=$H$4,IFERROR(VLOOKUP(B580,'Baremos anteriores'!A:E,5,FALSE),"No encontrado. Revisar código, fecha ejecución y/o contrato."),
IF(M580=$H$3,IFERROR(VLOOKUP(B580,#REF!,5,FALSE),"No encontrado. Revisar código, fecha ejecución y/o contrato."),
IF(D580="","Código no encontrado",
IF(D580="ERROR","No encontrado. Revisar Código, fecha de ejecución y/o contrato.",
IF(D580="MATE",
IF(C579="DESCRIPCION","NO SE PUEDE COMENZAR SIN CÓDIGO DE TAREA",
IF(C579="","FALTA CÓDIGO DE TAREA",
CONCATENATE("          ",VLOOKUP(B580,'Maestro Materiales'!A:C,3,FALSE)))),IFERROR(VLOOKUP(B580,#REF!,5,FALSE),"No encontrado. Revisar código, fecha ejecución y/o contrato."))))))))</f>
        <v/>
      </c>
      <c r="D580" s="88" t="str">
        <f>IF(B580="","",
IFERROR(VLOOKUP(B580,'Maestro Materiales'!A:C,2,FALSE),
IFERROR(VLOOKUP(B580,'Baremos actuales'!A:B,2,FALSE),
IFERROR(VLOOKUP(B580,'Baremos anteriores'!A:B,2,FALSE),
""))))</f>
        <v/>
      </c>
      <c r="E580" s="9"/>
      <c r="F580" s="89" t="str">
        <f>IF(D580="MATE",
IF(E580="","¿Unidades?",""),
IF(D580="",IF(E580="","","¿Código?"),
IF(E580="","¿Unidades?",
IF(D580="TARE",
IF(M580=$H$3,IFERROR(VLOOKUP(B580,'Baremos actuales'!A:C,3,FALSE),0),
IF(M580=$H$4,IFERROR(VLOOKUP(B580,'Baremos anteriores'!A:C,3,FALSE),0),0))))))</f>
        <v/>
      </c>
      <c r="G580" s="7"/>
      <c r="H580" s="8"/>
      <c r="I580" s="8"/>
      <c r="J580" s="78" t="str">
        <f>IF($D580="","",
IF($E580="","",
IF($D580="MATE","",
IF(VLOOKUP($B580,'Baremos actuales'!A:D,4,FALSE)=J$9,$E580*$F580,IF(VLOOKUP($B580,'Baremos anteriores'!A:D,4,FALSE)="Sin Definir",$E580*$F580,"")))))</f>
        <v/>
      </c>
      <c r="K580" s="79" t="str">
        <f>IF($D580="","",
IF($E580="","",
IF($D580="MATE","",
IF(VLOOKUP($B580,'Baremos actuales'!$A:$D,4,FALSE)=K$9,$E580*$F580,IF(VLOOKUP($B580,'Baremos anteriores'!$A:$D,4,FALSE)="Desmonte",$E580*$F580,"")))))</f>
        <v/>
      </c>
      <c r="L580" s="80" t="str">
        <f>IF($D580="","",
IF($E580="","",
IF($D580="MATE","",
IF(VLOOKUP($B580,'Baremos actuales'!$A:$D,4,FALSE)=L$9,$E580*$F580,""))))</f>
        <v/>
      </c>
      <c r="M580" s="91" t="str">
        <f t="shared" si="8"/>
        <v/>
      </c>
      <c r="N580" s="96"/>
      <c r="O580" s="95"/>
      <c r="P580" s="96"/>
      <c r="Q580" s="98"/>
    </row>
    <row r="581" spans="1:17" ht="15.75" x14ac:dyDescent="0.2">
      <c r="A581" s="17"/>
      <c r="B581" s="18"/>
      <c r="C581" s="87" t="str">
        <f>IF(B581="","",
IF(M581=$H$5,IFERROR(VLOOKUP(B581,'Baremos actuales'!A:E,5,FALSE),"No encontrado. Revisar código, fecha ejecución y/o contrato."),
IF(M581=$H$4,IFERROR(VLOOKUP(B581,'Baremos anteriores'!A:E,5,FALSE),"No encontrado. Revisar código, fecha ejecución y/o contrato."),
IF(M581=$H$3,IFERROR(VLOOKUP(B581,#REF!,5,FALSE),"No encontrado. Revisar código, fecha ejecución y/o contrato."),
IF(D581="","Código no encontrado",
IF(D581="ERROR","No encontrado. Revisar Código, fecha de ejecución y/o contrato.",
IF(D581="MATE",
IF(C580="DESCRIPCION","NO SE PUEDE COMENZAR SIN CÓDIGO DE TAREA",
IF(C580="","FALTA CÓDIGO DE TAREA",
CONCATENATE("          ",VLOOKUP(B581,'Maestro Materiales'!A:C,3,FALSE)))),IFERROR(VLOOKUP(B581,#REF!,5,FALSE),"No encontrado. Revisar código, fecha ejecución y/o contrato."))))))))</f>
        <v/>
      </c>
      <c r="D581" s="88" t="str">
        <f>IF(B581="","",
IFERROR(VLOOKUP(B581,'Maestro Materiales'!A:C,2,FALSE),
IFERROR(VLOOKUP(B581,'Baremos actuales'!A:B,2,FALSE),
IFERROR(VLOOKUP(B581,'Baremos anteriores'!A:B,2,FALSE),
""))))</f>
        <v/>
      </c>
      <c r="E581" s="9"/>
      <c r="F581" s="89" t="str">
        <f>IF(D581="MATE",
IF(E581="","¿Unidades?",""),
IF(D581="",IF(E581="","","¿Código?"),
IF(E581="","¿Unidades?",
IF(D581="TARE",
IF(M581=$H$3,IFERROR(VLOOKUP(B581,'Baremos actuales'!A:C,3,FALSE),0),
IF(M581=$H$4,IFERROR(VLOOKUP(B581,'Baremos anteriores'!A:C,3,FALSE),0),0))))))</f>
        <v/>
      </c>
      <c r="G581" s="7"/>
      <c r="H581" s="8"/>
      <c r="I581" s="8"/>
      <c r="J581" s="78" t="str">
        <f>IF($D581="","",
IF($E581="","",
IF($D581="MATE","",
IF(VLOOKUP($B581,'Baremos actuales'!A:D,4,FALSE)=J$9,$E581*$F581,IF(VLOOKUP($B581,'Baremos anteriores'!A:D,4,FALSE)="Sin Definir",$E581*$F581,"")))))</f>
        <v/>
      </c>
      <c r="K581" s="79" t="str">
        <f>IF($D581="","",
IF($E581="","",
IF($D581="MATE","",
IF(VLOOKUP($B581,'Baremos actuales'!$A:$D,4,FALSE)=K$9,$E581*$F581,IF(VLOOKUP($B581,'Baremos anteriores'!$A:$D,4,FALSE)="Desmonte",$E581*$F581,"")))))</f>
        <v/>
      </c>
      <c r="L581" s="80" t="str">
        <f>IF($D581="","",
IF($E581="","",
IF($D581="MATE","",
IF(VLOOKUP($B581,'Baremos actuales'!$A:$D,4,FALSE)=L$9,$E581*$F581,""))))</f>
        <v/>
      </c>
      <c r="M581" s="91" t="str">
        <f t="shared" si="8"/>
        <v/>
      </c>
      <c r="N581" s="96"/>
      <c r="O581" s="95"/>
      <c r="P581" s="96"/>
      <c r="Q581" s="98"/>
    </row>
    <row r="582" spans="1:17" ht="15.75" x14ac:dyDescent="0.2">
      <c r="A582" s="17"/>
      <c r="B582" s="18"/>
      <c r="C582" s="87" t="str">
        <f>IF(B582="","",
IF(M582=$H$5,IFERROR(VLOOKUP(B582,'Baremos actuales'!A:E,5,FALSE),"No encontrado. Revisar código, fecha ejecución y/o contrato."),
IF(M582=$H$4,IFERROR(VLOOKUP(B582,'Baremos anteriores'!A:E,5,FALSE),"No encontrado. Revisar código, fecha ejecución y/o contrato."),
IF(M582=$H$3,IFERROR(VLOOKUP(B582,#REF!,5,FALSE),"No encontrado. Revisar código, fecha ejecución y/o contrato."),
IF(D582="","Código no encontrado",
IF(D582="ERROR","No encontrado. Revisar Código, fecha de ejecución y/o contrato.",
IF(D582="MATE",
IF(C581="DESCRIPCION","NO SE PUEDE COMENZAR SIN CÓDIGO DE TAREA",
IF(C581="","FALTA CÓDIGO DE TAREA",
CONCATENATE("          ",VLOOKUP(B582,'Maestro Materiales'!A:C,3,FALSE)))),IFERROR(VLOOKUP(B582,#REF!,5,FALSE),"No encontrado. Revisar código, fecha ejecución y/o contrato."))))))))</f>
        <v/>
      </c>
      <c r="D582" s="88" t="str">
        <f>IF(B582="","",
IFERROR(VLOOKUP(B582,'Maestro Materiales'!A:C,2,FALSE),
IFERROR(VLOOKUP(B582,'Baremos actuales'!A:B,2,FALSE),
IFERROR(VLOOKUP(B582,'Baremos anteriores'!A:B,2,FALSE),
""))))</f>
        <v/>
      </c>
      <c r="E582" s="9"/>
      <c r="F582" s="89" t="str">
        <f>IF(D582="MATE",
IF(E582="","¿Unidades?",""),
IF(D582="",IF(E582="","","¿Código?"),
IF(E582="","¿Unidades?",
IF(D582="TARE",
IF(M582=$H$3,IFERROR(VLOOKUP(B582,'Baremos actuales'!A:C,3,FALSE),0),
IF(M582=$H$4,IFERROR(VLOOKUP(B582,'Baremos anteriores'!A:C,3,FALSE),0),0))))))</f>
        <v/>
      </c>
      <c r="G582" s="7"/>
      <c r="H582" s="8"/>
      <c r="I582" s="8"/>
      <c r="J582" s="78" t="str">
        <f>IF($D582="","",
IF($E582="","",
IF($D582="MATE","",
IF(VLOOKUP($B582,'Baremos actuales'!A:D,4,FALSE)=J$9,$E582*$F582,IF(VLOOKUP($B582,'Baremos anteriores'!A:D,4,FALSE)="Sin Definir",$E582*$F582,"")))))</f>
        <v/>
      </c>
      <c r="K582" s="79" t="str">
        <f>IF($D582="","",
IF($E582="","",
IF($D582="MATE","",
IF(VLOOKUP($B582,'Baremos actuales'!$A:$D,4,FALSE)=K$9,$E582*$F582,IF(VLOOKUP($B582,'Baremos anteriores'!$A:$D,4,FALSE)="Desmonte",$E582*$F582,"")))))</f>
        <v/>
      </c>
      <c r="L582" s="80" t="str">
        <f>IF($D582="","",
IF($E582="","",
IF($D582="MATE","",
IF(VLOOKUP($B582,'Baremos actuales'!$A:$D,4,FALSE)=L$9,$E582*$F582,""))))</f>
        <v/>
      </c>
      <c r="M582" s="91" t="str">
        <f t="shared" si="8"/>
        <v/>
      </c>
      <c r="N582" s="96"/>
      <c r="O582" s="95"/>
      <c r="P582" s="96"/>
      <c r="Q582" s="98"/>
    </row>
    <row r="583" spans="1:17" ht="15.75" x14ac:dyDescent="0.2">
      <c r="A583" s="17"/>
      <c r="B583" s="18"/>
      <c r="C583" s="87" t="str">
        <f>IF(B583="","",
IF(M583=$H$5,IFERROR(VLOOKUP(B583,'Baremos actuales'!A:E,5,FALSE),"No encontrado. Revisar código, fecha ejecución y/o contrato."),
IF(M583=$H$4,IFERROR(VLOOKUP(B583,'Baremos anteriores'!A:E,5,FALSE),"No encontrado. Revisar código, fecha ejecución y/o contrato."),
IF(M583=$H$3,IFERROR(VLOOKUP(B583,#REF!,5,FALSE),"No encontrado. Revisar código, fecha ejecución y/o contrato."),
IF(D583="","Código no encontrado",
IF(D583="ERROR","No encontrado. Revisar Código, fecha de ejecución y/o contrato.",
IF(D583="MATE",
IF(C582="DESCRIPCION","NO SE PUEDE COMENZAR SIN CÓDIGO DE TAREA",
IF(C582="","FALTA CÓDIGO DE TAREA",
CONCATENATE("          ",VLOOKUP(B583,'Maestro Materiales'!A:C,3,FALSE)))),IFERROR(VLOOKUP(B583,#REF!,5,FALSE),"No encontrado. Revisar código, fecha ejecución y/o contrato."))))))))</f>
        <v/>
      </c>
      <c r="D583" s="88" t="str">
        <f>IF(B583="","",
IFERROR(VLOOKUP(B583,'Maestro Materiales'!A:C,2,FALSE),
IFERROR(VLOOKUP(B583,'Baremos actuales'!A:B,2,FALSE),
IFERROR(VLOOKUP(B583,'Baremos anteriores'!A:B,2,FALSE),
""))))</f>
        <v/>
      </c>
      <c r="E583" s="9"/>
      <c r="F583" s="89" t="str">
        <f>IF(D583="MATE",
IF(E583="","¿Unidades?",""),
IF(D583="",IF(E583="","","¿Código?"),
IF(E583="","¿Unidades?",
IF(D583="TARE",
IF(M583=$H$3,IFERROR(VLOOKUP(B583,'Baremos actuales'!A:C,3,FALSE),0),
IF(M583=$H$4,IFERROR(VLOOKUP(B583,'Baremos anteriores'!A:C,3,FALSE),0),0))))))</f>
        <v/>
      </c>
      <c r="G583" s="7"/>
      <c r="H583" s="8"/>
      <c r="I583" s="8"/>
      <c r="J583" s="78" t="str">
        <f>IF($D583="","",
IF($E583="","",
IF($D583="MATE","",
IF(VLOOKUP($B583,'Baremos actuales'!A:D,4,FALSE)=J$9,$E583*$F583,IF(VLOOKUP($B583,'Baremos anteriores'!A:D,4,FALSE)="Sin Definir",$E583*$F583,"")))))</f>
        <v/>
      </c>
      <c r="K583" s="79" t="str">
        <f>IF($D583="","",
IF($E583="","",
IF($D583="MATE","",
IF(VLOOKUP($B583,'Baremos actuales'!$A:$D,4,FALSE)=K$9,$E583*$F583,IF(VLOOKUP($B583,'Baremos anteriores'!$A:$D,4,FALSE)="Desmonte",$E583*$F583,"")))))</f>
        <v/>
      </c>
      <c r="L583" s="80" t="str">
        <f>IF($D583="","",
IF($E583="","",
IF($D583="MATE","",
IF(VLOOKUP($B583,'Baremos actuales'!$A:$D,4,FALSE)=L$9,$E583*$F583,""))))</f>
        <v/>
      </c>
      <c r="M583" s="91" t="str">
        <f t="shared" si="8"/>
        <v/>
      </c>
      <c r="N583" s="96"/>
      <c r="O583" s="95"/>
      <c r="P583" s="96"/>
      <c r="Q583" s="98"/>
    </row>
    <row r="584" spans="1:17" ht="15.75" x14ac:dyDescent="0.2">
      <c r="A584" s="17"/>
      <c r="B584" s="18"/>
      <c r="C584" s="87" t="str">
        <f>IF(B584="","",
IF(M584=$H$5,IFERROR(VLOOKUP(B584,'Baremos actuales'!A:E,5,FALSE),"No encontrado. Revisar código, fecha ejecución y/o contrato."),
IF(M584=$H$4,IFERROR(VLOOKUP(B584,'Baremos anteriores'!A:E,5,FALSE),"No encontrado. Revisar código, fecha ejecución y/o contrato."),
IF(M584=$H$3,IFERROR(VLOOKUP(B584,#REF!,5,FALSE),"No encontrado. Revisar código, fecha ejecución y/o contrato."),
IF(D584="","Código no encontrado",
IF(D584="ERROR","No encontrado. Revisar Código, fecha de ejecución y/o contrato.",
IF(D584="MATE",
IF(C583="DESCRIPCION","NO SE PUEDE COMENZAR SIN CÓDIGO DE TAREA",
IF(C583="","FALTA CÓDIGO DE TAREA",
CONCATENATE("          ",VLOOKUP(B584,'Maestro Materiales'!A:C,3,FALSE)))),IFERROR(VLOOKUP(B584,#REF!,5,FALSE),"No encontrado. Revisar código, fecha ejecución y/o contrato."))))))))</f>
        <v/>
      </c>
      <c r="D584" s="88" t="str">
        <f>IF(B584="","",
IFERROR(VLOOKUP(B584,'Maestro Materiales'!A:C,2,FALSE),
IFERROR(VLOOKUP(B584,'Baremos actuales'!A:B,2,FALSE),
IFERROR(VLOOKUP(B584,'Baremos anteriores'!A:B,2,FALSE),
""))))</f>
        <v/>
      </c>
      <c r="E584" s="9"/>
      <c r="F584" s="89" t="str">
        <f>IF(D584="MATE",
IF(E584="","¿Unidades?",""),
IF(D584="",IF(E584="","","¿Código?"),
IF(E584="","¿Unidades?",
IF(D584="TARE",
IF(M584=$H$3,IFERROR(VLOOKUP(B584,'Baremos actuales'!A:C,3,FALSE),0),
IF(M584=$H$4,IFERROR(VLOOKUP(B584,'Baremos anteriores'!A:C,3,FALSE),0),0))))))</f>
        <v/>
      </c>
      <c r="G584" s="7"/>
      <c r="H584" s="8"/>
      <c r="I584" s="8"/>
      <c r="J584" s="78" t="str">
        <f>IF($D584="","",
IF($E584="","",
IF($D584="MATE","",
IF(VLOOKUP($B584,'Baremos actuales'!A:D,4,FALSE)=J$9,$E584*$F584,IF(VLOOKUP($B584,'Baremos anteriores'!A:D,4,FALSE)="Sin Definir",$E584*$F584,"")))))</f>
        <v/>
      </c>
      <c r="K584" s="79" t="str">
        <f>IF($D584="","",
IF($E584="","",
IF($D584="MATE","",
IF(VLOOKUP($B584,'Baremos actuales'!$A:$D,4,FALSE)=K$9,$E584*$F584,IF(VLOOKUP($B584,'Baremos anteriores'!$A:$D,4,FALSE)="Desmonte",$E584*$F584,"")))))</f>
        <v/>
      </c>
      <c r="L584" s="80" t="str">
        <f>IF($D584="","",
IF($E584="","",
IF($D584="MATE","",
IF(VLOOKUP($B584,'Baremos actuales'!$A:$D,4,FALSE)=L$9,$E584*$F584,""))))</f>
        <v/>
      </c>
      <c r="M584" s="91" t="str">
        <f t="shared" si="8"/>
        <v/>
      </c>
      <c r="N584" s="96"/>
      <c r="O584" s="95"/>
      <c r="P584" s="96"/>
      <c r="Q584" s="98"/>
    </row>
    <row r="585" spans="1:17" ht="15.75" x14ac:dyDescent="0.2">
      <c r="A585" s="17"/>
      <c r="B585" s="18"/>
      <c r="C585" s="87" t="str">
        <f>IF(B585="","",
IF(M585=$H$5,IFERROR(VLOOKUP(B585,'Baremos actuales'!A:E,5,FALSE),"No encontrado. Revisar código, fecha ejecución y/o contrato."),
IF(M585=$H$4,IFERROR(VLOOKUP(B585,'Baremos anteriores'!A:E,5,FALSE),"No encontrado. Revisar código, fecha ejecución y/o contrato."),
IF(M585=$H$3,IFERROR(VLOOKUP(B585,#REF!,5,FALSE),"No encontrado. Revisar código, fecha ejecución y/o contrato."),
IF(D585="","Código no encontrado",
IF(D585="ERROR","No encontrado. Revisar Código, fecha de ejecución y/o contrato.",
IF(D585="MATE",
IF(C584="DESCRIPCION","NO SE PUEDE COMENZAR SIN CÓDIGO DE TAREA",
IF(C584="","FALTA CÓDIGO DE TAREA",
CONCATENATE("          ",VLOOKUP(B585,'Maestro Materiales'!A:C,3,FALSE)))),IFERROR(VLOOKUP(B585,#REF!,5,FALSE),"No encontrado. Revisar código, fecha ejecución y/o contrato."))))))))</f>
        <v/>
      </c>
      <c r="D585" s="88" t="str">
        <f>IF(B585="","",
IFERROR(VLOOKUP(B585,'Maestro Materiales'!A:C,2,FALSE),
IFERROR(VLOOKUP(B585,'Baremos actuales'!A:B,2,FALSE),
IFERROR(VLOOKUP(B585,'Baremos anteriores'!A:B,2,FALSE),
""))))</f>
        <v/>
      </c>
      <c r="E585" s="9"/>
      <c r="F585" s="89" t="str">
        <f>IF(D585="MATE",
IF(E585="","¿Unidades?",""),
IF(D585="",IF(E585="","","¿Código?"),
IF(E585="","¿Unidades?",
IF(D585="TARE",
IF(M585=$H$3,IFERROR(VLOOKUP(B585,'Baremos actuales'!A:C,3,FALSE),0),
IF(M585=$H$4,IFERROR(VLOOKUP(B585,'Baremos anteriores'!A:C,3,FALSE),0),0))))))</f>
        <v/>
      </c>
      <c r="G585" s="7"/>
      <c r="H585" s="8"/>
      <c r="I585" s="8"/>
      <c r="J585" s="78" t="str">
        <f>IF($D585="","",
IF($E585="","",
IF($D585="MATE","",
IF(VLOOKUP($B585,'Baremos actuales'!A:D,4,FALSE)=J$9,$E585*$F585,IF(VLOOKUP($B585,'Baremos anteriores'!A:D,4,FALSE)="Sin Definir",$E585*$F585,"")))))</f>
        <v/>
      </c>
      <c r="K585" s="79" t="str">
        <f>IF($D585="","",
IF($E585="","",
IF($D585="MATE","",
IF(VLOOKUP($B585,'Baremos actuales'!$A:$D,4,FALSE)=K$9,$E585*$F585,IF(VLOOKUP($B585,'Baremos anteriores'!$A:$D,4,FALSE)="Desmonte",$E585*$F585,"")))))</f>
        <v/>
      </c>
      <c r="L585" s="80" t="str">
        <f>IF($D585="","",
IF($E585="","",
IF($D585="MATE","",
IF(VLOOKUP($B585,'Baremos actuales'!$A:$D,4,FALSE)=L$9,$E585*$F585,""))))</f>
        <v/>
      </c>
      <c r="M585" s="91" t="str">
        <f t="shared" si="8"/>
        <v/>
      </c>
      <c r="N585" s="96"/>
      <c r="O585" s="95"/>
      <c r="P585" s="96"/>
      <c r="Q585" s="98"/>
    </row>
    <row r="586" spans="1:17" ht="15.75" x14ac:dyDescent="0.2">
      <c r="A586" s="17"/>
      <c r="B586" s="18"/>
      <c r="C586" s="87" t="str">
        <f>IF(B586="","",
IF(M586=$H$5,IFERROR(VLOOKUP(B586,'Baremos actuales'!A:E,5,FALSE),"No encontrado. Revisar código, fecha ejecución y/o contrato."),
IF(M586=$H$4,IFERROR(VLOOKUP(B586,'Baremos anteriores'!A:E,5,FALSE),"No encontrado. Revisar código, fecha ejecución y/o contrato."),
IF(M586=$H$3,IFERROR(VLOOKUP(B586,#REF!,5,FALSE),"No encontrado. Revisar código, fecha ejecución y/o contrato."),
IF(D586="","Código no encontrado",
IF(D586="ERROR","No encontrado. Revisar Código, fecha de ejecución y/o contrato.",
IF(D586="MATE",
IF(C585="DESCRIPCION","NO SE PUEDE COMENZAR SIN CÓDIGO DE TAREA",
IF(C585="","FALTA CÓDIGO DE TAREA",
CONCATENATE("          ",VLOOKUP(B586,'Maestro Materiales'!A:C,3,FALSE)))),IFERROR(VLOOKUP(B586,#REF!,5,FALSE),"No encontrado. Revisar código, fecha ejecución y/o contrato."))))))))</f>
        <v/>
      </c>
      <c r="D586" s="88" t="str">
        <f>IF(B586="","",
IFERROR(VLOOKUP(B586,'Maestro Materiales'!A:C,2,FALSE),
IFERROR(VLOOKUP(B586,'Baremos actuales'!A:B,2,FALSE),
IFERROR(VLOOKUP(B586,'Baremos anteriores'!A:B,2,FALSE),
""))))</f>
        <v/>
      </c>
      <c r="E586" s="9"/>
      <c r="F586" s="89" t="str">
        <f>IF(D586="MATE",
IF(E586="","¿Unidades?",""),
IF(D586="",IF(E586="","","¿Código?"),
IF(E586="","¿Unidades?",
IF(D586="TARE",
IF(M586=$H$3,IFERROR(VLOOKUP(B586,'Baremos actuales'!A:C,3,FALSE),0),
IF(M586=$H$4,IFERROR(VLOOKUP(B586,'Baremos anteriores'!A:C,3,FALSE),0),0))))))</f>
        <v/>
      </c>
      <c r="G586" s="7"/>
      <c r="H586" s="8"/>
      <c r="I586" s="8"/>
      <c r="J586" s="78" t="str">
        <f>IF($D586="","",
IF($E586="","",
IF($D586="MATE","",
IF(VLOOKUP($B586,'Baremos actuales'!A:D,4,FALSE)=J$9,$E586*$F586,IF(VLOOKUP($B586,'Baremos anteriores'!A:D,4,FALSE)="Sin Definir",$E586*$F586,"")))))</f>
        <v/>
      </c>
      <c r="K586" s="79" t="str">
        <f>IF($D586="","",
IF($E586="","",
IF($D586="MATE","",
IF(VLOOKUP($B586,'Baremos actuales'!$A:$D,4,FALSE)=K$9,$E586*$F586,IF(VLOOKUP($B586,'Baremos anteriores'!$A:$D,4,FALSE)="Desmonte",$E586*$F586,"")))))</f>
        <v/>
      </c>
      <c r="L586" s="80" t="str">
        <f>IF($D586="","",
IF($E586="","",
IF($D586="MATE","",
IF(VLOOKUP($B586,'Baremos actuales'!$A:$D,4,FALSE)=L$9,$E586*$F586,""))))</f>
        <v/>
      </c>
      <c r="M586" s="91" t="str">
        <f t="shared" si="8"/>
        <v/>
      </c>
      <c r="N586" s="96"/>
      <c r="O586" s="95"/>
      <c r="P586" s="96"/>
      <c r="Q586" s="98"/>
    </row>
    <row r="587" spans="1:17" ht="15.75" x14ac:dyDescent="0.2">
      <c r="A587" s="17"/>
      <c r="B587" s="18"/>
      <c r="C587" s="87" t="str">
        <f>IF(B587="","",
IF(M587=$H$5,IFERROR(VLOOKUP(B587,'Baremos actuales'!A:E,5,FALSE),"No encontrado. Revisar código, fecha ejecución y/o contrato."),
IF(M587=$H$4,IFERROR(VLOOKUP(B587,'Baremos anteriores'!A:E,5,FALSE),"No encontrado. Revisar código, fecha ejecución y/o contrato."),
IF(M587=$H$3,IFERROR(VLOOKUP(B587,#REF!,5,FALSE),"No encontrado. Revisar código, fecha ejecución y/o contrato."),
IF(D587="","Código no encontrado",
IF(D587="ERROR","No encontrado. Revisar Código, fecha de ejecución y/o contrato.",
IF(D587="MATE",
IF(C586="DESCRIPCION","NO SE PUEDE COMENZAR SIN CÓDIGO DE TAREA",
IF(C586="","FALTA CÓDIGO DE TAREA",
CONCATENATE("          ",VLOOKUP(B587,'Maestro Materiales'!A:C,3,FALSE)))),IFERROR(VLOOKUP(B587,#REF!,5,FALSE),"No encontrado. Revisar código, fecha ejecución y/o contrato."))))))))</f>
        <v/>
      </c>
      <c r="D587" s="88" t="str">
        <f>IF(B587="","",
IFERROR(VLOOKUP(B587,'Maestro Materiales'!A:C,2,FALSE),
IFERROR(VLOOKUP(B587,'Baremos actuales'!A:B,2,FALSE),
IFERROR(VLOOKUP(B587,'Baremos anteriores'!A:B,2,FALSE),
""))))</f>
        <v/>
      </c>
      <c r="E587" s="9"/>
      <c r="F587" s="89" t="str">
        <f>IF(D587="MATE",
IF(E587="","¿Unidades?",""),
IF(D587="",IF(E587="","","¿Código?"),
IF(E587="","¿Unidades?",
IF(D587="TARE",
IF(M587=$H$3,IFERROR(VLOOKUP(B587,'Baremos actuales'!A:C,3,FALSE),0),
IF(M587=$H$4,IFERROR(VLOOKUP(B587,'Baremos anteriores'!A:C,3,FALSE),0),0))))))</f>
        <v/>
      </c>
      <c r="G587" s="7"/>
      <c r="H587" s="8"/>
      <c r="I587" s="8"/>
      <c r="J587" s="78" t="str">
        <f>IF($D587="","",
IF($E587="","",
IF($D587="MATE","",
IF(VLOOKUP($B587,'Baremos actuales'!A:D,4,FALSE)=J$9,$E587*$F587,IF(VLOOKUP($B587,'Baremos anteriores'!A:D,4,FALSE)="Sin Definir",$E587*$F587,"")))))</f>
        <v/>
      </c>
      <c r="K587" s="79" t="str">
        <f>IF($D587="","",
IF($E587="","",
IF($D587="MATE","",
IF(VLOOKUP($B587,'Baremos actuales'!$A:$D,4,FALSE)=K$9,$E587*$F587,IF(VLOOKUP($B587,'Baremos anteriores'!$A:$D,4,FALSE)="Desmonte",$E587*$F587,"")))))</f>
        <v/>
      </c>
      <c r="L587" s="80" t="str">
        <f>IF($D587="","",
IF($E587="","",
IF($D587="MATE","",
IF(VLOOKUP($B587,'Baremos actuales'!$A:$D,4,FALSE)=L$9,$E587*$F587,""))))</f>
        <v/>
      </c>
      <c r="M587" s="91" t="str">
        <f t="shared" ref="M587:M650" si="9">IF(D587="MATE","Materiales",IF(B587="","",
IF($Q$1="O","Obsoleto",$F$2)))</f>
        <v/>
      </c>
      <c r="N587" s="96"/>
      <c r="O587" s="95"/>
      <c r="P587" s="96"/>
      <c r="Q587" s="98"/>
    </row>
    <row r="588" spans="1:17" ht="15.75" x14ac:dyDescent="0.2">
      <c r="A588" s="17"/>
      <c r="B588" s="18"/>
      <c r="C588" s="87" t="str">
        <f>IF(B588="","",
IF(M588=$H$5,IFERROR(VLOOKUP(B588,'Baremos actuales'!A:E,5,FALSE),"No encontrado. Revisar código, fecha ejecución y/o contrato."),
IF(M588=$H$4,IFERROR(VLOOKUP(B588,'Baremos anteriores'!A:E,5,FALSE),"No encontrado. Revisar código, fecha ejecución y/o contrato."),
IF(M588=$H$3,IFERROR(VLOOKUP(B588,#REF!,5,FALSE),"No encontrado. Revisar código, fecha ejecución y/o contrato."),
IF(D588="","Código no encontrado",
IF(D588="ERROR","No encontrado. Revisar Código, fecha de ejecución y/o contrato.",
IF(D588="MATE",
IF(C587="DESCRIPCION","NO SE PUEDE COMENZAR SIN CÓDIGO DE TAREA",
IF(C587="","FALTA CÓDIGO DE TAREA",
CONCATENATE("          ",VLOOKUP(B588,'Maestro Materiales'!A:C,3,FALSE)))),IFERROR(VLOOKUP(B588,#REF!,5,FALSE),"No encontrado. Revisar código, fecha ejecución y/o contrato."))))))))</f>
        <v/>
      </c>
      <c r="D588" s="88" t="str">
        <f>IF(B588="","",
IFERROR(VLOOKUP(B588,'Maestro Materiales'!A:C,2,FALSE),
IFERROR(VLOOKUP(B588,'Baremos actuales'!A:B,2,FALSE),
IFERROR(VLOOKUP(B588,'Baremos anteriores'!A:B,2,FALSE),
""))))</f>
        <v/>
      </c>
      <c r="E588" s="9"/>
      <c r="F588" s="89" t="str">
        <f>IF(D588="MATE",
IF(E588="","¿Unidades?",""),
IF(D588="",IF(E588="","","¿Código?"),
IF(E588="","¿Unidades?",
IF(D588="TARE",
IF(M588=$H$3,IFERROR(VLOOKUP(B588,'Baremos actuales'!A:C,3,FALSE),0),
IF(M588=$H$4,IFERROR(VLOOKUP(B588,'Baremos anteriores'!A:C,3,FALSE),0),0))))))</f>
        <v/>
      </c>
      <c r="G588" s="7"/>
      <c r="H588" s="8"/>
      <c r="I588" s="8"/>
      <c r="J588" s="78" t="str">
        <f>IF($D588="","",
IF($E588="","",
IF($D588="MATE","",
IF(VLOOKUP($B588,'Baremos actuales'!A:D,4,FALSE)=J$9,$E588*$F588,IF(VLOOKUP($B588,'Baremos anteriores'!A:D,4,FALSE)="Sin Definir",$E588*$F588,"")))))</f>
        <v/>
      </c>
      <c r="K588" s="79" t="str">
        <f>IF($D588="","",
IF($E588="","",
IF($D588="MATE","",
IF(VLOOKUP($B588,'Baremos actuales'!$A:$D,4,FALSE)=K$9,$E588*$F588,IF(VLOOKUP($B588,'Baremos anteriores'!$A:$D,4,FALSE)="Desmonte",$E588*$F588,"")))))</f>
        <v/>
      </c>
      <c r="L588" s="80" t="str">
        <f>IF($D588="","",
IF($E588="","",
IF($D588="MATE","",
IF(VLOOKUP($B588,'Baremos actuales'!$A:$D,4,FALSE)=L$9,$E588*$F588,""))))</f>
        <v/>
      </c>
      <c r="M588" s="91" t="str">
        <f t="shared" si="9"/>
        <v/>
      </c>
      <c r="N588" s="96"/>
      <c r="O588" s="95"/>
      <c r="P588" s="96"/>
      <c r="Q588" s="98"/>
    </row>
    <row r="589" spans="1:17" ht="15.75" x14ac:dyDescent="0.2">
      <c r="A589" s="17"/>
      <c r="B589" s="18"/>
      <c r="C589" s="87" t="str">
        <f>IF(B589="","",
IF(M589=$H$5,IFERROR(VLOOKUP(B589,'Baremos actuales'!A:E,5,FALSE),"No encontrado. Revisar código, fecha ejecución y/o contrato."),
IF(M589=$H$4,IFERROR(VLOOKUP(B589,'Baremos anteriores'!A:E,5,FALSE),"No encontrado. Revisar código, fecha ejecución y/o contrato."),
IF(M589=$H$3,IFERROR(VLOOKUP(B589,#REF!,5,FALSE),"No encontrado. Revisar código, fecha ejecución y/o contrato."),
IF(D589="","Código no encontrado",
IF(D589="ERROR","No encontrado. Revisar Código, fecha de ejecución y/o contrato.",
IF(D589="MATE",
IF(C588="DESCRIPCION","NO SE PUEDE COMENZAR SIN CÓDIGO DE TAREA",
IF(C588="","FALTA CÓDIGO DE TAREA",
CONCATENATE("          ",VLOOKUP(B589,'Maestro Materiales'!A:C,3,FALSE)))),IFERROR(VLOOKUP(B589,#REF!,5,FALSE),"No encontrado. Revisar código, fecha ejecución y/o contrato."))))))))</f>
        <v/>
      </c>
      <c r="D589" s="88" t="str">
        <f>IF(B589="","",
IFERROR(VLOOKUP(B589,'Maestro Materiales'!A:C,2,FALSE),
IFERROR(VLOOKUP(B589,'Baremos actuales'!A:B,2,FALSE),
IFERROR(VLOOKUP(B589,'Baremos anteriores'!A:B,2,FALSE),
""))))</f>
        <v/>
      </c>
      <c r="E589" s="9"/>
      <c r="F589" s="89" t="str">
        <f>IF(D589="MATE",
IF(E589="","¿Unidades?",""),
IF(D589="",IF(E589="","","¿Código?"),
IF(E589="","¿Unidades?",
IF(D589="TARE",
IF(M589=$H$3,IFERROR(VLOOKUP(B589,'Baremos actuales'!A:C,3,FALSE),0),
IF(M589=$H$4,IFERROR(VLOOKUP(B589,'Baremos anteriores'!A:C,3,FALSE),0),0))))))</f>
        <v/>
      </c>
      <c r="G589" s="7"/>
      <c r="H589" s="8"/>
      <c r="I589" s="8"/>
      <c r="J589" s="78" t="str">
        <f>IF($D589="","",
IF($E589="","",
IF($D589="MATE","",
IF(VLOOKUP($B589,'Baremos actuales'!A:D,4,FALSE)=J$9,$E589*$F589,IF(VLOOKUP($B589,'Baremos anteriores'!A:D,4,FALSE)="Sin Definir",$E589*$F589,"")))))</f>
        <v/>
      </c>
      <c r="K589" s="79" t="str">
        <f>IF($D589="","",
IF($E589="","",
IF($D589="MATE","",
IF(VLOOKUP($B589,'Baremos actuales'!$A:$D,4,FALSE)=K$9,$E589*$F589,IF(VLOOKUP($B589,'Baremos anteriores'!$A:$D,4,FALSE)="Desmonte",$E589*$F589,"")))))</f>
        <v/>
      </c>
      <c r="L589" s="80" t="str">
        <f>IF($D589="","",
IF($E589="","",
IF($D589="MATE","",
IF(VLOOKUP($B589,'Baremos actuales'!$A:$D,4,FALSE)=L$9,$E589*$F589,""))))</f>
        <v/>
      </c>
      <c r="M589" s="91" t="str">
        <f t="shared" si="9"/>
        <v/>
      </c>
      <c r="N589" s="96"/>
      <c r="O589" s="95"/>
      <c r="P589" s="96"/>
      <c r="Q589" s="98"/>
    </row>
    <row r="590" spans="1:17" ht="15.75" x14ac:dyDescent="0.2">
      <c r="A590" s="17"/>
      <c r="B590" s="18"/>
      <c r="C590" s="87" t="str">
        <f>IF(B590="","",
IF(M590=$H$5,IFERROR(VLOOKUP(B590,'Baremos actuales'!A:E,5,FALSE),"No encontrado. Revisar código, fecha ejecución y/o contrato."),
IF(M590=$H$4,IFERROR(VLOOKUP(B590,'Baremos anteriores'!A:E,5,FALSE),"No encontrado. Revisar código, fecha ejecución y/o contrato."),
IF(M590=$H$3,IFERROR(VLOOKUP(B590,#REF!,5,FALSE),"No encontrado. Revisar código, fecha ejecución y/o contrato."),
IF(D590="","Código no encontrado",
IF(D590="ERROR","No encontrado. Revisar Código, fecha de ejecución y/o contrato.",
IF(D590="MATE",
IF(C589="DESCRIPCION","NO SE PUEDE COMENZAR SIN CÓDIGO DE TAREA",
IF(C589="","FALTA CÓDIGO DE TAREA",
CONCATENATE("          ",VLOOKUP(B590,'Maestro Materiales'!A:C,3,FALSE)))),IFERROR(VLOOKUP(B590,#REF!,5,FALSE),"No encontrado. Revisar código, fecha ejecución y/o contrato."))))))))</f>
        <v/>
      </c>
      <c r="D590" s="88" t="str">
        <f>IF(B590="","",
IFERROR(VLOOKUP(B590,'Maestro Materiales'!A:C,2,FALSE),
IFERROR(VLOOKUP(B590,'Baremos actuales'!A:B,2,FALSE),
IFERROR(VLOOKUP(B590,'Baremos anteriores'!A:B,2,FALSE),
""))))</f>
        <v/>
      </c>
      <c r="E590" s="9"/>
      <c r="F590" s="89" t="str">
        <f>IF(D590="MATE",
IF(E590="","¿Unidades?",""),
IF(D590="",IF(E590="","","¿Código?"),
IF(E590="","¿Unidades?",
IF(D590="TARE",
IF(M590=$H$3,IFERROR(VLOOKUP(B590,'Baremos actuales'!A:C,3,FALSE),0),
IF(M590=$H$4,IFERROR(VLOOKUP(B590,'Baremos anteriores'!A:C,3,FALSE),0),0))))))</f>
        <v/>
      </c>
      <c r="G590" s="7"/>
      <c r="H590" s="8"/>
      <c r="I590" s="8"/>
      <c r="J590" s="78" t="str">
        <f>IF($D590="","",
IF($E590="","",
IF($D590="MATE","",
IF(VLOOKUP($B590,'Baremos actuales'!A:D,4,FALSE)=J$9,$E590*$F590,IF(VLOOKUP($B590,'Baremos anteriores'!A:D,4,FALSE)="Sin Definir",$E590*$F590,"")))))</f>
        <v/>
      </c>
      <c r="K590" s="79" t="str">
        <f>IF($D590="","",
IF($E590="","",
IF($D590="MATE","",
IF(VLOOKUP($B590,'Baremos actuales'!$A:$D,4,FALSE)=K$9,$E590*$F590,IF(VLOOKUP($B590,'Baremos anteriores'!$A:$D,4,FALSE)="Desmonte",$E590*$F590,"")))))</f>
        <v/>
      </c>
      <c r="L590" s="80" t="str">
        <f>IF($D590="","",
IF($E590="","",
IF($D590="MATE","",
IF(VLOOKUP($B590,'Baremos actuales'!$A:$D,4,FALSE)=L$9,$E590*$F590,""))))</f>
        <v/>
      </c>
      <c r="M590" s="91" t="str">
        <f t="shared" si="9"/>
        <v/>
      </c>
      <c r="N590" s="96"/>
      <c r="O590" s="95"/>
      <c r="P590" s="96"/>
      <c r="Q590" s="98"/>
    </row>
    <row r="591" spans="1:17" ht="15.75" x14ac:dyDescent="0.2">
      <c r="A591" s="17"/>
      <c r="B591" s="18"/>
      <c r="C591" s="87" t="str">
        <f>IF(B591="","",
IF(M591=$H$5,IFERROR(VLOOKUP(B591,'Baremos actuales'!A:E,5,FALSE),"No encontrado. Revisar código, fecha ejecución y/o contrato."),
IF(M591=$H$4,IFERROR(VLOOKUP(B591,'Baremos anteriores'!A:E,5,FALSE),"No encontrado. Revisar código, fecha ejecución y/o contrato."),
IF(M591=$H$3,IFERROR(VLOOKUP(B591,#REF!,5,FALSE),"No encontrado. Revisar código, fecha ejecución y/o contrato."),
IF(D591="","Código no encontrado",
IF(D591="ERROR","No encontrado. Revisar Código, fecha de ejecución y/o contrato.",
IF(D591="MATE",
IF(C590="DESCRIPCION","NO SE PUEDE COMENZAR SIN CÓDIGO DE TAREA",
IF(C590="","FALTA CÓDIGO DE TAREA",
CONCATENATE("          ",VLOOKUP(B591,'Maestro Materiales'!A:C,3,FALSE)))),IFERROR(VLOOKUP(B591,#REF!,5,FALSE),"No encontrado. Revisar código, fecha ejecución y/o contrato."))))))))</f>
        <v/>
      </c>
      <c r="D591" s="88" t="str">
        <f>IF(B591="","",
IFERROR(VLOOKUP(B591,'Maestro Materiales'!A:C,2,FALSE),
IFERROR(VLOOKUP(B591,'Baremos actuales'!A:B,2,FALSE),
IFERROR(VLOOKUP(B591,'Baremos anteriores'!A:B,2,FALSE),
""))))</f>
        <v/>
      </c>
      <c r="E591" s="9"/>
      <c r="F591" s="89" t="str">
        <f>IF(D591="MATE",
IF(E591="","¿Unidades?",""),
IF(D591="",IF(E591="","","¿Código?"),
IF(E591="","¿Unidades?",
IF(D591="TARE",
IF(M591=$H$3,IFERROR(VLOOKUP(B591,'Baremos actuales'!A:C,3,FALSE),0),
IF(M591=$H$4,IFERROR(VLOOKUP(B591,'Baremos anteriores'!A:C,3,FALSE),0),0))))))</f>
        <v/>
      </c>
      <c r="G591" s="7"/>
      <c r="H591" s="8"/>
      <c r="I591" s="8"/>
      <c r="J591" s="78" t="str">
        <f>IF($D591="","",
IF($E591="","",
IF($D591="MATE","",
IF(VLOOKUP($B591,'Baremos actuales'!A:D,4,FALSE)=J$9,$E591*$F591,IF(VLOOKUP($B591,'Baremos anteriores'!A:D,4,FALSE)="Sin Definir",$E591*$F591,"")))))</f>
        <v/>
      </c>
      <c r="K591" s="79" t="str">
        <f>IF($D591="","",
IF($E591="","",
IF($D591="MATE","",
IF(VLOOKUP($B591,'Baremos actuales'!$A:$D,4,FALSE)=K$9,$E591*$F591,IF(VLOOKUP($B591,'Baremos anteriores'!$A:$D,4,FALSE)="Desmonte",$E591*$F591,"")))))</f>
        <v/>
      </c>
      <c r="L591" s="80" t="str">
        <f>IF($D591="","",
IF($E591="","",
IF($D591="MATE","",
IF(VLOOKUP($B591,'Baremos actuales'!$A:$D,4,FALSE)=L$9,$E591*$F591,""))))</f>
        <v/>
      </c>
      <c r="M591" s="91" t="str">
        <f t="shared" si="9"/>
        <v/>
      </c>
      <c r="N591" s="96"/>
      <c r="O591" s="95"/>
      <c r="P591" s="96"/>
      <c r="Q591" s="98"/>
    </row>
    <row r="592" spans="1:17" ht="15.75" x14ac:dyDescent="0.2">
      <c r="A592" s="17"/>
      <c r="B592" s="18"/>
      <c r="C592" s="87" t="str">
        <f>IF(B592="","",
IF(M592=$H$5,IFERROR(VLOOKUP(B592,'Baremos actuales'!A:E,5,FALSE),"No encontrado. Revisar código, fecha ejecución y/o contrato."),
IF(M592=$H$4,IFERROR(VLOOKUP(B592,'Baremos anteriores'!A:E,5,FALSE),"No encontrado. Revisar código, fecha ejecución y/o contrato."),
IF(M592=$H$3,IFERROR(VLOOKUP(B592,#REF!,5,FALSE),"No encontrado. Revisar código, fecha ejecución y/o contrato."),
IF(D592="","Código no encontrado",
IF(D592="ERROR","No encontrado. Revisar Código, fecha de ejecución y/o contrato.",
IF(D592="MATE",
IF(C591="DESCRIPCION","NO SE PUEDE COMENZAR SIN CÓDIGO DE TAREA",
IF(C591="","FALTA CÓDIGO DE TAREA",
CONCATENATE("          ",VLOOKUP(B592,'Maestro Materiales'!A:C,3,FALSE)))),IFERROR(VLOOKUP(B592,#REF!,5,FALSE),"No encontrado. Revisar código, fecha ejecución y/o contrato."))))))))</f>
        <v/>
      </c>
      <c r="D592" s="88" t="str">
        <f>IF(B592="","",
IFERROR(VLOOKUP(B592,'Maestro Materiales'!A:C,2,FALSE),
IFERROR(VLOOKUP(B592,'Baremos actuales'!A:B,2,FALSE),
IFERROR(VLOOKUP(B592,'Baremos anteriores'!A:B,2,FALSE),
""))))</f>
        <v/>
      </c>
      <c r="E592" s="9"/>
      <c r="F592" s="89" t="str">
        <f>IF(D592="MATE",
IF(E592="","¿Unidades?",""),
IF(D592="",IF(E592="","","¿Código?"),
IF(E592="","¿Unidades?",
IF(D592="TARE",
IF(M592=$H$3,IFERROR(VLOOKUP(B592,'Baremos actuales'!A:C,3,FALSE),0),
IF(M592=$H$4,IFERROR(VLOOKUP(B592,'Baremos anteriores'!A:C,3,FALSE),0),0))))))</f>
        <v/>
      </c>
      <c r="G592" s="7"/>
      <c r="H592" s="8"/>
      <c r="I592" s="8"/>
      <c r="J592" s="78" t="str">
        <f>IF($D592="","",
IF($E592="","",
IF($D592="MATE","",
IF(VLOOKUP($B592,'Baremos actuales'!A:D,4,FALSE)=J$9,$E592*$F592,IF(VLOOKUP($B592,'Baremos anteriores'!A:D,4,FALSE)="Sin Definir",$E592*$F592,"")))))</f>
        <v/>
      </c>
      <c r="K592" s="79" t="str">
        <f>IF($D592="","",
IF($E592="","",
IF($D592="MATE","",
IF(VLOOKUP($B592,'Baremos actuales'!$A:$D,4,FALSE)=K$9,$E592*$F592,IF(VLOOKUP($B592,'Baremos anteriores'!$A:$D,4,FALSE)="Desmonte",$E592*$F592,"")))))</f>
        <v/>
      </c>
      <c r="L592" s="80" t="str">
        <f>IF($D592="","",
IF($E592="","",
IF($D592="MATE","",
IF(VLOOKUP($B592,'Baremos actuales'!$A:$D,4,FALSE)=L$9,$E592*$F592,""))))</f>
        <v/>
      </c>
      <c r="M592" s="91" t="str">
        <f t="shared" si="9"/>
        <v/>
      </c>
      <c r="N592" s="96"/>
      <c r="O592" s="95"/>
      <c r="P592" s="96"/>
      <c r="Q592" s="98"/>
    </row>
    <row r="593" spans="1:17" ht="15.75" x14ac:dyDescent="0.2">
      <c r="A593" s="17"/>
      <c r="B593" s="18"/>
      <c r="C593" s="87" t="str">
        <f>IF(B593="","",
IF(M593=$H$5,IFERROR(VLOOKUP(B593,'Baremos actuales'!A:E,5,FALSE),"No encontrado. Revisar código, fecha ejecución y/o contrato."),
IF(M593=$H$4,IFERROR(VLOOKUP(B593,'Baremos anteriores'!A:E,5,FALSE),"No encontrado. Revisar código, fecha ejecución y/o contrato."),
IF(M593=$H$3,IFERROR(VLOOKUP(B593,#REF!,5,FALSE),"No encontrado. Revisar código, fecha ejecución y/o contrato."),
IF(D593="","Código no encontrado",
IF(D593="ERROR","No encontrado. Revisar Código, fecha de ejecución y/o contrato.",
IF(D593="MATE",
IF(C592="DESCRIPCION","NO SE PUEDE COMENZAR SIN CÓDIGO DE TAREA",
IF(C592="","FALTA CÓDIGO DE TAREA",
CONCATENATE("          ",VLOOKUP(B593,'Maestro Materiales'!A:C,3,FALSE)))),IFERROR(VLOOKUP(B593,#REF!,5,FALSE),"No encontrado. Revisar código, fecha ejecución y/o contrato."))))))))</f>
        <v/>
      </c>
      <c r="D593" s="88" t="str">
        <f>IF(B593="","",
IFERROR(VLOOKUP(B593,'Maestro Materiales'!A:C,2,FALSE),
IFERROR(VLOOKUP(B593,'Baremos actuales'!A:B,2,FALSE),
IFERROR(VLOOKUP(B593,'Baremos anteriores'!A:B,2,FALSE),
""))))</f>
        <v/>
      </c>
      <c r="E593" s="9"/>
      <c r="F593" s="89" t="str">
        <f>IF(D593="MATE",
IF(E593="","¿Unidades?",""),
IF(D593="",IF(E593="","","¿Código?"),
IF(E593="","¿Unidades?",
IF(D593="TARE",
IF(M593=$H$3,IFERROR(VLOOKUP(B593,'Baremos actuales'!A:C,3,FALSE),0),
IF(M593=$H$4,IFERROR(VLOOKUP(B593,'Baremos anteriores'!A:C,3,FALSE),0),0))))))</f>
        <v/>
      </c>
      <c r="G593" s="7"/>
      <c r="H593" s="8"/>
      <c r="I593" s="8"/>
      <c r="J593" s="78" t="str">
        <f>IF($D593="","",
IF($E593="","",
IF($D593="MATE","",
IF(VLOOKUP($B593,'Baremos actuales'!A:D,4,FALSE)=J$9,$E593*$F593,IF(VLOOKUP($B593,'Baremos anteriores'!A:D,4,FALSE)="Sin Definir",$E593*$F593,"")))))</f>
        <v/>
      </c>
      <c r="K593" s="79" t="str">
        <f>IF($D593="","",
IF($E593="","",
IF($D593="MATE","",
IF(VLOOKUP($B593,'Baremos actuales'!$A:$D,4,FALSE)=K$9,$E593*$F593,IF(VLOOKUP($B593,'Baremos anteriores'!$A:$D,4,FALSE)="Desmonte",$E593*$F593,"")))))</f>
        <v/>
      </c>
      <c r="L593" s="80" t="str">
        <f>IF($D593="","",
IF($E593="","",
IF($D593="MATE","",
IF(VLOOKUP($B593,'Baremos actuales'!$A:$D,4,FALSE)=L$9,$E593*$F593,""))))</f>
        <v/>
      </c>
      <c r="M593" s="91" t="str">
        <f t="shared" si="9"/>
        <v/>
      </c>
      <c r="N593" s="96"/>
      <c r="O593" s="95"/>
      <c r="P593" s="96"/>
      <c r="Q593" s="98"/>
    </row>
    <row r="594" spans="1:17" ht="15.75" x14ac:dyDescent="0.2">
      <c r="A594" s="17"/>
      <c r="B594" s="18"/>
      <c r="C594" s="87" t="str">
        <f>IF(B594="","",
IF(M594=$H$5,IFERROR(VLOOKUP(B594,'Baremos actuales'!A:E,5,FALSE),"No encontrado. Revisar código, fecha ejecución y/o contrato."),
IF(M594=$H$4,IFERROR(VLOOKUP(B594,'Baremos anteriores'!A:E,5,FALSE),"No encontrado. Revisar código, fecha ejecución y/o contrato."),
IF(M594=$H$3,IFERROR(VLOOKUP(B594,#REF!,5,FALSE),"No encontrado. Revisar código, fecha ejecución y/o contrato."),
IF(D594="","Código no encontrado",
IF(D594="ERROR","No encontrado. Revisar Código, fecha de ejecución y/o contrato.",
IF(D594="MATE",
IF(C593="DESCRIPCION","NO SE PUEDE COMENZAR SIN CÓDIGO DE TAREA",
IF(C593="","FALTA CÓDIGO DE TAREA",
CONCATENATE("          ",VLOOKUP(B594,'Maestro Materiales'!A:C,3,FALSE)))),IFERROR(VLOOKUP(B594,#REF!,5,FALSE),"No encontrado. Revisar código, fecha ejecución y/o contrato."))))))))</f>
        <v/>
      </c>
      <c r="D594" s="88" t="str">
        <f>IF(B594="","",
IFERROR(VLOOKUP(B594,'Maestro Materiales'!A:C,2,FALSE),
IFERROR(VLOOKUP(B594,'Baremos actuales'!A:B,2,FALSE),
IFERROR(VLOOKUP(B594,'Baremos anteriores'!A:B,2,FALSE),
""))))</f>
        <v/>
      </c>
      <c r="E594" s="9"/>
      <c r="F594" s="89" t="str">
        <f>IF(D594="MATE",
IF(E594="","¿Unidades?",""),
IF(D594="",IF(E594="","","¿Código?"),
IF(E594="","¿Unidades?",
IF(D594="TARE",
IF(M594=$H$3,IFERROR(VLOOKUP(B594,'Baremos actuales'!A:C,3,FALSE),0),
IF(M594=$H$4,IFERROR(VLOOKUP(B594,'Baremos anteriores'!A:C,3,FALSE),0),0))))))</f>
        <v/>
      </c>
      <c r="G594" s="7"/>
      <c r="H594" s="8"/>
      <c r="I594" s="8"/>
      <c r="J594" s="78" t="str">
        <f>IF($D594="","",
IF($E594="","",
IF($D594="MATE","",
IF(VLOOKUP($B594,'Baremos actuales'!A:D,4,FALSE)=J$9,$E594*$F594,IF(VLOOKUP($B594,'Baremos anteriores'!A:D,4,FALSE)="Sin Definir",$E594*$F594,"")))))</f>
        <v/>
      </c>
      <c r="K594" s="79" t="str">
        <f>IF($D594="","",
IF($E594="","",
IF($D594="MATE","",
IF(VLOOKUP($B594,'Baremos actuales'!$A:$D,4,FALSE)=K$9,$E594*$F594,IF(VLOOKUP($B594,'Baremos anteriores'!$A:$D,4,FALSE)="Desmonte",$E594*$F594,"")))))</f>
        <v/>
      </c>
      <c r="L594" s="80" t="str">
        <f>IF($D594="","",
IF($E594="","",
IF($D594="MATE","",
IF(VLOOKUP($B594,'Baremos actuales'!$A:$D,4,FALSE)=L$9,$E594*$F594,""))))</f>
        <v/>
      </c>
      <c r="M594" s="91" t="str">
        <f t="shared" si="9"/>
        <v/>
      </c>
      <c r="N594" s="96"/>
      <c r="O594" s="95"/>
      <c r="P594" s="96"/>
      <c r="Q594" s="98"/>
    </row>
    <row r="595" spans="1:17" ht="15.75" x14ac:dyDescent="0.2">
      <c r="A595" s="17"/>
      <c r="B595" s="18"/>
      <c r="C595" s="87" t="str">
        <f>IF(B595="","",
IF(M595=$H$5,IFERROR(VLOOKUP(B595,'Baremos actuales'!A:E,5,FALSE),"No encontrado. Revisar código, fecha ejecución y/o contrato."),
IF(M595=$H$4,IFERROR(VLOOKUP(B595,'Baremos anteriores'!A:E,5,FALSE),"No encontrado. Revisar código, fecha ejecución y/o contrato."),
IF(M595=$H$3,IFERROR(VLOOKUP(B595,#REF!,5,FALSE),"No encontrado. Revisar código, fecha ejecución y/o contrato."),
IF(D595="","Código no encontrado",
IF(D595="ERROR","No encontrado. Revisar Código, fecha de ejecución y/o contrato.",
IF(D595="MATE",
IF(C594="DESCRIPCION","NO SE PUEDE COMENZAR SIN CÓDIGO DE TAREA",
IF(C594="","FALTA CÓDIGO DE TAREA",
CONCATENATE("          ",VLOOKUP(B595,'Maestro Materiales'!A:C,3,FALSE)))),IFERROR(VLOOKUP(B595,#REF!,5,FALSE),"No encontrado. Revisar código, fecha ejecución y/o contrato."))))))))</f>
        <v/>
      </c>
      <c r="D595" s="88" t="str">
        <f>IF(B595="","",
IFERROR(VLOOKUP(B595,'Maestro Materiales'!A:C,2,FALSE),
IFERROR(VLOOKUP(B595,'Baremos actuales'!A:B,2,FALSE),
IFERROR(VLOOKUP(B595,'Baremos anteriores'!A:B,2,FALSE),
""))))</f>
        <v/>
      </c>
      <c r="E595" s="9"/>
      <c r="F595" s="89" t="str">
        <f>IF(D595="MATE",
IF(E595="","¿Unidades?",""),
IF(D595="",IF(E595="","","¿Código?"),
IF(E595="","¿Unidades?",
IF(D595="TARE",
IF(M595=$H$3,IFERROR(VLOOKUP(B595,'Baremos actuales'!A:C,3,FALSE),0),
IF(M595=$H$4,IFERROR(VLOOKUP(B595,'Baremos anteriores'!A:C,3,FALSE),0),0))))))</f>
        <v/>
      </c>
      <c r="G595" s="7"/>
      <c r="H595" s="8"/>
      <c r="I595" s="8"/>
      <c r="J595" s="78" t="str">
        <f>IF($D595="","",
IF($E595="","",
IF($D595="MATE","",
IF(VLOOKUP($B595,'Baremos actuales'!A:D,4,FALSE)=J$9,$E595*$F595,IF(VLOOKUP($B595,'Baremos anteriores'!A:D,4,FALSE)="Sin Definir",$E595*$F595,"")))))</f>
        <v/>
      </c>
      <c r="K595" s="79" t="str">
        <f>IF($D595="","",
IF($E595="","",
IF($D595="MATE","",
IF(VLOOKUP($B595,'Baremos actuales'!$A:$D,4,FALSE)=K$9,$E595*$F595,IF(VLOOKUP($B595,'Baremos anteriores'!$A:$D,4,FALSE)="Desmonte",$E595*$F595,"")))))</f>
        <v/>
      </c>
      <c r="L595" s="80" t="str">
        <f>IF($D595="","",
IF($E595="","",
IF($D595="MATE","",
IF(VLOOKUP($B595,'Baremos actuales'!$A:$D,4,FALSE)=L$9,$E595*$F595,""))))</f>
        <v/>
      </c>
      <c r="M595" s="91" t="str">
        <f t="shared" si="9"/>
        <v/>
      </c>
      <c r="N595" s="96"/>
      <c r="O595" s="95"/>
      <c r="P595" s="96"/>
      <c r="Q595" s="98"/>
    </row>
    <row r="596" spans="1:17" ht="15.75" x14ac:dyDescent="0.2">
      <c r="A596" s="17"/>
      <c r="B596" s="18"/>
      <c r="C596" s="87" t="str">
        <f>IF(B596="","",
IF(M596=$H$5,IFERROR(VLOOKUP(B596,'Baremos actuales'!A:E,5,FALSE),"No encontrado. Revisar código, fecha ejecución y/o contrato."),
IF(M596=$H$4,IFERROR(VLOOKUP(B596,'Baremos anteriores'!A:E,5,FALSE),"No encontrado. Revisar código, fecha ejecución y/o contrato."),
IF(M596=$H$3,IFERROR(VLOOKUP(B596,#REF!,5,FALSE),"No encontrado. Revisar código, fecha ejecución y/o contrato."),
IF(D596="","Código no encontrado",
IF(D596="ERROR","No encontrado. Revisar Código, fecha de ejecución y/o contrato.",
IF(D596="MATE",
IF(C595="DESCRIPCION","NO SE PUEDE COMENZAR SIN CÓDIGO DE TAREA",
IF(C595="","FALTA CÓDIGO DE TAREA",
CONCATENATE("          ",VLOOKUP(B596,'Maestro Materiales'!A:C,3,FALSE)))),IFERROR(VLOOKUP(B596,#REF!,5,FALSE),"No encontrado. Revisar código, fecha ejecución y/o contrato."))))))))</f>
        <v/>
      </c>
      <c r="D596" s="88" t="str">
        <f>IF(B596="","",
IFERROR(VLOOKUP(B596,'Maestro Materiales'!A:C,2,FALSE),
IFERROR(VLOOKUP(B596,'Baremos actuales'!A:B,2,FALSE),
IFERROR(VLOOKUP(B596,'Baremos anteriores'!A:B,2,FALSE),
""))))</f>
        <v/>
      </c>
      <c r="E596" s="9"/>
      <c r="F596" s="89" t="str">
        <f>IF(D596="MATE",
IF(E596="","¿Unidades?",""),
IF(D596="",IF(E596="","","¿Código?"),
IF(E596="","¿Unidades?",
IF(D596="TARE",
IF(M596=$H$3,IFERROR(VLOOKUP(B596,'Baremos actuales'!A:C,3,FALSE),0),
IF(M596=$H$4,IFERROR(VLOOKUP(B596,'Baremos anteriores'!A:C,3,FALSE),0),0))))))</f>
        <v/>
      </c>
      <c r="G596" s="7"/>
      <c r="H596" s="8"/>
      <c r="I596" s="8"/>
      <c r="J596" s="78" t="str">
        <f>IF($D596="","",
IF($E596="","",
IF($D596="MATE","",
IF(VLOOKUP($B596,'Baremos actuales'!A:D,4,FALSE)=J$9,$E596*$F596,IF(VLOOKUP($B596,'Baremos anteriores'!A:D,4,FALSE)="Sin Definir",$E596*$F596,"")))))</f>
        <v/>
      </c>
      <c r="K596" s="79" t="str">
        <f>IF($D596="","",
IF($E596="","",
IF($D596="MATE","",
IF(VLOOKUP($B596,'Baremos actuales'!$A:$D,4,FALSE)=K$9,$E596*$F596,IF(VLOOKUP($B596,'Baremos anteriores'!$A:$D,4,FALSE)="Desmonte",$E596*$F596,"")))))</f>
        <v/>
      </c>
      <c r="L596" s="80" t="str">
        <f>IF($D596="","",
IF($E596="","",
IF($D596="MATE","",
IF(VLOOKUP($B596,'Baremos actuales'!$A:$D,4,FALSE)=L$9,$E596*$F596,""))))</f>
        <v/>
      </c>
      <c r="M596" s="91" t="str">
        <f t="shared" si="9"/>
        <v/>
      </c>
      <c r="N596" s="96"/>
      <c r="O596" s="95"/>
      <c r="P596" s="96"/>
      <c r="Q596" s="98"/>
    </row>
    <row r="597" spans="1:17" ht="15.75" x14ac:dyDescent="0.2">
      <c r="A597" s="17"/>
      <c r="B597" s="18"/>
      <c r="C597" s="87" t="str">
        <f>IF(B597="","",
IF(M597=$H$5,IFERROR(VLOOKUP(B597,'Baremos actuales'!A:E,5,FALSE),"No encontrado. Revisar código, fecha ejecución y/o contrato."),
IF(M597=$H$4,IFERROR(VLOOKUP(B597,'Baremos anteriores'!A:E,5,FALSE),"No encontrado. Revisar código, fecha ejecución y/o contrato."),
IF(M597=$H$3,IFERROR(VLOOKUP(B597,#REF!,5,FALSE),"No encontrado. Revisar código, fecha ejecución y/o contrato."),
IF(D597="","Código no encontrado",
IF(D597="ERROR","No encontrado. Revisar Código, fecha de ejecución y/o contrato.",
IF(D597="MATE",
IF(C596="DESCRIPCION","NO SE PUEDE COMENZAR SIN CÓDIGO DE TAREA",
IF(C596="","FALTA CÓDIGO DE TAREA",
CONCATENATE("          ",VLOOKUP(B597,'Maestro Materiales'!A:C,3,FALSE)))),IFERROR(VLOOKUP(B597,#REF!,5,FALSE),"No encontrado. Revisar código, fecha ejecución y/o contrato."))))))))</f>
        <v/>
      </c>
      <c r="D597" s="88" t="str">
        <f>IF(B597="","",
IFERROR(VLOOKUP(B597,'Maestro Materiales'!A:C,2,FALSE),
IFERROR(VLOOKUP(B597,'Baremos actuales'!A:B,2,FALSE),
IFERROR(VLOOKUP(B597,'Baremos anteriores'!A:B,2,FALSE),
""))))</f>
        <v/>
      </c>
      <c r="E597" s="9"/>
      <c r="F597" s="89" t="str">
        <f>IF(D597="MATE",
IF(E597="","¿Unidades?",""),
IF(D597="",IF(E597="","","¿Código?"),
IF(E597="","¿Unidades?",
IF(D597="TARE",
IF(M597=$H$3,IFERROR(VLOOKUP(B597,'Baremos actuales'!A:C,3,FALSE),0),
IF(M597=$H$4,IFERROR(VLOOKUP(B597,'Baremos anteriores'!A:C,3,FALSE),0),0))))))</f>
        <v/>
      </c>
      <c r="G597" s="7"/>
      <c r="H597" s="8"/>
      <c r="I597" s="8"/>
      <c r="J597" s="78" t="str">
        <f>IF($D597="","",
IF($E597="","",
IF($D597="MATE","",
IF(VLOOKUP($B597,'Baremos actuales'!A:D,4,FALSE)=J$9,$E597*$F597,IF(VLOOKUP($B597,'Baremos anteriores'!A:D,4,FALSE)="Sin Definir",$E597*$F597,"")))))</f>
        <v/>
      </c>
      <c r="K597" s="79" t="str">
        <f>IF($D597="","",
IF($E597="","",
IF($D597="MATE","",
IF(VLOOKUP($B597,'Baremos actuales'!$A:$D,4,FALSE)=K$9,$E597*$F597,IF(VLOOKUP($B597,'Baremos anteriores'!$A:$D,4,FALSE)="Desmonte",$E597*$F597,"")))))</f>
        <v/>
      </c>
      <c r="L597" s="80" t="str">
        <f>IF($D597="","",
IF($E597="","",
IF($D597="MATE","",
IF(VLOOKUP($B597,'Baremos actuales'!$A:$D,4,FALSE)=L$9,$E597*$F597,""))))</f>
        <v/>
      </c>
      <c r="M597" s="91" t="str">
        <f t="shared" si="9"/>
        <v/>
      </c>
      <c r="N597" s="96"/>
      <c r="O597" s="95"/>
      <c r="P597" s="96"/>
      <c r="Q597" s="98"/>
    </row>
    <row r="598" spans="1:17" ht="15.75" x14ac:dyDescent="0.2">
      <c r="A598" s="17"/>
      <c r="B598" s="18"/>
      <c r="C598" s="87" t="str">
        <f>IF(B598="","",
IF(M598=$H$5,IFERROR(VLOOKUP(B598,'Baremos actuales'!A:E,5,FALSE),"No encontrado. Revisar código, fecha ejecución y/o contrato."),
IF(M598=$H$4,IFERROR(VLOOKUP(B598,'Baremos anteriores'!A:E,5,FALSE),"No encontrado. Revisar código, fecha ejecución y/o contrato."),
IF(M598=$H$3,IFERROR(VLOOKUP(B598,#REF!,5,FALSE),"No encontrado. Revisar código, fecha ejecución y/o contrato."),
IF(D598="","Código no encontrado",
IF(D598="ERROR","No encontrado. Revisar Código, fecha de ejecución y/o contrato.",
IF(D598="MATE",
IF(C597="DESCRIPCION","NO SE PUEDE COMENZAR SIN CÓDIGO DE TAREA",
IF(C597="","FALTA CÓDIGO DE TAREA",
CONCATENATE("          ",VLOOKUP(B598,'Maestro Materiales'!A:C,3,FALSE)))),IFERROR(VLOOKUP(B598,#REF!,5,FALSE),"No encontrado. Revisar código, fecha ejecución y/o contrato."))))))))</f>
        <v/>
      </c>
      <c r="D598" s="88" t="str">
        <f>IF(B598="","",
IFERROR(VLOOKUP(B598,'Maestro Materiales'!A:C,2,FALSE),
IFERROR(VLOOKUP(B598,'Baremos actuales'!A:B,2,FALSE),
IFERROR(VLOOKUP(B598,'Baremos anteriores'!A:B,2,FALSE),
""))))</f>
        <v/>
      </c>
      <c r="E598" s="9"/>
      <c r="F598" s="89" t="str">
        <f>IF(D598="MATE",
IF(E598="","¿Unidades?",""),
IF(D598="",IF(E598="","","¿Código?"),
IF(E598="","¿Unidades?",
IF(D598="TARE",
IF(M598=$H$3,IFERROR(VLOOKUP(B598,'Baremos actuales'!A:C,3,FALSE),0),
IF(M598=$H$4,IFERROR(VLOOKUP(B598,'Baremos anteriores'!A:C,3,FALSE),0),0))))))</f>
        <v/>
      </c>
      <c r="G598" s="7"/>
      <c r="H598" s="8"/>
      <c r="I598" s="8"/>
      <c r="J598" s="78" t="str">
        <f>IF($D598="","",
IF($E598="","",
IF($D598="MATE","",
IF(VLOOKUP($B598,'Baremos actuales'!A:D,4,FALSE)=J$9,$E598*$F598,IF(VLOOKUP($B598,'Baremos anteriores'!A:D,4,FALSE)="Sin Definir",$E598*$F598,"")))))</f>
        <v/>
      </c>
      <c r="K598" s="79" t="str">
        <f>IF($D598="","",
IF($E598="","",
IF($D598="MATE","",
IF(VLOOKUP($B598,'Baremos actuales'!$A:$D,4,FALSE)=K$9,$E598*$F598,IF(VLOOKUP($B598,'Baremos anteriores'!$A:$D,4,FALSE)="Desmonte",$E598*$F598,"")))))</f>
        <v/>
      </c>
      <c r="L598" s="80" t="str">
        <f>IF($D598="","",
IF($E598="","",
IF($D598="MATE","",
IF(VLOOKUP($B598,'Baremos actuales'!$A:$D,4,FALSE)=L$9,$E598*$F598,""))))</f>
        <v/>
      </c>
      <c r="M598" s="91" t="str">
        <f t="shared" si="9"/>
        <v/>
      </c>
      <c r="N598" s="96"/>
      <c r="O598" s="95"/>
      <c r="P598" s="96"/>
      <c r="Q598" s="98"/>
    </row>
    <row r="599" spans="1:17" ht="15.75" x14ac:dyDescent="0.2">
      <c r="A599" s="17"/>
      <c r="B599" s="18"/>
      <c r="C599" s="87" t="str">
        <f>IF(B599="","",
IF(M599=$H$5,IFERROR(VLOOKUP(B599,'Baremos actuales'!A:E,5,FALSE),"No encontrado. Revisar código, fecha ejecución y/o contrato."),
IF(M599=$H$4,IFERROR(VLOOKUP(B599,'Baremos anteriores'!A:E,5,FALSE),"No encontrado. Revisar código, fecha ejecución y/o contrato."),
IF(M599=$H$3,IFERROR(VLOOKUP(B599,#REF!,5,FALSE),"No encontrado. Revisar código, fecha ejecución y/o contrato."),
IF(D599="","Código no encontrado",
IF(D599="ERROR","No encontrado. Revisar Código, fecha de ejecución y/o contrato.",
IF(D599="MATE",
IF(C598="DESCRIPCION","NO SE PUEDE COMENZAR SIN CÓDIGO DE TAREA",
IF(C598="","FALTA CÓDIGO DE TAREA",
CONCATENATE("          ",VLOOKUP(B599,'Maestro Materiales'!A:C,3,FALSE)))),IFERROR(VLOOKUP(B599,#REF!,5,FALSE),"No encontrado. Revisar código, fecha ejecución y/o contrato."))))))))</f>
        <v/>
      </c>
      <c r="D599" s="88" t="str">
        <f>IF(B599="","",
IFERROR(VLOOKUP(B599,'Maestro Materiales'!A:C,2,FALSE),
IFERROR(VLOOKUP(B599,'Baremos actuales'!A:B,2,FALSE),
IFERROR(VLOOKUP(B599,'Baremos anteriores'!A:B,2,FALSE),
""))))</f>
        <v/>
      </c>
      <c r="E599" s="9"/>
      <c r="F599" s="89" t="str">
        <f>IF(D599="MATE",
IF(E599="","¿Unidades?",""),
IF(D599="",IF(E599="","","¿Código?"),
IF(E599="","¿Unidades?",
IF(D599="TARE",
IF(M599=$H$3,IFERROR(VLOOKUP(B599,'Baremos actuales'!A:C,3,FALSE),0),
IF(M599=$H$4,IFERROR(VLOOKUP(B599,'Baremos anteriores'!A:C,3,FALSE),0),0))))))</f>
        <v/>
      </c>
      <c r="G599" s="7"/>
      <c r="H599" s="8"/>
      <c r="I599" s="8"/>
      <c r="J599" s="78" t="str">
        <f>IF($D599="","",
IF($E599="","",
IF($D599="MATE","",
IF(VLOOKUP($B599,'Baremos actuales'!A:D,4,FALSE)=J$9,$E599*$F599,IF(VLOOKUP($B599,'Baremos anteriores'!A:D,4,FALSE)="Sin Definir",$E599*$F599,"")))))</f>
        <v/>
      </c>
      <c r="K599" s="79" t="str">
        <f>IF($D599="","",
IF($E599="","",
IF($D599="MATE","",
IF(VLOOKUP($B599,'Baremos actuales'!$A:$D,4,FALSE)=K$9,$E599*$F599,IF(VLOOKUP($B599,'Baremos anteriores'!$A:$D,4,FALSE)="Desmonte",$E599*$F599,"")))))</f>
        <v/>
      </c>
      <c r="L599" s="80" t="str">
        <f>IF($D599="","",
IF($E599="","",
IF($D599="MATE","",
IF(VLOOKUP($B599,'Baremos actuales'!$A:$D,4,FALSE)=L$9,$E599*$F599,""))))</f>
        <v/>
      </c>
      <c r="M599" s="91" t="str">
        <f t="shared" si="9"/>
        <v/>
      </c>
      <c r="N599" s="96"/>
      <c r="O599" s="95"/>
      <c r="P599" s="96"/>
      <c r="Q599" s="98"/>
    </row>
    <row r="600" spans="1:17" ht="15.75" x14ac:dyDescent="0.2">
      <c r="A600" s="17"/>
      <c r="B600" s="18"/>
      <c r="C600" s="87" t="str">
        <f>IF(B600="","",
IF(M600=$H$5,IFERROR(VLOOKUP(B600,'Baremos actuales'!A:E,5,FALSE),"No encontrado. Revisar código, fecha ejecución y/o contrato."),
IF(M600=$H$4,IFERROR(VLOOKUP(B600,'Baremos anteriores'!A:E,5,FALSE),"No encontrado. Revisar código, fecha ejecución y/o contrato."),
IF(M600=$H$3,IFERROR(VLOOKUP(B600,#REF!,5,FALSE),"No encontrado. Revisar código, fecha ejecución y/o contrato."),
IF(D600="","Código no encontrado",
IF(D600="ERROR","No encontrado. Revisar Código, fecha de ejecución y/o contrato.",
IF(D600="MATE",
IF(C599="DESCRIPCION","NO SE PUEDE COMENZAR SIN CÓDIGO DE TAREA",
IF(C599="","FALTA CÓDIGO DE TAREA",
CONCATENATE("          ",VLOOKUP(B600,'Maestro Materiales'!A:C,3,FALSE)))),IFERROR(VLOOKUP(B600,#REF!,5,FALSE),"No encontrado. Revisar código, fecha ejecución y/o contrato."))))))))</f>
        <v/>
      </c>
      <c r="D600" s="88" t="str">
        <f>IF(B600="","",
IFERROR(VLOOKUP(B600,'Maestro Materiales'!A:C,2,FALSE),
IFERROR(VLOOKUP(B600,'Baremos actuales'!A:B,2,FALSE),
IFERROR(VLOOKUP(B600,'Baremos anteriores'!A:B,2,FALSE),
""))))</f>
        <v/>
      </c>
      <c r="E600" s="9"/>
      <c r="F600" s="89" t="str">
        <f>IF(D600="MATE",
IF(E600="","¿Unidades?",""),
IF(D600="",IF(E600="","","¿Código?"),
IF(E600="","¿Unidades?",
IF(D600="TARE",
IF(M600=$H$3,IFERROR(VLOOKUP(B600,'Baremos actuales'!A:C,3,FALSE),0),
IF(M600=$H$4,IFERROR(VLOOKUP(B600,'Baremos anteriores'!A:C,3,FALSE),0),0))))))</f>
        <v/>
      </c>
      <c r="G600" s="7"/>
      <c r="H600" s="8"/>
      <c r="I600" s="8"/>
      <c r="J600" s="78" t="str">
        <f>IF($D600="","",
IF($E600="","",
IF($D600="MATE","",
IF(VLOOKUP($B600,'Baremos actuales'!A:D,4,FALSE)=J$9,$E600*$F600,IF(VLOOKUP($B600,'Baremos anteriores'!A:D,4,FALSE)="Sin Definir",$E600*$F600,"")))))</f>
        <v/>
      </c>
      <c r="K600" s="79" t="str">
        <f>IF($D600="","",
IF($E600="","",
IF($D600="MATE","",
IF(VLOOKUP($B600,'Baremos actuales'!$A:$D,4,FALSE)=K$9,$E600*$F600,IF(VLOOKUP($B600,'Baremos anteriores'!$A:$D,4,FALSE)="Desmonte",$E600*$F600,"")))))</f>
        <v/>
      </c>
      <c r="L600" s="80" t="str">
        <f>IF($D600="","",
IF($E600="","",
IF($D600="MATE","",
IF(VLOOKUP($B600,'Baremos actuales'!$A:$D,4,FALSE)=L$9,$E600*$F600,""))))</f>
        <v/>
      </c>
      <c r="M600" s="91" t="str">
        <f t="shared" si="9"/>
        <v/>
      </c>
      <c r="N600" s="96"/>
      <c r="O600" s="95"/>
      <c r="P600" s="96"/>
      <c r="Q600" s="98"/>
    </row>
    <row r="601" spans="1:17" ht="15.75" x14ac:dyDescent="0.2">
      <c r="A601" s="17"/>
      <c r="B601" s="18"/>
      <c r="C601" s="87" t="str">
        <f>IF(B601="","",
IF(M601=$H$5,IFERROR(VLOOKUP(B601,'Baremos actuales'!A:E,5,FALSE),"No encontrado. Revisar código, fecha ejecución y/o contrato."),
IF(M601=$H$4,IFERROR(VLOOKUP(B601,'Baremos anteriores'!A:E,5,FALSE),"No encontrado. Revisar código, fecha ejecución y/o contrato."),
IF(M601=$H$3,IFERROR(VLOOKUP(B601,#REF!,5,FALSE),"No encontrado. Revisar código, fecha ejecución y/o contrato."),
IF(D601="","Código no encontrado",
IF(D601="ERROR","No encontrado. Revisar Código, fecha de ejecución y/o contrato.",
IF(D601="MATE",
IF(C600="DESCRIPCION","NO SE PUEDE COMENZAR SIN CÓDIGO DE TAREA",
IF(C600="","FALTA CÓDIGO DE TAREA",
CONCATENATE("          ",VLOOKUP(B601,'Maestro Materiales'!A:C,3,FALSE)))),IFERROR(VLOOKUP(B601,#REF!,5,FALSE),"No encontrado. Revisar código, fecha ejecución y/o contrato."))))))))</f>
        <v/>
      </c>
      <c r="D601" s="88" t="str">
        <f>IF(B601="","",
IFERROR(VLOOKUP(B601,'Maestro Materiales'!A:C,2,FALSE),
IFERROR(VLOOKUP(B601,'Baremos actuales'!A:B,2,FALSE),
IFERROR(VLOOKUP(B601,'Baremos anteriores'!A:B,2,FALSE),
""))))</f>
        <v/>
      </c>
      <c r="E601" s="9"/>
      <c r="F601" s="89" t="str">
        <f>IF(D601="MATE",
IF(E601="","¿Unidades?",""),
IF(D601="",IF(E601="","","¿Código?"),
IF(E601="","¿Unidades?",
IF(D601="TARE",
IF(M601=$H$3,IFERROR(VLOOKUP(B601,'Baremos actuales'!A:C,3,FALSE),0),
IF(M601=$H$4,IFERROR(VLOOKUP(B601,'Baremos anteriores'!A:C,3,FALSE),0),0))))))</f>
        <v/>
      </c>
      <c r="G601" s="7"/>
      <c r="H601" s="8"/>
      <c r="I601" s="8"/>
      <c r="J601" s="78" t="str">
        <f>IF($D601="","",
IF($E601="","",
IF($D601="MATE","",
IF(VLOOKUP($B601,'Baremos actuales'!A:D,4,FALSE)=J$9,$E601*$F601,IF(VLOOKUP($B601,'Baremos anteriores'!A:D,4,FALSE)="Sin Definir",$E601*$F601,"")))))</f>
        <v/>
      </c>
      <c r="K601" s="79" t="str">
        <f>IF($D601="","",
IF($E601="","",
IF($D601="MATE","",
IF(VLOOKUP($B601,'Baremos actuales'!$A:$D,4,FALSE)=K$9,$E601*$F601,IF(VLOOKUP($B601,'Baremos anteriores'!$A:$D,4,FALSE)="Desmonte",$E601*$F601,"")))))</f>
        <v/>
      </c>
      <c r="L601" s="80" t="str">
        <f>IF($D601="","",
IF($E601="","",
IF($D601="MATE","",
IF(VLOOKUP($B601,'Baremos actuales'!$A:$D,4,FALSE)=L$9,$E601*$F601,""))))</f>
        <v/>
      </c>
      <c r="M601" s="91" t="str">
        <f t="shared" si="9"/>
        <v/>
      </c>
      <c r="N601" s="96"/>
      <c r="O601" s="95"/>
      <c r="P601" s="96"/>
      <c r="Q601" s="98"/>
    </row>
    <row r="602" spans="1:17" ht="15.75" x14ac:dyDescent="0.2">
      <c r="A602" s="17"/>
      <c r="B602" s="18"/>
      <c r="C602" s="87" t="str">
        <f>IF(B602="","",
IF(M602=$H$5,IFERROR(VLOOKUP(B602,'Baremos actuales'!A:E,5,FALSE),"No encontrado. Revisar código, fecha ejecución y/o contrato."),
IF(M602=$H$4,IFERROR(VLOOKUP(B602,'Baremos anteriores'!A:E,5,FALSE),"No encontrado. Revisar código, fecha ejecución y/o contrato."),
IF(M602=$H$3,IFERROR(VLOOKUP(B602,#REF!,5,FALSE),"No encontrado. Revisar código, fecha ejecución y/o contrato."),
IF(D602="","Código no encontrado",
IF(D602="ERROR","No encontrado. Revisar Código, fecha de ejecución y/o contrato.",
IF(D602="MATE",
IF(C601="DESCRIPCION","NO SE PUEDE COMENZAR SIN CÓDIGO DE TAREA",
IF(C601="","FALTA CÓDIGO DE TAREA",
CONCATENATE("          ",VLOOKUP(B602,'Maestro Materiales'!A:C,3,FALSE)))),IFERROR(VLOOKUP(B602,#REF!,5,FALSE),"No encontrado. Revisar código, fecha ejecución y/o contrato."))))))))</f>
        <v/>
      </c>
      <c r="D602" s="88" t="str">
        <f>IF(B602="","",
IFERROR(VLOOKUP(B602,'Maestro Materiales'!A:C,2,FALSE),
IFERROR(VLOOKUP(B602,'Baremos actuales'!A:B,2,FALSE),
IFERROR(VLOOKUP(B602,'Baremos anteriores'!A:B,2,FALSE),
""))))</f>
        <v/>
      </c>
      <c r="E602" s="9"/>
      <c r="F602" s="89" t="str">
        <f>IF(D602="MATE",
IF(E602="","¿Unidades?",""),
IF(D602="",IF(E602="","","¿Código?"),
IF(E602="","¿Unidades?",
IF(D602="TARE",
IF(M602=$H$3,IFERROR(VLOOKUP(B602,'Baremos actuales'!A:C,3,FALSE),0),
IF(M602=$H$4,IFERROR(VLOOKUP(B602,'Baremos anteriores'!A:C,3,FALSE),0),0))))))</f>
        <v/>
      </c>
      <c r="G602" s="7"/>
      <c r="H602" s="8"/>
      <c r="I602" s="8"/>
      <c r="J602" s="78" t="str">
        <f>IF($D602="","",
IF($E602="","",
IF($D602="MATE","",
IF(VLOOKUP($B602,'Baremos actuales'!A:D,4,FALSE)=J$9,$E602*$F602,IF(VLOOKUP($B602,'Baremos anteriores'!A:D,4,FALSE)="Sin Definir",$E602*$F602,"")))))</f>
        <v/>
      </c>
      <c r="K602" s="79" t="str">
        <f>IF($D602="","",
IF($E602="","",
IF($D602="MATE","",
IF(VLOOKUP($B602,'Baremos actuales'!$A:$D,4,FALSE)=K$9,$E602*$F602,IF(VLOOKUP($B602,'Baremos anteriores'!$A:$D,4,FALSE)="Desmonte",$E602*$F602,"")))))</f>
        <v/>
      </c>
      <c r="L602" s="80" t="str">
        <f>IF($D602="","",
IF($E602="","",
IF($D602="MATE","",
IF(VLOOKUP($B602,'Baremos actuales'!$A:$D,4,FALSE)=L$9,$E602*$F602,""))))</f>
        <v/>
      </c>
      <c r="M602" s="91" t="str">
        <f t="shared" si="9"/>
        <v/>
      </c>
      <c r="N602" s="96"/>
      <c r="O602" s="95"/>
      <c r="P602" s="96"/>
      <c r="Q602" s="98"/>
    </row>
    <row r="603" spans="1:17" ht="15.75" x14ac:dyDescent="0.2">
      <c r="A603" s="17"/>
      <c r="B603" s="18"/>
      <c r="C603" s="87" t="str">
        <f>IF(B603="","",
IF(M603=$H$5,IFERROR(VLOOKUP(B603,'Baremos actuales'!A:E,5,FALSE),"No encontrado. Revisar código, fecha ejecución y/o contrato."),
IF(M603=$H$4,IFERROR(VLOOKUP(B603,'Baremos anteriores'!A:E,5,FALSE),"No encontrado. Revisar código, fecha ejecución y/o contrato."),
IF(M603=$H$3,IFERROR(VLOOKUP(B603,#REF!,5,FALSE),"No encontrado. Revisar código, fecha ejecución y/o contrato."),
IF(D603="","Código no encontrado",
IF(D603="ERROR","No encontrado. Revisar Código, fecha de ejecución y/o contrato.",
IF(D603="MATE",
IF(C602="DESCRIPCION","NO SE PUEDE COMENZAR SIN CÓDIGO DE TAREA",
IF(C602="","FALTA CÓDIGO DE TAREA",
CONCATENATE("          ",VLOOKUP(B603,'Maestro Materiales'!A:C,3,FALSE)))),IFERROR(VLOOKUP(B603,#REF!,5,FALSE),"No encontrado. Revisar código, fecha ejecución y/o contrato."))))))))</f>
        <v/>
      </c>
      <c r="D603" s="88" t="str">
        <f>IF(B603="","",
IFERROR(VLOOKUP(B603,'Maestro Materiales'!A:C,2,FALSE),
IFERROR(VLOOKUP(B603,'Baremos actuales'!A:B,2,FALSE),
IFERROR(VLOOKUP(B603,'Baremos anteriores'!A:B,2,FALSE),
""))))</f>
        <v/>
      </c>
      <c r="E603" s="9"/>
      <c r="F603" s="89" t="str">
        <f>IF(D603="MATE",
IF(E603="","¿Unidades?",""),
IF(D603="",IF(E603="","","¿Código?"),
IF(E603="","¿Unidades?",
IF(D603="TARE",
IF(M603=$H$3,IFERROR(VLOOKUP(B603,'Baremos actuales'!A:C,3,FALSE),0),
IF(M603=$H$4,IFERROR(VLOOKUP(B603,'Baremos anteriores'!A:C,3,FALSE),0),0))))))</f>
        <v/>
      </c>
      <c r="G603" s="7"/>
      <c r="H603" s="8"/>
      <c r="I603" s="8"/>
      <c r="J603" s="78" t="str">
        <f>IF($D603="","",
IF($E603="","",
IF($D603="MATE","",
IF(VLOOKUP($B603,'Baremos actuales'!A:D,4,FALSE)=J$9,$E603*$F603,IF(VLOOKUP($B603,'Baremos anteriores'!A:D,4,FALSE)="Sin Definir",$E603*$F603,"")))))</f>
        <v/>
      </c>
      <c r="K603" s="79" t="str">
        <f>IF($D603="","",
IF($E603="","",
IF($D603="MATE","",
IF(VLOOKUP($B603,'Baremos actuales'!$A:$D,4,FALSE)=K$9,$E603*$F603,IF(VLOOKUP($B603,'Baremos anteriores'!$A:$D,4,FALSE)="Desmonte",$E603*$F603,"")))))</f>
        <v/>
      </c>
      <c r="L603" s="80" t="str">
        <f>IF($D603="","",
IF($E603="","",
IF($D603="MATE","",
IF(VLOOKUP($B603,'Baremos actuales'!$A:$D,4,FALSE)=L$9,$E603*$F603,""))))</f>
        <v/>
      </c>
      <c r="M603" s="91" t="str">
        <f t="shared" si="9"/>
        <v/>
      </c>
      <c r="N603" s="96"/>
      <c r="O603" s="95"/>
      <c r="P603" s="96"/>
      <c r="Q603" s="98"/>
    </row>
    <row r="604" spans="1:17" ht="15.75" x14ac:dyDescent="0.2">
      <c r="A604" s="17"/>
      <c r="B604" s="18"/>
      <c r="C604" s="87" t="str">
        <f>IF(B604="","",
IF(M604=$H$5,IFERROR(VLOOKUP(B604,'Baremos actuales'!A:E,5,FALSE),"No encontrado. Revisar código, fecha ejecución y/o contrato."),
IF(M604=$H$4,IFERROR(VLOOKUP(B604,'Baremos anteriores'!A:E,5,FALSE),"No encontrado. Revisar código, fecha ejecución y/o contrato."),
IF(M604=$H$3,IFERROR(VLOOKUP(B604,#REF!,5,FALSE),"No encontrado. Revisar código, fecha ejecución y/o contrato."),
IF(D604="","Código no encontrado",
IF(D604="ERROR","No encontrado. Revisar Código, fecha de ejecución y/o contrato.",
IF(D604="MATE",
IF(C603="DESCRIPCION","NO SE PUEDE COMENZAR SIN CÓDIGO DE TAREA",
IF(C603="","FALTA CÓDIGO DE TAREA",
CONCATENATE("          ",VLOOKUP(B604,'Maestro Materiales'!A:C,3,FALSE)))),IFERROR(VLOOKUP(B604,#REF!,5,FALSE),"No encontrado. Revisar código, fecha ejecución y/o contrato."))))))))</f>
        <v/>
      </c>
      <c r="D604" s="88" t="str">
        <f>IF(B604="","",
IFERROR(VLOOKUP(B604,'Maestro Materiales'!A:C,2,FALSE),
IFERROR(VLOOKUP(B604,'Baremos actuales'!A:B,2,FALSE),
IFERROR(VLOOKUP(B604,'Baremos anteriores'!A:B,2,FALSE),
""))))</f>
        <v/>
      </c>
      <c r="E604" s="9"/>
      <c r="F604" s="89" t="str">
        <f>IF(D604="MATE",
IF(E604="","¿Unidades?",""),
IF(D604="",IF(E604="","","¿Código?"),
IF(E604="","¿Unidades?",
IF(D604="TARE",
IF(M604=$H$3,IFERROR(VLOOKUP(B604,'Baremos actuales'!A:C,3,FALSE),0),
IF(M604=$H$4,IFERROR(VLOOKUP(B604,'Baremos anteriores'!A:C,3,FALSE),0),0))))))</f>
        <v/>
      </c>
      <c r="G604" s="7"/>
      <c r="H604" s="8"/>
      <c r="I604" s="8"/>
      <c r="J604" s="78" t="str">
        <f>IF($D604="","",
IF($E604="","",
IF($D604="MATE","",
IF(VLOOKUP($B604,'Baremos actuales'!A:D,4,FALSE)=J$9,$E604*$F604,IF(VLOOKUP($B604,'Baremos anteriores'!A:D,4,FALSE)="Sin Definir",$E604*$F604,"")))))</f>
        <v/>
      </c>
      <c r="K604" s="79" t="str">
        <f>IF($D604="","",
IF($E604="","",
IF($D604="MATE","",
IF(VLOOKUP($B604,'Baremos actuales'!$A:$D,4,FALSE)=K$9,$E604*$F604,IF(VLOOKUP($B604,'Baremos anteriores'!$A:$D,4,FALSE)="Desmonte",$E604*$F604,"")))))</f>
        <v/>
      </c>
      <c r="L604" s="80" t="str">
        <f>IF($D604="","",
IF($E604="","",
IF($D604="MATE","",
IF(VLOOKUP($B604,'Baremos actuales'!$A:$D,4,FALSE)=L$9,$E604*$F604,""))))</f>
        <v/>
      </c>
      <c r="M604" s="91" t="str">
        <f t="shared" si="9"/>
        <v/>
      </c>
      <c r="N604" s="96"/>
      <c r="O604" s="95"/>
      <c r="P604" s="96"/>
      <c r="Q604" s="98"/>
    </row>
    <row r="605" spans="1:17" ht="15.75" x14ac:dyDescent="0.2">
      <c r="A605" s="17"/>
      <c r="B605" s="18"/>
      <c r="C605" s="87" t="str">
        <f>IF(B605="","",
IF(M605=$H$5,IFERROR(VLOOKUP(B605,'Baremos actuales'!A:E,5,FALSE),"No encontrado. Revisar código, fecha ejecución y/o contrato."),
IF(M605=$H$4,IFERROR(VLOOKUP(B605,'Baremos anteriores'!A:E,5,FALSE),"No encontrado. Revisar código, fecha ejecución y/o contrato."),
IF(M605=$H$3,IFERROR(VLOOKUP(B605,#REF!,5,FALSE),"No encontrado. Revisar código, fecha ejecución y/o contrato."),
IF(D605="","Código no encontrado",
IF(D605="ERROR","No encontrado. Revisar Código, fecha de ejecución y/o contrato.",
IF(D605="MATE",
IF(C604="DESCRIPCION","NO SE PUEDE COMENZAR SIN CÓDIGO DE TAREA",
IF(C604="","FALTA CÓDIGO DE TAREA",
CONCATENATE("          ",VLOOKUP(B605,'Maestro Materiales'!A:C,3,FALSE)))),IFERROR(VLOOKUP(B605,#REF!,5,FALSE),"No encontrado. Revisar código, fecha ejecución y/o contrato."))))))))</f>
        <v/>
      </c>
      <c r="D605" s="88" t="str">
        <f>IF(B605="","",
IFERROR(VLOOKUP(B605,'Maestro Materiales'!A:C,2,FALSE),
IFERROR(VLOOKUP(B605,'Baremos actuales'!A:B,2,FALSE),
IFERROR(VLOOKUP(B605,'Baremos anteriores'!A:B,2,FALSE),
""))))</f>
        <v/>
      </c>
      <c r="E605" s="9"/>
      <c r="F605" s="89" t="str">
        <f>IF(D605="MATE",
IF(E605="","¿Unidades?",""),
IF(D605="",IF(E605="","","¿Código?"),
IF(E605="","¿Unidades?",
IF(D605="TARE",
IF(M605=$H$3,IFERROR(VLOOKUP(B605,'Baremos actuales'!A:C,3,FALSE),0),
IF(M605=$H$4,IFERROR(VLOOKUP(B605,'Baremos anteriores'!A:C,3,FALSE),0),0))))))</f>
        <v/>
      </c>
      <c r="G605" s="7"/>
      <c r="H605" s="8"/>
      <c r="I605" s="8"/>
      <c r="J605" s="78" t="str">
        <f>IF($D605="","",
IF($E605="","",
IF($D605="MATE","",
IF(VLOOKUP($B605,'Baremos actuales'!A:D,4,FALSE)=J$9,$E605*$F605,IF(VLOOKUP($B605,'Baremos anteriores'!A:D,4,FALSE)="Sin Definir",$E605*$F605,"")))))</f>
        <v/>
      </c>
      <c r="K605" s="79" t="str">
        <f>IF($D605="","",
IF($E605="","",
IF($D605="MATE","",
IF(VLOOKUP($B605,'Baremos actuales'!$A:$D,4,FALSE)=K$9,$E605*$F605,IF(VLOOKUP($B605,'Baremos anteriores'!$A:$D,4,FALSE)="Desmonte",$E605*$F605,"")))))</f>
        <v/>
      </c>
      <c r="L605" s="80" t="str">
        <f>IF($D605="","",
IF($E605="","",
IF($D605="MATE","",
IF(VLOOKUP($B605,'Baremos actuales'!$A:$D,4,FALSE)=L$9,$E605*$F605,""))))</f>
        <v/>
      </c>
      <c r="M605" s="91" t="str">
        <f t="shared" si="9"/>
        <v/>
      </c>
      <c r="N605" s="96"/>
      <c r="O605" s="95"/>
      <c r="P605" s="96"/>
      <c r="Q605" s="98"/>
    </row>
    <row r="606" spans="1:17" ht="15.75" x14ac:dyDescent="0.2">
      <c r="A606" s="17"/>
      <c r="B606" s="18"/>
      <c r="C606" s="87" t="str">
        <f>IF(B606="","",
IF(M606=$H$5,IFERROR(VLOOKUP(B606,'Baremos actuales'!A:E,5,FALSE),"No encontrado. Revisar código, fecha ejecución y/o contrato."),
IF(M606=$H$4,IFERROR(VLOOKUP(B606,'Baremos anteriores'!A:E,5,FALSE),"No encontrado. Revisar código, fecha ejecución y/o contrato."),
IF(M606=$H$3,IFERROR(VLOOKUP(B606,#REF!,5,FALSE),"No encontrado. Revisar código, fecha ejecución y/o contrato."),
IF(D606="","Código no encontrado",
IF(D606="ERROR","No encontrado. Revisar Código, fecha de ejecución y/o contrato.",
IF(D606="MATE",
IF(C605="DESCRIPCION","NO SE PUEDE COMENZAR SIN CÓDIGO DE TAREA",
IF(C605="","FALTA CÓDIGO DE TAREA",
CONCATENATE("          ",VLOOKUP(B606,'Maestro Materiales'!A:C,3,FALSE)))),IFERROR(VLOOKUP(B606,#REF!,5,FALSE),"No encontrado. Revisar código, fecha ejecución y/o contrato."))))))))</f>
        <v/>
      </c>
      <c r="D606" s="88" t="str">
        <f>IF(B606="","",
IFERROR(VLOOKUP(B606,'Maestro Materiales'!A:C,2,FALSE),
IFERROR(VLOOKUP(B606,'Baremos actuales'!A:B,2,FALSE),
IFERROR(VLOOKUP(B606,'Baremos anteriores'!A:B,2,FALSE),
""))))</f>
        <v/>
      </c>
      <c r="E606" s="9"/>
      <c r="F606" s="89" t="str">
        <f>IF(D606="MATE",
IF(E606="","¿Unidades?",""),
IF(D606="",IF(E606="","","¿Código?"),
IF(E606="","¿Unidades?",
IF(D606="TARE",
IF(M606=$H$3,IFERROR(VLOOKUP(B606,'Baremos actuales'!A:C,3,FALSE),0),
IF(M606=$H$4,IFERROR(VLOOKUP(B606,'Baremos anteriores'!A:C,3,FALSE),0),0))))))</f>
        <v/>
      </c>
      <c r="G606" s="7"/>
      <c r="H606" s="8"/>
      <c r="I606" s="8"/>
      <c r="J606" s="78" t="str">
        <f>IF($D606="","",
IF($E606="","",
IF($D606="MATE","",
IF(VLOOKUP($B606,'Baremos actuales'!A:D,4,FALSE)=J$9,$E606*$F606,IF(VLOOKUP($B606,'Baremos anteriores'!A:D,4,FALSE)="Sin Definir",$E606*$F606,"")))))</f>
        <v/>
      </c>
      <c r="K606" s="79" t="str">
        <f>IF($D606="","",
IF($E606="","",
IF($D606="MATE","",
IF(VLOOKUP($B606,'Baremos actuales'!$A:$D,4,FALSE)=K$9,$E606*$F606,IF(VLOOKUP($B606,'Baremos anteriores'!$A:$D,4,FALSE)="Desmonte",$E606*$F606,"")))))</f>
        <v/>
      </c>
      <c r="L606" s="80" t="str">
        <f>IF($D606="","",
IF($E606="","",
IF($D606="MATE","",
IF(VLOOKUP($B606,'Baremos actuales'!$A:$D,4,FALSE)=L$9,$E606*$F606,""))))</f>
        <v/>
      </c>
      <c r="M606" s="91" t="str">
        <f t="shared" si="9"/>
        <v/>
      </c>
      <c r="N606" s="96"/>
      <c r="O606" s="95"/>
      <c r="P606" s="96"/>
      <c r="Q606" s="98"/>
    </row>
    <row r="607" spans="1:17" ht="15.75" x14ac:dyDescent="0.2">
      <c r="A607" s="17"/>
      <c r="B607" s="18"/>
      <c r="C607" s="87" t="str">
        <f>IF(B607="","",
IF(M607=$H$5,IFERROR(VLOOKUP(B607,'Baremos actuales'!A:E,5,FALSE),"No encontrado. Revisar código, fecha ejecución y/o contrato."),
IF(M607=$H$4,IFERROR(VLOOKUP(B607,'Baremos anteriores'!A:E,5,FALSE),"No encontrado. Revisar código, fecha ejecución y/o contrato."),
IF(M607=$H$3,IFERROR(VLOOKUP(B607,#REF!,5,FALSE),"No encontrado. Revisar código, fecha ejecución y/o contrato."),
IF(D607="","Código no encontrado",
IF(D607="ERROR","No encontrado. Revisar Código, fecha de ejecución y/o contrato.",
IF(D607="MATE",
IF(C606="DESCRIPCION","NO SE PUEDE COMENZAR SIN CÓDIGO DE TAREA",
IF(C606="","FALTA CÓDIGO DE TAREA",
CONCATENATE("          ",VLOOKUP(B607,'Maestro Materiales'!A:C,3,FALSE)))),IFERROR(VLOOKUP(B607,#REF!,5,FALSE),"No encontrado. Revisar código, fecha ejecución y/o contrato."))))))))</f>
        <v/>
      </c>
      <c r="D607" s="88" t="str">
        <f>IF(B607="","",
IFERROR(VLOOKUP(B607,'Maestro Materiales'!A:C,2,FALSE),
IFERROR(VLOOKUP(B607,'Baremos actuales'!A:B,2,FALSE),
IFERROR(VLOOKUP(B607,'Baremos anteriores'!A:B,2,FALSE),
""))))</f>
        <v/>
      </c>
      <c r="E607" s="9"/>
      <c r="F607" s="89" t="str">
        <f>IF(D607="MATE",
IF(E607="","¿Unidades?",""),
IF(D607="",IF(E607="","","¿Código?"),
IF(E607="","¿Unidades?",
IF(D607="TARE",
IF(M607=$H$3,IFERROR(VLOOKUP(B607,'Baremos actuales'!A:C,3,FALSE),0),
IF(M607=$H$4,IFERROR(VLOOKUP(B607,'Baremos anteriores'!A:C,3,FALSE),0),0))))))</f>
        <v/>
      </c>
      <c r="G607" s="7"/>
      <c r="H607" s="8"/>
      <c r="I607" s="8"/>
      <c r="J607" s="78" t="str">
        <f>IF($D607="","",
IF($E607="","",
IF($D607="MATE","",
IF(VLOOKUP($B607,'Baremos actuales'!A:D,4,FALSE)=J$9,$E607*$F607,IF(VLOOKUP($B607,'Baremos anteriores'!A:D,4,FALSE)="Sin Definir",$E607*$F607,"")))))</f>
        <v/>
      </c>
      <c r="K607" s="79" t="str">
        <f>IF($D607="","",
IF($E607="","",
IF($D607="MATE","",
IF(VLOOKUP($B607,'Baremos actuales'!$A:$D,4,FALSE)=K$9,$E607*$F607,IF(VLOOKUP($B607,'Baremos anteriores'!$A:$D,4,FALSE)="Desmonte",$E607*$F607,"")))))</f>
        <v/>
      </c>
      <c r="L607" s="80" t="str">
        <f>IF($D607="","",
IF($E607="","",
IF($D607="MATE","",
IF(VLOOKUP($B607,'Baremos actuales'!$A:$D,4,FALSE)=L$9,$E607*$F607,""))))</f>
        <v/>
      </c>
      <c r="M607" s="91" t="str">
        <f t="shared" si="9"/>
        <v/>
      </c>
      <c r="N607" s="96"/>
      <c r="O607" s="95"/>
      <c r="P607" s="96"/>
      <c r="Q607" s="98"/>
    </row>
    <row r="608" spans="1:17" ht="15.75" x14ac:dyDescent="0.2">
      <c r="A608" s="17"/>
      <c r="B608" s="18"/>
      <c r="C608" s="87" t="str">
        <f>IF(B608="","",
IF(M608=$H$5,IFERROR(VLOOKUP(B608,'Baremos actuales'!A:E,5,FALSE),"No encontrado. Revisar código, fecha ejecución y/o contrato."),
IF(M608=$H$4,IFERROR(VLOOKUP(B608,'Baremos anteriores'!A:E,5,FALSE),"No encontrado. Revisar código, fecha ejecución y/o contrato."),
IF(M608=$H$3,IFERROR(VLOOKUP(B608,#REF!,5,FALSE),"No encontrado. Revisar código, fecha ejecución y/o contrato."),
IF(D608="","Código no encontrado",
IF(D608="ERROR","No encontrado. Revisar Código, fecha de ejecución y/o contrato.",
IF(D608="MATE",
IF(C607="DESCRIPCION","NO SE PUEDE COMENZAR SIN CÓDIGO DE TAREA",
IF(C607="","FALTA CÓDIGO DE TAREA",
CONCATENATE("          ",VLOOKUP(B608,'Maestro Materiales'!A:C,3,FALSE)))),IFERROR(VLOOKUP(B608,#REF!,5,FALSE),"No encontrado. Revisar código, fecha ejecución y/o contrato."))))))))</f>
        <v/>
      </c>
      <c r="D608" s="88" t="str">
        <f>IF(B608="","",
IFERROR(VLOOKUP(B608,'Maestro Materiales'!A:C,2,FALSE),
IFERROR(VLOOKUP(B608,'Baremos actuales'!A:B,2,FALSE),
IFERROR(VLOOKUP(B608,'Baremos anteriores'!A:B,2,FALSE),
""))))</f>
        <v/>
      </c>
      <c r="E608" s="9"/>
      <c r="F608" s="89" t="str">
        <f>IF(D608="MATE",
IF(E608="","¿Unidades?",""),
IF(D608="",IF(E608="","","¿Código?"),
IF(E608="","¿Unidades?",
IF(D608="TARE",
IF(M608=$H$3,IFERROR(VLOOKUP(B608,'Baremos actuales'!A:C,3,FALSE),0),
IF(M608=$H$4,IFERROR(VLOOKUP(B608,'Baremos anteriores'!A:C,3,FALSE),0),0))))))</f>
        <v/>
      </c>
      <c r="G608" s="7"/>
      <c r="H608" s="8"/>
      <c r="I608" s="8"/>
      <c r="J608" s="78" t="str">
        <f>IF($D608="","",
IF($E608="","",
IF($D608="MATE","",
IF(VLOOKUP($B608,'Baremos actuales'!A:D,4,FALSE)=J$9,$E608*$F608,IF(VLOOKUP($B608,'Baremos anteriores'!A:D,4,FALSE)="Sin Definir",$E608*$F608,"")))))</f>
        <v/>
      </c>
      <c r="K608" s="79" t="str">
        <f>IF($D608="","",
IF($E608="","",
IF($D608="MATE","",
IF(VLOOKUP($B608,'Baremos actuales'!$A:$D,4,FALSE)=K$9,$E608*$F608,IF(VLOOKUP($B608,'Baremos anteriores'!$A:$D,4,FALSE)="Desmonte",$E608*$F608,"")))))</f>
        <v/>
      </c>
      <c r="L608" s="80" t="str">
        <f>IF($D608="","",
IF($E608="","",
IF($D608="MATE","",
IF(VLOOKUP($B608,'Baremos actuales'!$A:$D,4,FALSE)=L$9,$E608*$F608,""))))</f>
        <v/>
      </c>
      <c r="M608" s="91" t="str">
        <f t="shared" si="9"/>
        <v/>
      </c>
      <c r="N608" s="96"/>
      <c r="O608" s="95"/>
      <c r="P608" s="96"/>
      <c r="Q608" s="98"/>
    </row>
    <row r="609" spans="1:17" ht="15.75" x14ac:dyDescent="0.2">
      <c r="A609" s="17"/>
      <c r="B609" s="18"/>
      <c r="C609" s="87" t="str">
        <f>IF(B609="","",
IF(M609=$H$5,IFERROR(VLOOKUP(B609,'Baremos actuales'!A:E,5,FALSE),"No encontrado. Revisar código, fecha ejecución y/o contrato."),
IF(M609=$H$4,IFERROR(VLOOKUP(B609,'Baremos anteriores'!A:E,5,FALSE),"No encontrado. Revisar código, fecha ejecución y/o contrato."),
IF(M609=$H$3,IFERROR(VLOOKUP(B609,#REF!,5,FALSE),"No encontrado. Revisar código, fecha ejecución y/o contrato."),
IF(D609="","Código no encontrado",
IF(D609="ERROR","No encontrado. Revisar Código, fecha de ejecución y/o contrato.",
IF(D609="MATE",
IF(C608="DESCRIPCION","NO SE PUEDE COMENZAR SIN CÓDIGO DE TAREA",
IF(C608="","FALTA CÓDIGO DE TAREA",
CONCATENATE("          ",VLOOKUP(B609,'Maestro Materiales'!A:C,3,FALSE)))),IFERROR(VLOOKUP(B609,#REF!,5,FALSE),"No encontrado. Revisar código, fecha ejecución y/o contrato."))))))))</f>
        <v/>
      </c>
      <c r="D609" s="88" t="str">
        <f>IF(B609="","",
IFERROR(VLOOKUP(B609,'Maestro Materiales'!A:C,2,FALSE),
IFERROR(VLOOKUP(B609,'Baremos actuales'!A:B,2,FALSE),
IFERROR(VLOOKUP(B609,'Baremos anteriores'!A:B,2,FALSE),
""))))</f>
        <v/>
      </c>
      <c r="E609" s="9"/>
      <c r="F609" s="89" t="str">
        <f>IF(D609="MATE",
IF(E609="","¿Unidades?",""),
IF(D609="",IF(E609="","","¿Código?"),
IF(E609="","¿Unidades?",
IF(D609="TARE",
IF(M609=$H$3,IFERROR(VLOOKUP(B609,'Baremos actuales'!A:C,3,FALSE),0),
IF(M609=$H$4,IFERROR(VLOOKUP(B609,'Baremos anteriores'!A:C,3,FALSE),0),0))))))</f>
        <v/>
      </c>
      <c r="G609" s="7"/>
      <c r="H609" s="8"/>
      <c r="I609" s="8"/>
      <c r="J609" s="78" t="str">
        <f>IF($D609="","",
IF($E609="","",
IF($D609="MATE","",
IF(VLOOKUP($B609,'Baremos actuales'!A:D,4,FALSE)=J$9,$E609*$F609,IF(VLOOKUP($B609,'Baremos anteriores'!A:D,4,FALSE)="Sin Definir",$E609*$F609,"")))))</f>
        <v/>
      </c>
      <c r="K609" s="79" t="str">
        <f>IF($D609="","",
IF($E609="","",
IF($D609="MATE","",
IF(VLOOKUP($B609,'Baremos actuales'!$A:$D,4,FALSE)=K$9,$E609*$F609,IF(VLOOKUP($B609,'Baremos anteriores'!$A:$D,4,FALSE)="Desmonte",$E609*$F609,"")))))</f>
        <v/>
      </c>
      <c r="L609" s="80" t="str">
        <f>IF($D609="","",
IF($E609="","",
IF($D609="MATE","",
IF(VLOOKUP($B609,'Baremos actuales'!$A:$D,4,FALSE)=L$9,$E609*$F609,""))))</f>
        <v/>
      </c>
      <c r="M609" s="91" t="str">
        <f t="shared" si="9"/>
        <v/>
      </c>
      <c r="N609" s="96"/>
      <c r="O609" s="95"/>
      <c r="P609" s="96"/>
      <c r="Q609" s="98"/>
    </row>
    <row r="610" spans="1:17" ht="15.75" x14ac:dyDescent="0.2">
      <c r="A610" s="17"/>
      <c r="B610" s="18"/>
      <c r="C610" s="87" t="str">
        <f>IF(B610="","",
IF(M610=$H$5,IFERROR(VLOOKUP(B610,'Baremos actuales'!A:E,5,FALSE),"No encontrado. Revisar código, fecha ejecución y/o contrato."),
IF(M610=$H$4,IFERROR(VLOOKUP(B610,'Baremos anteriores'!A:E,5,FALSE),"No encontrado. Revisar código, fecha ejecución y/o contrato."),
IF(M610=$H$3,IFERROR(VLOOKUP(B610,#REF!,5,FALSE),"No encontrado. Revisar código, fecha ejecución y/o contrato."),
IF(D610="","Código no encontrado",
IF(D610="ERROR","No encontrado. Revisar Código, fecha de ejecución y/o contrato.",
IF(D610="MATE",
IF(C609="DESCRIPCION","NO SE PUEDE COMENZAR SIN CÓDIGO DE TAREA",
IF(C609="","FALTA CÓDIGO DE TAREA",
CONCATENATE("          ",VLOOKUP(B610,'Maestro Materiales'!A:C,3,FALSE)))),IFERROR(VLOOKUP(B610,#REF!,5,FALSE),"No encontrado. Revisar código, fecha ejecución y/o contrato."))))))))</f>
        <v/>
      </c>
      <c r="D610" s="88" t="str">
        <f>IF(B610="","",
IFERROR(VLOOKUP(B610,'Maestro Materiales'!A:C,2,FALSE),
IFERROR(VLOOKUP(B610,'Baremos actuales'!A:B,2,FALSE),
IFERROR(VLOOKUP(B610,'Baremos anteriores'!A:B,2,FALSE),
""))))</f>
        <v/>
      </c>
      <c r="E610" s="9"/>
      <c r="F610" s="89" t="str">
        <f>IF(D610="MATE",
IF(E610="","¿Unidades?",""),
IF(D610="",IF(E610="","","¿Código?"),
IF(E610="","¿Unidades?",
IF(D610="TARE",
IF(M610=$H$3,IFERROR(VLOOKUP(B610,'Baremos actuales'!A:C,3,FALSE),0),
IF(M610=$H$4,IFERROR(VLOOKUP(B610,'Baremos anteriores'!A:C,3,FALSE),0),0))))))</f>
        <v/>
      </c>
      <c r="G610" s="7"/>
      <c r="H610" s="8"/>
      <c r="I610" s="8"/>
      <c r="J610" s="78" t="str">
        <f>IF($D610="","",
IF($E610="","",
IF($D610="MATE","",
IF(VLOOKUP($B610,'Baremos actuales'!A:D,4,FALSE)=J$9,$E610*$F610,IF(VLOOKUP($B610,'Baremos anteriores'!A:D,4,FALSE)="Sin Definir",$E610*$F610,"")))))</f>
        <v/>
      </c>
      <c r="K610" s="79" t="str">
        <f>IF($D610="","",
IF($E610="","",
IF($D610="MATE","",
IF(VLOOKUP($B610,'Baremos actuales'!$A:$D,4,FALSE)=K$9,$E610*$F610,IF(VLOOKUP($B610,'Baremos anteriores'!$A:$D,4,FALSE)="Desmonte",$E610*$F610,"")))))</f>
        <v/>
      </c>
      <c r="L610" s="80" t="str">
        <f>IF($D610="","",
IF($E610="","",
IF($D610="MATE","",
IF(VLOOKUP($B610,'Baremos actuales'!$A:$D,4,FALSE)=L$9,$E610*$F610,""))))</f>
        <v/>
      </c>
      <c r="M610" s="91" t="str">
        <f t="shared" si="9"/>
        <v/>
      </c>
      <c r="N610" s="96"/>
      <c r="O610" s="95"/>
      <c r="P610" s="96"/>
      <c r="Q610" s="98"/>
    </row>
    <row r="611" spans="1:17" ht="15.75" x14ac:dyDescent="0.2">
      <c r="A611" s="17"/>
      <c r="B611" s="18"/>
      <c r="C611" s="87" t="str">
        <f>IF(B611="","",
IF(M611=$H$5,IFERROR(VLOOKUP(B611,'Baremos actuales'!A:E,5,FALSE),"No encontrado. Revisar código, fecha ejecución y/o contrato."),
IF(M611=$H$4,IFERROR(VLOOKUP(B611,'Baremos anteriores'!A:E,5,FALSE),"No encontrado. Revisar código, fecha ejecución y/o contrato."),
IF(M611=$H$3,IFERROR(VLOOKUP(B611,#REF!,5,FALSE),"No encontrado. Revisar código, fecha ejecución y/o contrato."),
IF(D611="","Código no encontrado",
IF(D611="ERROR","No encontrado. Revisar Código, fecha de ejecución y/o contrato.",
IF(D611="MATE",
IF(C610="DESCRIPCION","NO SE PUEDE COMENZAR SIN CÓDIGO DE TAREA",
IF(C610="","FALTA CÓDIGO DE TAREA",
CONCATENATE("          ",VLOOKUP(B611,'Maestro Materiales'!A:C,3,FALSE)))),IFERROR(VLOOKUP(B611,#REF!,5,FALSE),"No encontrado. Revisar código, fecha ejecución y/o contrato."))))))))</f>
        <v/>
      </c>
      <c r="D611" s="88" t="str">
        <f>IF(B611="","",
IFERROR(VLOOKUP(B611,'Maestro Materiales'!A:C,2,FALSE),
IFERROR(VLOOKUP(B611,'Baremos actuales'!A:B,2,FALSE),
IFERROR(VLOOKUP(B611,'Baremos anteriores'!A:B,2,FALSE),
""))))</f>
        <v/>
      </c>
      <c r="E611" s="9"/>
      <c r="F611" s="89" t="str">
        <f>IF(D611="MATE",
IF(E611="","¿Unidades?",""),
IF(D611="",IF(E611="","","¿Código?"),
IF(E611="","¿Unidades?",
IF(D611="TARE",
IF(M611=$H$3,IFERROR(VLOOKUP(B611,'Baremos actuales'!A:C,3,FALSE),0),
IF(M611=$H$4,IFERROR(VLOOKUP(B611,'Baremos anteriores'!A:C,3,FALSE),0),0))))))</f>
        <v/>
      </c>
      <c r="G611" s="7"/>
      <c r="H611" s="8"/>
      <c r="I611" s="8"/>
      <c r="J611" s="78" t="str">
        <f>IF($D611="","",
IF($E611="","",
IF($D611="MATE","",
IF(VLOOKUP($B611,'Baremos actuales'!A:D,4,FALSE)=J$9,$E611*$F611,IF(VLOOKUP($B611,'Baremos anteriores'!A:D,4,FALSE)="Sin Definir",$E611*$F611,"")))))</f>
        <v/>
      </c>
      <c r="K611" s="79" t="str">
        <f>IF($D611="","",
IF($E611="","",
IF($D611="MATE","",
IF(VLOOKUP($B611,'Baremos actuales'!$A:$D,4,FALSE)=K$9,$E611*$F611,IF(VLOOKUP($B611,'Baremos anteriores'!$A:$D,4,FALSE)="Desmonte",$E611*$F611,"")))))</f>
        <v/>
      </c>
      <c r="L611" s="80" t="str">
        <f>IF($D611="","",
IF($E611="","",
IF($D611="MATE","",
IF(VLOOKUP($B611,'Baremos actuales'!$A:$D,4,FALSE)=L$9,$E611*$F611,""))))</f>
        <v/>
      </c>
      <c r="M611" s="91" t="str">
        <f t="shared" si="9"/>
        <v/>
      </c>
      <c r="N611" s="96"/>
      <c r="O611" s="95"/>
      <c r="P611" s="96"/>
      <c r="Q611" s="98"/>
    </row>
    <row r="612" spans="1:17" ht="15.75" x14ac:dyDescent="0.2">
      <c r="A612" s="17"/>
      <c r="B612" s="18"/>
      <c r="C612" s="87" t="str">
        <f>IF(B612="","",
IF(M612=$H$5,IFERROR(VLOOKUP(B612,'Baremos actuales'!A:E,5,FALSE),"No encontrado. Revisar código, fecha ejecución y/o contrato."),
IF(M612=$H$4,IFERROR(VLOOKUP(B612,'Baremos anteriores'!A:E,5,FALSE),"No encontrado. Revisar código, fecha ejecución y/o contrato."),
IF(M612=$H$3,IFERROR(VLOOKUP(B612,#REF!,5,FALSE),"No encontrado. Revisar código, fecha ejecución y/o contrato."),
IF(D612="","Código no encontrado",
IF(D612="ERROR","No encontrado. Revisar Código, fecha de ejecución y/o contrato.",
IF(D612="MATE",
IF(C611="DESCRIPCION","NO SE PUEDE COMENZAR SIN CÓDIGO DE TAREA",
IF(C611="","FALTA CÓDIGO DE TAREA",
CONCATENATE("          ",VLOOKUP(B612,'Maestro Materiales'!A:C,3,FALSE)))),IFERROR(VLOOKUP(B612,#REF!,5,FALSE),"No encontrado. Revisar código, fecha ejecución y/o contrato."))))))))</f>
        <v/>
      </c>
      <c r="D612" s="88" t="str">
        <f>IF(B612="","",
IFERROR(VLOOKUP(B612,'Maestro Materiales'!A:C,2,FALSE),
IFERROR(VLOOKUP(B612,'Baremos actuales'!A:B,2,FALSE),
IFERROR(VLOOKUP(B612,'Baremos anteriores'!A:B,2,FALSE),
""))))</f>
        <v/>
      </c>
      <c r="E612" s="9"/>
      <c r="F612" s="89" t="str">
        <f>IF(D612="MATE",
IF(E612="","¿Unidades?",""),
IF(D612="",IF(E612="","","¿Código?"),
IF(E612="","¿Unidades?",
IF(D612="TARE",
IF(M612=$H$3,IFERROR(VLOOKUP(B612,'Baremos actuales'!A:C,3,FALSE),0),
IF(M612=$H$4,IFERROR(VLOOKUP(B612,'Baremos anteriores'!A:C,3,FALSE),0),0))))))</f>
        <v/>
      </c>
      <c r="G612" s="7"/>
      <c r="H612" s="8"/>
      <c r="I612" s="8"/>
      <c r="J612" s="78" t="str">
        <f>IF($D612="","",
IF($E612="","",
IF($D612="MATE","",
IF(VLOOKUP($B612,'Baremos actuales'!A:D,4,FALSE)=J$9,$E612*$F612,IF(VLOOKUP($B612,'Baremos anteriores'!A:D,4,FALSE)="Sin Definir",$E612*$F612,"")))))</f>
        <v/>
      </c>
      <c r="K612" s="79" t="str">
        <f>IF($D612="","",
IF($E612="","",
IF($D612="MATE","",
IF(VLOOKUP($B612,'Baremos actuales'!$A:$D,4,FALSE)=K$9,$E612*$F612,IF(VLOOKUP($B612,'Baremos anteriores'!$A:$D,4,FALSE)="Desmonte",$E612*$F612,"")))))</f>
        <v/>
      </c>
      <c r="L612" s="80" t="str">
        <f>IF($D612="","",
IF($E612="","",
IF($D612="MATE","",
IF(VLOOKUP($B612,'Baremos actuales'!$A:$D,4,FALSE)=L$9,$E612*$F612,""))))</f>
        <v/>
      </c>
      <c r="M612" s="91" t="str">
        <f t="shared" si="9"/>
        <v/>
      </c>
      <c r="N612" s="96"/>
      <c r="O612" s="95"/>
      <c r="P612" s="96"/>
      <c r="Q612" s="98"/>
    </row>
    <row r="613" spans="1:17" ht="15.75" x14ac:dyDescent="0.2">
      <c r="A613" s="17"/>
      <c r="B613" s="18"/>
      <c r="C613" s="87" t="str">
        <f>IF(B613="","",
IF(M613=$H$5,IFERROR(VLOOKUP(B613,'Baremos actuales'!A:E,5,FALSE),"No encontrado. Revisar código, fecha ejecución y/o contrato."),
IF(M613=$H$4,IFERROR(VLOOKUP(B613,'Baremos anteriores'!A:E,5,FALSE),"No encontrado. Revisar código, fecha ejecución y/o contrato."),
IF(M613=$H$3,IFERROR(VLOOKUP(B613,#REF!,5,FALSE),"No encontrado. Revisar código, fecha ejecución y/o contrato."),
IF(D613="","Código no encontrado",
IF(D613="ERROR","No encontrado. Revisar Código, fecha de ejecución y/o contrato.",
IF(D613="MATE",
IF(C612="DESCRIPCION","NO SE PUEDE COMENZAR SIN CÓDIGO DE TAREA",
IF(C612="","FALTA CÓDIGO DE TAREA",
CONCATENATE("          ",VLOOKUP(B613,'Maestro Materiales'!A:C,3,FALSE)))),IFERROR(VLOOKUP(B613,#REF!,5,FALSE),"No encontrado. Revisar código, fecha ejecución y/o contrato."))))))))</f>
        <v/>
      </c>
      <c r="D613" s="88" t="str">
        <f>IF(B613="","",
IFERROR(VLOOKUP(B613,'Maestro Materiales'!A:C,2,FALSE),
IFERROR(VLOOKUP(B613,'Baremos actuales'!A:B,2,FALSE),
IFERROR(VLOOKUP(B613,'Baremos anteriores'!A:B,2,FALSE),
""))))</f>
        <v/>
      </c>
      <c r="E613" s="9"/>
      <c r="F613" s="89" t="str">
        <f>IF(D613="MATE",
IF(E613="","¿Unidades?",""),
IF(D613="",IF(E613="","","¿Código?"),
IF(E613="","¿Unidades?",
IF(D613="TARE",
IF(M613=$H$3,IFERROR(VLOOKUP(B613,'Baremos actuales'!A:C,3,FALSE),0),
IF(M613=$H$4,IFERROR(VLOOKUP(B613,'Baremos anteriores'!A:C,3,FALSE),0),0))))))</f>
        <v/>
      </c>
      <c r="G613" s="7"/>
      <c r="H613" s="8"/>
      <c r="I613" s="8"/>
      <c r="J613" s="78" t="str">
        <f>IF($D613="","",
IF($E613="","",
IF($D613="MATE","",
IF(VLOOKUP($B613,'Baremos actuales'!A:D,4,FALSE)=J$9,$E613*$F613,IF(VLOOKUP($B613,'Baremos anteriores'!A:D,4,FALSE)="Sin Definir",$E613*$F613,"")))))</f>
        <v/>
      </c>
      <c r="K613" s="79" t="str">
        <f>IF($D613="","",
IF($E613="","",
IF($D613="MATE","",
IF(VLOOKUP($B613,'Baremos actuales'!$A:$D,4,FALSE)=K$9,$E613*$F613,IF(VLOOKUP($B613,'Baremos anteriores'!$A:$D,4,FALSE)="Desmonte",$E613*$F613,"")))))</f>
        <v/>
      </c>
      <c r="L613" s="80" t="str">
        <f>IF($D613="","",
IF($E613="","",
IF($D613="MATE","",
IF(VLOOKUP($B613,'Baremos actuales'!$A:$D,4,FALSE)=L$9,$E613*$F613,""))))</f>
        <v/>
      </c>
      <c r="M613" s="91" t="str">
        <f t="shared" si="9"/>
        <v/>
      </c>
      <c r="N613" s="96"/>
      <c r="O613" s="95"/>
      <c r="P613" s="96"/>
      <c r="Q613" s="98"/>
    </row>
    <row r="614" spans="1:17" ht="15.75" x14ac:dyDescent="0.2">
      <c r="A614" s="17"/>
      <c r="B614" s="18"/>
      <c r="C614" s="87" t="str">
        <f>IF(B614="","",
IF(M614=$H$5,IFERROR(VLOOKUP(B614,'Baremos actuales'!A:E,5,FALSE),"No encontrado. Revisar código, fecha ejecución y/o contrato."),
IF(M614=$H$4,IFERROR(VLOOKUP(B614,'Baremos anteriores'!A:E,5,FALSE),"No encontrado. Revisar código, fecha ejecución y/o contrato."),
IF(M614=$H$3,IFERROR(VLOOKUP(B614,#REF!,5,FALSE),"No encontrado. Revisar código, fecha ejecución y/o contrato."),
IF(D614="","Código no encontrado",
IF(D614="ERROR","No encontrado. Revisar Código, fecha de ejecución y/o contrato.",
IF(D614="MATE",
IF(C613="DESCRIPCION","NO SE PUEDE COMENZAR SIN CÓDIGO DE TAREA",
IF(C613="","FALTA CÓDIGO DE TAREA",
CONCATENATE("          ",VLOOKUP(B614,'Maestro Materiales'!A:C,3,FALSE)))),IFERROR(VLOOKUP(B614,#REF!,5,FALSE),"No encontrado. Revisar código, fecha ejecución y/o contrato."))))))))</f>
        <v/>
      </c>
      <c r="D614" s="88" t="str">
        <f>IF(B614="","",
IFERROR(VLOOKUP(B614,'Maestro Materiales'!A:C,2,FALSE),
IFERROR(VLOOKUP(B614,'Baremos actuales'!A:B,2,FALSE),
IFERROR(VLOOKUP(B614,'Baremos anteriores'!A:B,2,FALSE),
""))))</f>
        <v/>
      </c>
      <c r="E614" s="9"/>
      <c r="F614" s="89" t="str">
        <f>IF(D614="MATE",
IF(E614="","¿Unidades?",""),
IF(D614="",IF(E614="","","¿Código?"),
IF(E614="","¿Unidades?",
IF(D614="TARE",
IF(M614=$H$3,IFERROR(VLOOKUP(B614,'Baremos actuales'!A:C,3,FALSE),0),
IF(M614=$H$4,IFERROR(VLOOKUP(B614,'Baremos anteriores'!A:C,3,FALSE),0),0))))))</f>
        <v/>
      </c>
      <c r="G614" s="7"/>
      <c r="H614" s="8"/>
      <c r="I614" s="8"/>
      <c r="J614" s="78" t="str">
        <f>IF($D614="","",
IF($E614="","",
IF($D614="MATE","",
IF(VLOOKUP($B614,'Baremos actuales'!A:D,4,FALSE)=J$9,$E614*$F614,IF(VLOOKUP($B614,'Baremos anteriores'!A:D,4,FALSE)="Sin Definir",$E614*$F614,"")))))</f>
        <v/>
      </c>
      <c r="K614" s="79" t="str">
        <f>IF($D614="","",
IF($E614="","",
IF($D614="MATE","",
IF(VLOOKUP($B614,'Baremos actuales'!$A:$D,4,FALSE)=K$9,$E614*$F614,IF(VLOOKUP($B614,'Baremos anteriores'!$A:$D,4,FALSE)="Desmonte",$E614*$F614,"")))))</f>
        <v/>
      </c>
      <c r="L614" s="80" t="str">
        <f>IF($D614="","",
IF($E614="","",
IF($D614="MATE","",
IF(VLOOKUP($B614,'Baremos actuales'!$A:$D,4,FALSE)=L$9,$E614*$F614,""))))</f>
        <v/>
      </c>
      <c r="M614" s="91" t="str">
        <f t="shared" si="9"/>
        <v/>
      </c>
      <c r="N614" s="96"/>
      <c r="O614" s="95"/>
      <c r="P614" s="96"/>
      <c r="Q614" s="98"/>
    </row>
    <row r="615" spans="1:17" ht="15.75" x14ac:dyDescent="0.2">
      <c r="A615" s="17"/>
      <c r="B615" s="18"/>
      <c r="C615" s="87" t="str">
        <f>IF(B615="","",
IF(M615=$H$5,IFERROR(VLOOKUP(B615,'Baremos actuales'!A:E,5,FALSE),"No encontrado. Revisar código, fecha ejecución y/o contrato."),
IF(M615=$H$4,IFERROR(VLOOKUP(B615,'Baremos anteriores'!A:E,5,FALSE),"No encontrado. Revisar código, fecha ejecución y/o contrato."),
IF(M615=$H$3,IFERROR(VLOOKUP(B615,#REF!,5,FALSE),"No encontrado. Revisar código, fecha ejecución y/o contrato."),
IF(D615="","Código no encontrado",
IF(D615="ERROR","No encontrado. Revisar Código, fecha de ejecución y/o contrato.",
IF(D615="MATE",
IF(C614="DESCRIPCION","NO SE PUEDE COMENZAR SIN CÓDIGO DE TAREA",
IF(C614="","FALTA CÓDIGO DE TAREA",
CONCATENATE("          ",VLOOKUP(B615,'Maestro Materiales'!A:C,3,FALSE)))),IFERROR(VLOOKUP(B615,#REF!,5,FALSE),"No encontrado. Revisar código, fecha ejecución y/o contrato."))))))))</f>
        <v/>
      </c>
      <c r="D615" s="88" t="str">
        <f>IF(B615="","",
IFERROR(VLOOKUP(B615,'Maestro Materiales'!A:C,2,FALSE),
IFERROR(VLOOKUP(B615,'Baremos actuales'!A:B,2,FALSE),
IFERROR(VLOOKUP(B615,'Baremos anteriores'!A:B,2,FALSE),
""))))</f>
        <v/>
      </c>
      <c r="E615" s="9"/>
      <c r="F615" s="89" t="str">
        <f>IF(D615="MATE",
IF(E615="","¿Unidades?",""),
IF(D615="",IF(E615="","","¿Código?"),
IF(E615="","¿Unidades?",
IF(D615="TARE",
IF(M615=$H$3,IFERROR(VLOOKUP(B615,'Baremos actuales'!A:C,3,FALSE),0),
IF(M615=$H$4,IFERROR(VLOOKUP(B615,'Baremos anteriores'!A:C,3,FALSE),0),0))))))</f>
        <v/>
      </c>
      <c r="G615" s="7"/>
      <c r="H615" s="8"/>
      <c r="I615" s="8"/>
      <c r="J615" s="78" t="str">
        <f>IF($D615="","",
IF($E615="","",
IF($D615="MATE","",
IF(VLOOKUP($B615,'Baremos actuales'!A:D,4,FALSE)=J$9,$E615*$F615,IF(VLOOKUP($B615,'Baremos anteriores'!A:D,4,FALSE)="Sin Definir",$E615*$F615,"")))))</f>
        <v/>
      </c>
      <c r="K615" s="79" t="str">
        <f>IF($D615="","",
IF($E615="","",
IF($D615="MATE","",
IF(VLOOKUP($B615,'Baremos actuales'!$A:$D,4,FALSE)=K$9,$E615*$F615,IF(VLOOKUP($B615,'Baremos anteriores'!$A:$D,4,FALSE)="Desmonte",$E615*$F615,"")))))</f>
        <v/>
      </c>
      <c r="L615" s="80" t="str">
        <f>IF($D615="","",
IF($E615="","",
IF($D615="MATE","",
IF(VLOOKUP($B615,'Baremos actuales'!$A:$D,4,FALSE)=L$9,$E615*$F615,""))))</f>
        <v/>
      </c>
      <c r="M615" s="91" t="str">
        <f t="shared" si="9"/>
        <v/>
      </c>
      <c r="N615" s="96"/>
      <c r="O615" s="95"/>
      <c r="P615" s="96"/>
      <c r="Q615" s="98"/>
    </row>
    <row r="616" spans="1:17" ht="15.75" x14ac:dyDescent="0.2">
      <c r="A616" s="17"/>
      <c r="B616" s="18"/>
      <c r="C616" s="87" t="str">
        <f>IF(B616="","",
IF(M616=$H$5,IFERROR(VLOOKUP(B616,'Baremos actuales'!A:E,5,FALSE),"No encontrado. Revisar código, fecha ejecución y/o contrato."),
IF(M616=$H$4,IFERROR(VLOOKUP(B616,'Baremos anteriores'!A:E,5,FALSE),"No encontrado. Revisar código, fecha ejecución y/o contrato."),
IF(M616=$H$3,IFERROR(VLOOKUP(B616,#REF!,5,FALSE),"No encontrado. Revisar código, fecha ejecución y/o contrato."),
IF(D616="","Código no encontrado",
IF(D616="ERROR","No encontrado. Revisar Código, fecha de ejecución y/o contrato.",
IF(D616="MATE",
IF(C615="DESCRIPCION","NO SE PUEDE COMENZAR SIN CÓDIGO DE TAREA",
IF(C615="","FALTA CÓDIGO DE TAREA",
CONCATENATE("          ",VLOOKUP(B616,'Maestro Materiales'!A:C,3,FALSE)))),IFERROR(VLOOKUP(B616,#REF!,5,FALSE),"No encontrado. Revisar código, fecha ejecución y/o contrato."))))))))</f>
        <v/>
      </c>
      <c r="D616" s="88" t="str">
        <f>IF(B616="","",
IFERROR(VLOOKUP(B616,'Maestro Materiales'!A:C,2,FALSE),
IFERROR(VLOOKUP(B616,'Baremos actuales'!A:B,2,FALSE),
IFERROR(VLOOKUP(B616,'Baremos anteriores'!A:B,2,FALSE),
""))))</f>
        <v/>
      </c>
      <c r="E616" s="9"/>
      <c r="F616" s="89" t="str">
        <f>IF(D616="MATE",
IF(E616="","¿Unidades?",""),
IF(D616="",IF(E616="","","¿Código?"),
IF(E616="","¿Unidades?",
IF(D616="TARE",
IF(M616=$H$3,IFERROR(VLOOKUP(B616,'Baremos actuales'!A:C,3,FALSE),0),
IF(M616=$H$4,IFERROR(VLOOKUP(B616,'Baremos anteriores'!A:C,3,FALSE),0),0))))))</f>
        <v/>
      </c>
      <c r="G616" s="7"/>
      <c r="H616" s="8"/>
      <c r="I616" s="8"/>
      <c r="J616" s="78" t="str">
        <f>IF($D616="","",
IF($E616="","",
IF($D616="MATE","",
IF(VLOOKUP($B616,'Baremos actuales'!A:D,4,FALSE)=J$9,$E616*$F616,IF(VLOOKUP($B616,'Baremos anteriores'!A:D,4,FALSE)="Sin Definir",$E616*$F616,"")))))</f>
        <v/>
      </c>
      <c r="K616" s="79" t="str">
        <f>IF($D616="","",
IF($E616="","",
IF($D616="MATE","",
IF(VLOOKUP($B616,'Baremos actuales'!$A:$D,4,FALSE)=K$9,$E616*$F616,IF(VLOOKUP($B616,'Baremos anteriores'!$A:$D,4,FALSE)="Desmonte",$E616*$F616,"")))))</f>
        <v/>
      </c>
      <c r="L616" s="80" t="str">
        <f>IF($D616="","",
IF($E616="","",
IF($D616="MATE","",
IF(VLOOKUP($B616,'Baremos actuales'!$A:$D,4,FALSE)=L$9,$E616*$F616,""))))</f>
        <v/>
      </c>
      <c r="M616" s="91" t="str">
        <f t="shared" si="9"/>
        <v/>
      </c>
      <c r="N616" s="96"/>
      <c r="O616" s="95"/>
      <c r="P616" s="96"/>
      <c r="Q616" s="98"/>
    </row>
    <row r="617" spans="1:17" ht="15.75" x14ac:dyDescent="0.2">
      <c r="A617" s="17"/>
      <c r="B617" s="18"/>
      <c r="C617" s="87" t="str">
        <f>IF(B617="","",
IF(M617=$H$5,IFERROR(VLOOKUP(B617,'Baremos actuales'!A:E,5,FALSE),"No encontrado. Revisar código, fecha ejecución y/o contrato."),
IF(M617=$H$4,IFERROR(VLOOKUP(B617,'Baremos anteriores'!A:E,5,FALSE),"No encontrado. Revisar código, fecha ejecución y/o contrato."),
IF(M617=$H$3,IFERROR(VLOOKUP(B617,#REF!,5,FALSE),"No encontrado. Revisar código, fecha ejecución y/o contrato."),
IF(D617="","Código no encontrado",
IF(D617="ERROR","No encontrado. Revisar Código, fecha de ejecución y/o contrato.",
IF(D617="MATE",
IF(C616="DESCRIPCION","NO SE PUEDE COMENZAR SIN CÓDIGO DE TAREA",
IF(C616="","FALTA CÓDIGO DE TAREA",
CONCATENATE("          ",VLOOKUP(B617,'Maestro Materiales'!A:C,3,FALSE)))),IFERROR(VLOOKUP(B617,#REF!,5,FALSE),"No encontrado. Revisar código, fecha ejecución y/o contrato."))))))))</f>
        <v/>
      </c>
      <c r="D617" s="88" t="str">
        <f>IF(B617="","",
IFERROR(VLOOKUP(B617,'Maestro Materiales'!A:C,2,FALSE),
IFERROR(VLOOKUP(B617,'Baremos actuales'!A:B,2,FALSE),
IFERROR(VLOOKUP(B617,'Baremos anteriores'!A:B,2,FALSE),
""))))</f>
        <v/>
      </c>
      <c r="E617" s="9"/>
      <c r="F617" s="89" t="str">
        <f>IF(D617="MATE",
IF(E617="","¿Unidades?",""),
IF(D617="",IF(E617="","","¿Código?"),
IF(E617="","¿Unidades?",
IF(D617="TARE",
IF(M617=$H$3,IFERROR(VLOOKUP(B617,'Baremos actuales'!A:C,3,FALSE),0),
IF(M617=$H$4,IFERROR(VLOOKUP(B617,'Baremos anteriores'!A:C,3,FALSE),0),0))))))</f>
        <v/>
      </c>
      <c r="G617" s="7"/>
      <c r="H617" s="8"/>
      <c r="I617" s="8"/>
      <c r="J617" s="78" t="str">
        <f>IF($D617="","",
IF($E617="","",
IF($D617="MATE","",
IF(VLOOKUP($B617,'Baremos actuales'!A:D,4,FALSE)=J$9,$E617*$F617,IF(VLOOKUP($B617,'Baremos anteriores'!A:D,4,FALSE)="Sin Definir",$E617*$F617,"")))))</f>
        <v/>
      </c>
      <c r="K617" s="79" t="str">
        <f>IF($D617="","",
IF($E617="","",
IF($D617="MATE","",
IF(VLOOKUP($B617,'Baremos actuales'!$A:$D,4,FALSE)=K$9,$E617*$F617,IF(VLOOKUP($B617,'Baremos anteriores'!$A:$D,4,FALSE)="Desmonte",$E617*$F617,"")))))</f>
        <v/>
      </c>
      <c r="L617" s="80" t="str">
        <f>IF($D617="","",
IF($E617="","",
IF($D617="MATE","",
IF(VLOOKUP($B617,'Baremos actuales'!$A:$D,4,FALSE)=L$9,$E617*$F617,""))))</f>
        <v/>
      </c>
      <c r="M617" s="91" t="str">
        <f t="shared" si="9"/>
        <v/>
      </c>
      <c r="N617" s="96"/>
      <c r="O617" s="95"/>
      <c r="P617" s="96"/>
      <c r="Q617" s="98"/>
    </row>
    <row r="618" spans="1:17" ht="15.75" x14ac:dyDescent="0.2">
      <c r="A618" s="17"/>
      <c r="B618" s="18"/>
      <c r="C618" s="87" t="str">
        <f>IF(B618="","",
IF(M618=$H$5,IFERROR(VLOOKUP(B618,'Baremos actuales'!A:E,5,FALSE),"No encontrado. Revisar código, fecha ejecución y/o contrato."),
IF(M618=$H$4,IFERROR(VLOOKUP(B618,'Baremos anteriores'!A:E,5,FALSE),"No encontrado. Revisar código, fecha ejecución y/o contrato."),
IF(M618=$H$3,IFERROR(VLOOKUP(B618,#REF!,5,FALSE),"No encontrado. Revisar código, fecha ejecución y/o contrato."),
IF(D618="","Código no encontrado",
IF(D618="ERROR","No encontrado. Revisar Código, fecha de ejecución y/o contrato.",
IF(D618="MATE",
IF(C617="DESCRIPCION","NO SE PUEDE COMENZAR SIN CÓDIGO DE TAREA",
IF(C617="","FALTA CÓDIGO DE TAREA",
CONCATENATE("          ",VLOOKUP(B618,'Maestro Materiales'!A:C,3,FALSE)))),IFERROR(VLOOKUP(B618,#REF!,5,FALSE),"No encontrado. Revisar código, fecha ejecución y/o contrato."))))))))</f>
        <v/>
      </c>
      <c r="D618" s="88" t="str">
        <f>IF(B618="","",
IFERROR(VLOOKUP(B618,'Maestro Materiales'!A:C,2,FALSE),
IFERROR(VLOOKUP(B618,'Baremos actuales'!A:B,2,FALSE),
IFERROR(VLOOKUP(B618,'Baremos anteriores'!A:B,2,FALSE),
""))))</f>
        <v/>
      </c>
      <c r="E618" s="9"/>
      <c r="F618" s="89" t="str">
        <f>IF(D618="MATE",
IF(E618="","¿Unidades?",""),
IF(D618="",IF(E618="","","¿Código?"),
IF(E618="","¿Unidades?",
IF(D618="TARE",
IF(M618=$H$3,IFERROR(VLOOKUP(B618,'Baremos actuales'!A:C,3,FALSE),0),
IF(M618=$H$4,IFERROR(VLOOKUP(B618,'Baremos anteriores'!A:C,3,FALSE),0),0))))))</f>
        <v/>
      </c>
      <c r="G618" s="7"/>
      <c r="H618" s="8"/>
      <c r="I618" s="8"/>
      <c r="J618" s="78" t="str">
        <f>IF($D618="","",
IF($E618="","",
IF($D618="MATE","",
IF(VLOOKUP($B618,'Baremos actuales'!A:D,4,FALSE)=J$9,$E618*$F618,IF(VLOOKUP($B618,'Baremos anteriores'!A:D,4,FALSE)="Sin Definir",$E618*$F618,"")))))</f>
        <v/>
      </c>
      <c r="K618" s="79" t="str">
        <f>IF($D618="","",
IF($E618="","",
IF($D618="MATE","",
IF(VLOOKUP($B618,'Baremos actuales'!$A:$D,4,FALSE)=K$9,$E618*$F618,IF(VLOOKUP($B618,'Baremos anteriores'!$A:$D,4,FALSE)="Desmonte",$E618*$F618,"")))))</f>
        <v/>
      </c>
      <c r="L618" s="80" t="str">
        <f>IF($D618="","",
IF($E618="","",
IF($D618="MATE","",
IF(VLOOKUP($B618,'Baremos actuales'!$A:$D,4,FALSE)=L$9,$E618*$F618,""))))</f>
        <v/>
      </c>
      <c r="M618" s="91" t="str">
        <f t="shared" si="9"/>
        <v/>
      </c>
      <c r="N618" s="96"/>
      <c r="O618" s="95"/>
      <c r="P618" s="96"/>
      <c r="Q618" s="98"/>
    </row>
    <row r="619" spans="1:17" ht="15.75" x14ac:dyDescent="0.2">
      <c r="A619" s="17"/>
      <c r="B619" s="18"/>
      <c r="C619" s="87" t="str">
        <f>IF(B619="","",
IF(M619=$H$5,IFERROR(VLOOKUP(B619,'Baremos actuales'!A:E,5,FALSE),"No encontrado. Revisar código, fecha ejecución y/o contrato."),
IF(M619=$H$4,IFERROR(VLOOKUP(B619,'Baremos anteriores'!A:E,5,FALSE),"No encontrado. Revisar código, fecha ejecución y/o contrato."),
IF(M619=$H$3,IFERROR(VLOOKUP(B619,#REF!,5,FALSE),"No encontrado. Revisar código, fecha ejecución y/o contrato."),
IF(D619="","Código no encontrado",
IF(D619="ERROR","No encontrado. Revisar Código, fecha de ejecución y/o contrato.",
IF(D619="MATE",
IF(C618="DESCRIPCION","NO SE PUEDE COMENZAR SIN CÓDIGO DE TAREA",
IF(C618="","FALTA CÓDIGO DE TAREA",
CONCATENATE("          ",VLOOKUP(B619,'Maestro Materiales'!A:C,3,FALSE)))),IFERROR(VLOOKUP(B619,#REF!,5,FALSE),"No encontrado. Revisar código, fecha ejecución y/o contrato."))))))))</f>
        <v/>
      </c>
      <c r="D619" s="88" t="str">
        <f>IF(B619="","",
IFERROR(VLOOKUP(B619,'Maestro Materiales'!A:C,2,FALSE),
IFERROR(VLOOKUP(B619,'Baremos actuales'!A:B,2,FALSE),
IFERROR(VLOOKUP(B619,'Baremos anteriores'!A:B,2,FALSE),
""))))</f>
        <v/>
      </c>
      <c r="E619" s="9"/>
      <c r="F619" s="89" t="str">
        <f>IF(D619="MATE",
IF(E619="","¿Unidades?",""),
IF(D619="",IF(E619="","","¿Código?"),
IF(E619="","¿Unidades?",
IF(D619="TARE",
IF(M619=$H$3,IFERROR(VLOOKUP(B619,'Baremos actuales'!A:C,3,FALSE),0),
IF(M619=$H$4,IFERROR(VLOOKUP(B619,'Baremos anteriores'!A:C,3,FALSE),0),0))))))</f>
        <v/>
      </c>
      <c r="G619" s="7"/>
      <c r="H619" s="8"/>
      <c r="I619" s="8"/>
      <c r="J619" s="78" t="str">
        <f>IF($D619="","",
IF($E619="","",
IF($D619="MATE","",
IF(VLOOKUP($B619,'Baremos actuales'!A:D,4,FALSE)=J$9,$E619*$F619,IF(VLOOKUP($B619,'Baremos anteriores'!A:D,4,FALSE)="Sin Definir",$E619*$F619,"")))))</f>
        <v/>
      </c>
      <c r="K619" s="79" t="str">
        <f>IF($D619="","",
IF($E619="","",
IF($D619="MATE","",
IF(VLOOKUP($B619,'Baremos actuales'!$A:$D,4,FALSE)=K$9,$E619*$F619,IF(VLOOKUP($B619,'Baremos anteriores'!$A:$D,4,FALSE)="Desmonte",$E619*$F619,"")))))</f>
        <v/>
      </c>
      <c r="L619" s="80" t="str">
        <f>IF($D619="","",
IF($E619="","",
IF($D619="MATE","",
IF(VLOOKUP($B619,'Baremos actuales'!$A:$D,4,FALSE)=L$9,$E619*$F619,""))))</f>
        <v/>
      </c>
      <c r="M619" s="91" t="str">
        <f t="shared" si="9"/>
        <v/>
      </c>
      <c r="N619" s="96"/>
      <c r="O619" s="95"/>
      <c r="P619" s="96"/>
      <c r="Q619" s="98"/>
    </row>
    <row r="620" spans="1:17" ht="15.75" x14ac:dyDescent="0.2">
      <c r="A620" s="17"/>
      <c r="B620" s="18"/>
      <c r="C620" s="87" t="str">
        <f>IF(B620="","",
IF(M620=$H$5,IFERROR(VLOOKUP(B620,'Baremos actuales'!A:E,5,FALSE),"No encontrado. Revisar código, fecha ejecución y/o contrato."),
IF(M620=$H$4,IFERROR(VLOOKUP(B620,'Baremos anteriores'!A:E,5,FALSE),"No encontrado. Revisar código, fecha ejecución y/o contrato."),
IF(M620=$H$3,IFERROR(VLOOKUP(B620,#REF!,5,FALSE),"No encontrado. Revisar código, fecha ejecución y/o contrato."),
IF(D620="","Código no encontrado",
IF(D620="ERROR","No encontrado. Revisar Código, fecha de ejecución y/o contrato.",
IF(D620="MATE",
IF(C619="DESCRIPCION","NO SE PUEDE COMENZAR SIN CÓDIGO DE TAREA",
IF(C619="","FALTA CÓDIGO DE TAREA",
CONCATENATE("          ",VLOOKUP(B620,'Maestro Materiales'!A:C,3,FALSE)))),IFERROR(VLOOKUP(B620,#REF!,5,FALSE),"No encontrado. Revisar código, fecha ejecución y/o contrato."))))))))</f>
        <v/>
      </c>
      <c r="D620" s="88" t="str">
        <f>IF(B620="","",
IFERROR(VLOOKUP(B620,'Maestro Materiales'!A:C,2,FALSE),
IFERROR(VLOOKUP(B620,'Baremos actuales'!A:B,2,FALSE),
IFERROR(VLOOKUP(B620,'Baremos anteriores'!A:B,2,FALSE),
""))))</f>
        <v/>
      </c>
      <c r="E620" s="9"/>
      <c r="F620" s="89" t="str">
        <f>IF(D620="MATE",
IF(E620="","¿Unidades?",""),
IF(D620="",IF(E620="","","¿Código?"),
IF(E620="","¿Unidades?",
IF(D620="TARE",
IF(M620=$H$3,IFERROR(VLOOKUP(B620,'Baremos actuales'!A:C,3,FALSE),0),
IF(M620=$H$4,IFERROR(VLOOKUP(B620,'Baremos anteriores'!A:C,3,FALSE),0),0))))))</f>
        <v/>
      </c>
      <c r="G620" s="7"/>
      <c r="H620" s="8"/>
      <c r="I620" s="8"/>
      <c r="J620" s="78" t="str">
        <f>IF($D620="","",
IF($E620="","",
IF($D620="MATE","",
IF(VLOOKUP($B620,'Baremos actuales'!A:D,4,FALSE)=J$9,$E620*$F620,IF(VLOOKUP($B620,'Baremos anteriores'!A:D,4,FALSE)="Sin Definir",$E620*$F620,"")))))</f>
        <v/>
      </c>
      <c r="K620" s="79" t="str">
        <f>IF($D620="","",
IF($E620="","",
IF($D620="MATE","",
IF(VLOOKUP($B620,'Baremos actuales'!$A:$D,4,FALSE)=K$9,$E620*$F620,IF(VLOOKUP($B620,'Baremos anteriores'!$A:$D,4,FALSE)="Desmonte",$E620*$F620,"")))))</f>
        <v/>
      </c>
      <c r="L620" s="80" t="str">
        <f>IF($D620="","",
IF($E620="","",
IF($D620="MATE","",
IF(VLOOKUP($B620,'Baremos actuales'!$A:$D,4,FALSE)=L$9,$E620*$F620,""))))</f>
        <v/>
      </c>
      <c r="M620" s="91" t="str">
        <f t="shared" si="9"/>
        <v/>
      </c>
      <c r="N620" s="96"/>
      <c r="O620" s="95"/>
      <c r="P620" s="96"/>
      <c r="Q620" s="98"/>
    </row>
    <row r="621" spans="1:17" ht="15.75" x14ac:dyDescent="0.2">
      <c r="A621" s="17"/>
      <c r="B621" s="18"/>
      <c r="C621" s="87" t="str">
        <f>IF(B621="","",
IF(M621=$H$5,IFERROR(VLOOKUP(B621,'Baremos actuales'!A:E,5,FALSE),"No encontrado. Revisar código, fecha ejecución y/o contrato."),
IF(M621=$H$4,IFERROR(VLOOKUP(B621,'Baremos anteriores'!A:E,5,FALSE),"No encontrado. Revisar código, fecha ejecución y/o contrato."),
IF(M621=$H$3,IFERROR(VLOOKUP(B621,#REF!,5,FALSE),"No encontrado. Revisar código, fecha ejecución y/o contrato."),
IF(D621="","Código no encontrado",
IF(D621="ERROR","No encontrado. Revisar Código, fecha de ejecución y/o contrato.",
IF(D621="MATE",
IF(C620="DESCRIPCION","NO SE PUEDE COMENZAR SIN CÓDIGO DE TAREA",
IF(C620="","FALTA CÓDIGO DE TAREA",
CONCATENATE("          ",VLOOKUP(B621,'Maestro Materiales'!A:C,3,FALSE)))),IFERROR(VLOOKUP(B621,#REF!,5,FALSE),"No encontrado. Revisar código, fecha ejecución y/o contrato."))))))))</f>
        <v/>
      </c>
      <c r="D621" s="88" t="str">
        <f>IF(B621="","",
IFERROR(VLOOKUP(B621,'Maestro Materiales'!A:C,2,FALSE),
IFERROR(VLOOKUP(B621,'Baremos actuales'!A:B,2,FALSE),
IFERROR(VLOOKUP(B621,'Baremos anteriores'!A:B,2,FALSE),
""))))</f>
        <v/>
      </c>
      <c r="E621" s="9"/>
      <c r="F621" s="89" t="str">
        <f>IF(D621="MATE",
IF(E621="","¿Unidades?",""),
IF(D621="",IF(E621="","","¿Código?"),
IF(E621="","¿Unidades?",
IF(D621="TARE",
IF(M621=$H$3,IFERROR(VLOOKUP(B621,'Baremos actuales'!A:C,3,FALSE),0),
IF(M621=$H$4,IFERROR(VLOOKUP(B621,'Baremos anteriores'!A:C,3,FALSE),0),0))))))</f>
        <v/>
      </c>
      <c r="G621" s="7"/>
      <c r="H621" s="8"/>
      <c r="I621" s="8"/>
      <c r="J621" s="78" t="str">
        <f>IF($D621="","",
IF($E621="","",
IF($D621="MATE","",
IF(VLOOKUP($B621,'Baremos actuales'!A:D,4,FALSE)=J$9,$E621*$F621,IF(VLOOKUP($B621,'Baremos anteriores'!A:D,4,FALSE)="Sin Definir",$E621*$F621,"")))))</f>
        <v/>
      </c>
      <c r="K621" s="79" t="str">
        <f>IF($D621="","",
IF($E621="","",
IF($D621="MATE","",
IF(VLOOKUP($B621,'Baremos actuales'!$A:$D,4,FALSE)=K$9,$E621*$F621,IF(VLOOKUP($B621,'Baremos anteriores'!$A:$D,4,FALSE)="Desmonte",$E621*$F621,"")))))</f>
        <v/>
      </c>
      <c r="L621" s="80" t="str">
        <f>IF($D621="","",
IF($E621="","",
IF($D621="MATE","",
IF(VLOOKUP($B621,'Baremos actuales'!$A:$D,4,FALSE)=L$9,$E621*$F621,""))))</f>
        <v/>
      </c>
      <c r="M621" s="91" t="str">
        <f t="shared" si="9"/>
        <v/>
      </c>
      <c r="N621" s="96"/>
      <c r="O621" s="95"/>
      <c r="P621" s="96"/>
      <c r="Q621" s="98"/>
    </row>
    <row r="622" spans="1:17" ht="15.75" x14ac:dyDescent="0.2">
      <c r="A622" s="17"/>
      <c r="B622" s="18"/>
      <c r="C622" s="87" t="str">
        <f>IF(B622="","",
IF(M622=$H$5,IFERROR(VLOOKUP(B622,'Baremos actuales'!A:E,5,FALSE),"No encontrado. Revisar código, fecha ejecución y/o contrato."),
IF(M622=$H$4,IFERROR(VLOOKUP(B622,'Baremos anteriores'!A:E,5,FALSE),"No encontrado. Revisar código, fecha ejecución y/o contrato."),
IF(M622=$H$3,IFERROR(VLOOKUP(B622,#REF!,5,FALSE),"No encontrado. Revisar código, fecha ejecución y/o contrato."),
IF(D622="","Código no encontrado",
IF(D622="ERROR","No encontrado. Revisar Código, fecha de ejecución y/o contrato.",
IF(D622="MATE",
IF(C621="DESCRIPCION","NO SE PUEDE COMENZAR SIN CÓDIGO DE TAREA",
IF(C621="","FALTA CÓDIGO DE TAREA",
CONCATENATE("          ",VLOOKUP(B622,'Maestro Materiales'!A:C,3,FALSE)))),IFERROR(VLOOKUP(B622,#REF!,5,FALSE),"No encontrado. Revisar código, fecha ejecución y/o contrato."))))))))</f>
        <v/>
      </c>
      <c r="D622" s="88" t="str">
        <f>IF(B622="","",
IFERROR(VLOOKUP(B622,'Maestro Materiales'!A:C,2,FALSE),
IFERROR(VLOOKUP(B622,'Baremos actuales'!A:B,2,FALSE),
IFERROR(VLOOKUP(B622,'Baremos anteriores'!A:B,2,FALSE),
""))))</f>
        <v/>
      </c>
      <c r="E622" s="9"/>
      <c r="F622" s="89" t="str">
        <f>IF(D622="MATE",
IF(E622="","¿Unidades?",""),
IF(D622="",IF(E622="","","¿Código?"),
IF(E622="","¿Unidades?",
IF(D622="TARE",
IF(M622=$H$3,IFERROR(VLOOKUP(B622,'Baremos actuales'!A:C,3,FALSE),0),
IF(M622=$H$4,IFERROR(VLOOKUP(B622,'Baremos anteriores'!A:C,3,FALSE),0),0))))))</f>
        <v/>
      </c>
      <c r="G622" s="7"/>
      <c r="H622" s="8"/>
      <c r="I622" s="8"/>
      <c r="J622" s="78" t="str">
        <f>IF($D622="","",
IF($E622="","",
IF($D622="MATE","",
IF(VLOOKUP($B622,'Baremos actuales'!A:D,4,FALSE)=J$9,$E622*$F622,IF(VLOOKUP($B622,'Baremos anteriores'!A:D,4,FALSE)="Sin Definir",$E622*$F622,"")))))</f>
        <v/>
      </c>
      <c r="K622" s="79" t="str">
        <f>IF($D622="","",
IF($E622="","",
IF($D622="MATE","",
IF(VLOOKUP($B622,'Baremos actuales'!$A:$D,4,FALSE)=K$9,$E622*$F622,IF(VLOOKUP($B622,'Baremos anteriores'!$A:$D,4,FALSE)="Desmonte",$E622*$F622,"")))))</f>
        <v/>
      </c>
      <c r="L622" s="80" t="str">
        <f>IF($D622="","",
IF($E622="","",
IF($D622="MATE","",
IF(VLOOKUP($B622,'Baremos actuales'!$A:$D,4,FALSE)=L$9,$E622*$F622,""))))</f>
        <v/>
      </c>
      <c r="M622" s="91" t="str">
        <f t="shared" si="9"/>
        <v/>
      </c>
      <c r="N622" s="96"/>
      <c r="O622" s="95"/>
      <c r="P622" s="96"/>
      <c r="Q622" s="98"/>
    </row>
    <row r="623" spans="1:17" ht="15.75" x14ac:dyDescent="0.2">
      <c r="A623" s="17"/>
      <c r="B623" s="18"/>
      <c r="C623" s="87" t="str">
        <f>IF(B623="","",
IF(M623=$H$5,IFERROR(VLOOKUP(B623,'Baremos actuales'!A:E,5,FALSE),"No encontrado. Revisar código, fecha ejecución y/o contrato."),
IF(M623=$H$4,IFERROR(VLOOKUP(B623,'Baremos anteriores'!A:E,5,FALSE),"No encontrado. Revisar código, fecha ejecución y/o contrato."),
IF(M623=$H$3,IFERROR(VLOOKUP(B623,#REF!,5,FALSE),"No encontrado. Revisar código, fecha ejecución y/o contrato."),
IF(D623="","Código no encontrado",
IF(D623="ERROR","No encontrado. Revisar Código, fecha de ejecución y/o contrato.",
IF(D623="MATE",
IF(C622="DESCRIPCION","NO SE PUEDE COMENZAR SIN CÓDIGO DE TAREA",
IF(C622="","FALTA CÓDIGO DE TAREA",
CONCATENATE("          ",VLOOKUP(B623,'Maestro Materiales'!A:C,3,FALSE)))),IFERROR(VLOOKUP(B623,#REF!,5,FALSE),"No encontrado. Revisar código, fecha ejecución y/o contrato."))))))))</f>
        <v/>
      </c>
      <c r="D623" s="88" t="str">
        <f>IF(B623="","",
IFERROR(VLOOKUP(B623,'Maestro Materiales'!A:C,2,FALSE),
IFERROR(VLOOKUP(B623,'Baremos actuales'!A:B,2,FALSE),
IFERROR(VLOOKUP(B623,'Baremos anteriores'!A:B,2,FALSE),
""))))</f>
        <v/>
      </c>
      <c r="E623" s="9"/>
      <c r="F623" s="89" t="str">
        <f>IF(D623="MATE",
IF(E623="","¿Unidades?",""),
IF(D623="",IF(E623="","","¿Código?"),
IF(E623="","¿Unidades?",
IF(D623="TARE",
IF(M623=$H$3,IFERROR(VLOOKUP(B623,'Baremos actuales'!A:C,3,FALSE),0),
IF(M623=$H$4,IFERROR(VLOOKUP(B623,'Baremos anteriores'!A:C,3,FALSE),0),0))))))</f>
        <v/>
      </c>
      <c r="G623" s="7"/>
      <c r="H623" s="8"/>
      <c r="I623" s="8"/>
      <c r="J623" s="78" t="str">
        <f>IF($D623="","",
IF($E623="","",
IF($D623="MATE","",
IF(VLOOKUP($B623,'Baremos actuales'!A:D,4,FALSE)=J$9,$E623*$F623,IF(VLOOKUP($B623,'Baremos anteriores'!A:D,4,FALSE)="Sin Definir",$E623*$F623,"")))))</f>
        <v/>
      </c>
      <c r="K623" s="79" t="str">
        <f>IF($D623="","",
IF($E623="","",
IF($D623="MATE","",
IF(VLOOKUP($B623,'Baremos actuales'!$A:$D,4,FALSE)=K$9,$E623*$F623,IF(VLOOKUP($B623,'Baremos anteriores'!$A:$D,4,FALSE)="Desmonte",$E623*$F623,"")))))</f>
        <v/>
      </c>
      <c r="L623" s="80" t="str">
        <f>IF($D623="","",
IF($E623="","",
IF($D623="MATE","",
IF(VLOOKUP($B623,'Baremos actuales'!$A:$D,4,FALSE)=L$9,$E623*$F623,""))))</f>
        <v/>
      </c>
      <c r="M623" s="91" t="str">
        <f t="shared" si="9"/>
        <v/>
      </c>
      <c r="N623" s="96"/>
      <c r="O623" s="95"/>
      <c r="P623" s="96"/>
      <c r="Q623" s="98"/>
    </row>
    <row r="624" spans="1:17" ht="15.75" x14ac:dyDescent="0.2">
      <c r="A624" s="17"/>
      <c r="B624" s="18"/>
      <c r="C624" s="87" t="str">
        <f>IF(B624="","",
IF(M624=$H$5,IFERROR(VLOOKUP(B624,'Baremos actuales'!A:E,5,FALSE),"No encontrado. Revisar código, fecha ejecución y/o contrato."),
IF(M624=$H$4,IFERROR(VLOOKUP(B624,'Baremos anteriores'!A:E,5,FALSE),"No encontrado. Revisar código, fecha ejecución y/o contrato."),
IF(M624=$H$3,IFERROR(VLOOKUP(B624,#REF!,5,FALSE),"No encontrado. Revisar código, fecha ejecución y/o contrato."),
IF(D624="","Código no encontrado",
IF(D624="ERROR","No encontrado. Revisar Código, fecha de ejecución y/o contrato.",
IF(D624="MATE",
IF(C623="DESCRIPCION","NO SE PUEDE COMENZAR SIN CÓDIGO DE TAREA",
IF(C623="","FALTA CÓDIGO DE TAREA",
CONCATENATE("          ",VLOOKUP(B624,'Maestro Materiales'!A:C,3,FALSE)))),IFERROR(VLOOKUP(B624,#REF!,5,FALSE),"No encontrado. Revisar código, fecha ejecución y/o contrato."))))))))</f>
        <v/>
      </c>
      <c r="D624" s="88" t="str">
        <f>IF(B624="","",
IFERROR(VLOOKUP(B624,'Maestro Materiales'!A:C,2,FALSE),
IFERROR(VLOOKUP(B624,'Baremos actuales'!A:B,2,FALSE),
IFERROR(VLOOKUP(B624,'Baremos anteriores'!A:B,2,FALSE),
""))))</f>
        <v/>
      </c>
      <c r="E624" s="9"/>
      <c r="F624" s="89" t="str">
        <f>IF(D624="MATE",
IF(E624="","¿Unidades?",""),
IF(D624="",IF(E624="","","¿Código?"),
IF(E624="","¿Unidades?",
IF(D624="TARE",
IF(M624=$H$3,IFERROR(VLOOKUP(B624,'Baremos actuales'!A:C,3,FALSE),0),
IF(M624=$H$4,IFERROR(VLOOKUP(B624,'Baremos anteriores'!A:C,3,FALSE),0),0))))))</f>
        <v/>
      </c>
      <c r="G624" s="7"/>
      <c r="H624" s="8"/>
      <c r="I624" s="8"/>
      <c r="J624" s="78" t="str">
        <f>IF($D624="","",
IF($E624="","",
IF($D624="MATE","",
IF(VLOOKUP($B624,'Baremos actuales'!A:D,4,FALSE)=J$9,$E624*$F624,IF(VLOOKUP($B624,'Baremos anteriores'!A:D,4,FALSE)="Sin Definir",$E624*$F624,"")))))</f>
        <v/>
      </c>
      <c r="K624" s="79" t="str">
        <f>IF($D624="","",
IF($E624="","",
IF($D624="MATE","",
IF(VLOOKUP($B624,'Baremos actuales'!$A:$D,4,FALSE)=K$9,$E624*$F624,IF(VLOOKUP($B624,'Baremos anteriores'!$A:$D,4,FALSE)="Desmonte",$E624*$F624,"")))))</f>
        <v/>
      </c>
      <c r="L624" s="80" t="str">
        <f>IF($D624="","",
IF($E624="","",
IF($D624="MATE","",
IF(VLOOKUP($B624,'Baremos actuales'!$A:$D,4,FALSE)=L$9,$E624*$F624,""))))</f>
        <v/>
      </c>
      <c r="M624" s="91" t="str">
        <f t="shared" si="9"/>
        <v/>
      </c>
      <c r="N624" s="96"/>
      <c r="O624" s="95"/>
      <c r="P624" s="96"/>
      <c r="Q624" s="98"/>
    </row>
    <row r="625" spans="1:17" ht="15.75" x14ac:dyDescent="0.2">
      <c r="A625" s="17"/>
      <c r="B625" s="18"/>
      <c r="C625" s="87" t="str">
        <f>IF(B625="","",
IF(M625=$H$5,IFERROR(VLOOKUP(B625,'Baremos actuales'!A:E,5,FALSE),"No encontrado. Revisar código, fecha ejecución y/o contrato."),
IF(M625=$H$4,IFERROR(VLOOKUP(B625,'Baremos anteriores'!A:E,5,FALSE),"No encontrado. Revisar código, fecha ejecución y/o contrato."),
IF(M625=$H$3,IFERROR(VLOOKUP(B625,#REF!,5,FALSE),"No encontrado. Revisar código, fecha ejecución y/o contrato."),
IF(D625="","Código no encontrado",
IF(D625="ERROR","No encontrado. Revisar Código, fecha de ejecución y/o contrato.",
IF(D625="MATE",
IF(C624="DESCRIPCION","NO SE PUEDE COMENZAR SIN CÓDIGO DE TAREA",
IF(C624="","FALTA CÓDIGO DE TAREA",
CONCATENATE("          ",VLOOKUP(B625,'Maestro Materiales'!A:C,3,FALSE)))),IFERROR(VLOOKUP(B625,#REF!,5,FALSE),"No encontrado. Revisar código, fecha ejecución y/o contrato."))))))))</f>
        <v/>
      </c>
      <c r="D625" s="88" t="str">
        <f>IF(B625="","",
IFERROR(VLOOKUP(B625,'Maestro Materiales'!A:C,2,FALSE),
IFERROR(VLOOKUP(B625,'Baremos actuales'!A:B,2,FALSE),
IFERROR(VLOOKUP(B625,'Baremos anteriores'!A:B,2,FALSE),
""))))</f>
        <v/>
      </c>
      <c r="E625" s="9"/>
      <c r="F625" s="89" t="str">
        <f>IF(D625="MATE",
IF(E625="","¿Unidades?",""),
IF(D625="",IF(E625="","","¿Código?"),
IF(E625="","¿Unidades?",
IF(D625="TARE",
IF(M625=$H$3,IFERROR(VLOOKUP(B625,'Baremos actuales'!A:C,3,FALSE),0),
IF(M625=$H$4,IFERROR(VLOOKUP(B625,'Baremos anteriores'!A:C,3,FALSE),0),0))))))</f>
        <v/>
      </c>
      <c r="G625" s="7"/>
      <c r="H625" s="8"/>
      <c r="I625" s="8"/>
      <c r="J625" s="78" t="str">
        <f>IF($D625="","",
IF($E625="","",
IF($D625="MATE","",
IF(VLOOKUP($B625,'Baremos actuales'!A:D,4,FALSE)=J$9,$E625*$F625,IF(VLOOKUP($B625,'Baremos anteriores'!A:D,4,FALSE)="Sin Definir",$E625*$F625,"")))))</f>
        <v/>
      </c>
      <c r="K625" s="79" t="str">
        <f>IF($D625="","",
IF($E625="","",
IF($D625="MATE","",
IF(VLOOKUP($B625,'Baremos actuales'!$A:$D,4,FALSE)=K$9,$E625*$F625,IF(VLOOKUP($B625,'Baremos anteriores'!$A:$D,4,FALSE)="Desmonte",$E625*$F625,"")))))</f>
        <v/>
      </c>
      <c r="L625" s="80" t="str">
        <f>IF($D625="","",
IF($E625="","",
IF($D625="MATE","",
IF(VLOOKUP($B625,'Baremos actuales'!$A:$D,4,FALSE)=L$9,$E625*$F625,""))))</f>
        <v/>
      </c>
      <c r="M625" s="91" t="str">
        <f t="shared" si="9"/>
        <v/>
      </c>
      <c r="N625" s="96"/>
      <c r="O625" s="95"/>
      <c r="P625" s="96"/>
      <c r="Q625" s="98"/>
    </row>
    <row r="626" spans="1:17" ht="15.75" x14ac:dyDescent="0.2">
      <c r="A626" s="17"/>
      <c r="B626" s="18"/>
      <c r="C626" s="87" t="str">
        <f>IF(B626="","",
IF(M626=$H$5,IFERROR(VLOOKUP(B626,'Baremos actuales'!A:E,5,FALSE),"No encontrado. Revisar código, fecha ejecución y/o contrato."),
IF(M626=$H$4,IFERROR(VLOOKUP(B626,'Baremos anteriores'!A:E,5,FALSE),"No encontrado. Revisar código, fecha ejecución y/o contrato."),
IF(M626=$H$3,IFERROR(VLOOKUP(B626,#REF!,5,FALSE),"No encontrado. Revisar código, fecha ejecución y/o contrato."),
IF(D626="","Código no encontrado",
IF(D626="ERROR","No encontrado. Revisar Código, fecha de ejecución y/o contrato.",
IF(D626="MATE",
IF(C625="DESCRIPCION","NO SE PUEDE COMENZAR SIN CÓDIGO DE TAREA",
IF(C625="","FALTA CÓDIGO DE TAREA",
CONCATENATE("          ",VLOOKUP(B626,'Maestro Materiales'!A:C,3,FALSE)))),IFERROR(VLOOKUP(B626,#REF!,5,FALSE),"No encontrado. Revisar código, fecha ejecución y/o contrato."))))))))</f>
        <v/>
      </c>
      <c r="D626" s="88" t="str">
        <f>IF(B626="","",
IFERROR(VLOOKUP(B626,'Maestro Materiales'!A:C,2,FALSE),
IFERROR(VLOOKUP(B626,'Baremos actuales'!A:B,2,FALSE),
IFERROR(VLOOKUP(B626,'Baremos anteriores'!A:B,2,FALSE),
""))))</f>
        <v/>
      </c>
      <c r="E626" s="9"/>
      <c r="F626" s="89" t="str">
        <f>IF(D626="MATE",
IF(E626="","¿Unidades?",""),
IF(D626="",IF(E626="","","¿Código?"),
IF(E626="","¿Unidades?",
IF(D626="TARE",
IF(M626=$H$3,IFERROR(VLOOKUP(B626,'Baremos actuales'!A:C,3,FALSE),0),
IF(M626=$H$4,IFERROR(VLOOKUP(B626,'Baremos anteriores'!A:C,3,FALSE),0),0))))))</f>
        <v/>
      </c>
      <c r="G626" s="7"/>
      <c r="H626" s="8"/>
      <c r="I626" s="8"/>
      <c r="J626" s="78" t="str">
        <f>IF($D626="","",
IF($E626="","",
IF($D626="MATE","",
IF(VLOOKUP($B626,'Baremos actuales'!A:D,4,FALSE)=J$9,$E626*$F626,IF(VLOOKUP($B626,'Baremos anteriores'!A:D,4,FALSE)="Sin Definir",$E626*$F626,"")))))</f>
        <v/>
      </c>
      <c r="K626" s="79" t="str">
        <f>IF($D626="","",
IF($E626="","",
IF($D626="MATE","",
IF(VLOOKUP($B626,'Baremos actuales'!$A:$D,4,FALSE)=K$9,$E626*$F626,IF(VLOOKUP($B626,'Baremos anteriores'!$A:$D,4,FALSE)="Desmonte",$E626*$F626,"")))))</f>
        <v/>
      </c>
      <c r="L626" s="80" t="str">
        <f>IF($D626="","",
IF($E626="","",
IF($D626="MATE","",
IF(VLOOKUP($B626,'Baremos actuales'!$A:$D,4,FALSE)=L$9,$E626*$F626,""))))</f>
        <v/>
      </c>
      <c r="M626" s="91" t="str">
        <f t="shared" si="9"/>
        <v/>
      </c>
      <c r="N626" s="96"/>
      <c r="O626" s="95"/>
      <c r="P626" s="96"/>
      <c r="Q626" s="98"/>
    </row>
    <row r="627" spans="1:17" ht="15.75" x14ac:dyDescent="0.2">
      <c r="A627" s="17"/>
      <c r="B627" s="18"/>
      <c r="C627" s="87" t="str">
        <f>IF(B627="","",
IF(M627=$H$5,IFERROR(VLOOKUP(B627,'Baremos actuales'!A:E,5,FALSE),"No encontrado. Revisar código, fecha ejecución y/o contrato."),
IF(M627=$H$4,IFERROR(VLOOKUP(B627,'Baremos anteriores'!A:E,5,FALSE),"No encontrado. Revisar código, fecha ejecución y/o contrato."),
IF(M627=$H$3,IFERROR(VLOOKUP(B627,#REF!,5,FALSE),"No encontrado. Revisar código, fecha ejecución y/o contrato."),
IF(D627="","Código no encontrado",
IF(D627="ERROR","No encontrado. Revisar Código, fecha de ejecución y/o contrato.",
IF(D627="MATE",
IF(C626="DESCRIPCION","NO SE PUEDE COMENZAR SIN CÓDIGO DE TAREA",
IF(C626="","FALTA CÓDIGO DE TAREA",
CONCATENATE("          ",VLOOKUP(B627,'Maestro Materiales'!A:C,3,FALSE)))),IFERROR(VLOOKUP(B627,#REF!,5,FALSE),"No encontrado. Revisar código, fecha ejecución y/o contrato."))))))))</f>
        <v/>
      </c>
      <c r="D627" s="88" t="str">
        <f>IF(B627="","",
IFERROR(VLOOKUP(B627,'Maestro Materiales'!A:C,2,FALSE),
IFERROR(VLOOKUP(B627,'Baremos actuales'!A:B,2,FALSE),
IFERROR(VLOOKUP(B627,'Baremos anteriores'!A:B,2,FALSE),
""))))</f>
        <v/>
      </c>
      <c r="E627" s="9"/>
      <c r="F627" s="89" t="str">
        <f>IF(D627="MATE",
IF(E627="","¿Unidades?",""),
IF(D627="",IF(E627="","","¿Código?"),
IF(E627="","¿Unidades?",
IF(D627="TARE",
IF(M627=$H$3,IFERROR(VLOOKUP(B627,'Baremos actuales'!A:C,3,FALSE),0),
IF(M627=$H$4,IFERROR(VLOOKUP(B627,'Baremos anteriores'!A:C,3,FALSE),0),0))))))</f>
        <v/>
      </c>
      <c r="G627" s="7"/>
      <c r="H627" s="8"/>
      <c r="I627" s="8"/>
      <c r="J627" s="78" t="str">
        <f>IF($D627="","",
IF($E627="","",
IF($D627="MATE","",
IF(VLOOKUP($B627,'Baremos actuales'!A:D,4,FALSE)=J$9,$E627*$F627,IF(VLOOKUP($B627,'Baremos anteriores'!A:D,4,FALSE)="Sin Definir",$E627*$F627,"")))))</f>
        <v/>
      </c>
      <c r="K627" s="79" t="str">
        <f>IF($D627="","",
IF($E627="","",
IF($D627="MATE","",
IF(VLOOKUP($B627,'Baremos actuales'!$A:$D,4,FALSE)=K$9,$E627*$F627,IF(VLOOKUP($B627,'Baremos anteriores'!$A:$D,4,FALSE)="Desmonte",$E627*$F627,"")))))</f>
        <v/>
      </c>
      <c r="L627" s="80" t="str">
        <f>IF($D627="","",
IF($E627="","",
IF($D627="MATE","",
IF(VLOOKUP($B627,'Baremos actuales'!$A:$D,4,FALSE)=L$9,$E627*$F627,""))))</f>
        <v/>
      </c>
      <c r="M627" s="91" t="str">
        <f t="shared" si="9"/>
        <v/>
      </c>
      <c r="N627" s="96"/>
      <c r="O627" s="95"/>
      <c r="P627" s="96"/>
      <c r="Q627" s="98"/>
    </row>
    <row r="628" spans="1:17" ht="15.75" x14ac:dyDescent="0.2">
      <c r="A628" s="17"/>
      <c r="B628" s="18"/>
      <c r="C628" s="87" t="str">
        <f>IF(B628="","",
IF(M628=$H$5,IFERROR(VLOOKUP(B628,'Baremos actuales'!A:E,5,FALSE),"No encontrado. Revisar código, fecha ejecución y/o contrato."),
IF(M628=$H$4,IFERROR(VLOOKUP(B628,'Baremos anteriores'!A:E,5,FALSE),"No encontrado. Revisar código, fecha ejecución y/o contrato."),
IF(M628=$H$3,IFERROR(VLOOKUP(B628,#REF!,5,FALSE),"No encontrado. Revisar código, fecha ejecución y/o contrato."),
IF(D628="","Código no encontrado",
IF(D628="ERROR","No encontrado. Revisar Código, fecha de ejecución y/o contrato.",
IF(D628="MATE",
IF(C627="DESCRIPCION","NO SE PUEDE COMENZAR SIN CÓDIGO DE TAREA",
IF(C627="","FALTA CÓDIGO DE TAREA",
CONCATENATE("          ",VLOOKUP(B628,'Maestro Materiales'!A:C,3,FALSE)))),IFERROR(VLOOKUP(B628,#REF!,5,FALSE),"No encontrado. Revisar código, fecha ejecución y/o contrato."))))))))</f>
        <v/>
      </c>
      <c r="D628" s="88" t="str">
        <f>IF(B628="","",
IFERROR(VLOOKUP(B628,'Maestro Materiales'!A:C,2,FALSE),
IFERROR(VLOOKUP(B628,'Baremos actuales'!A:B,2,FALSE),
IFERROR(VLOOKUP(B628,'Baremos anteriores'!A:B,2,FALSE),
""))))</f>
        <v/>
      </c>
      <c r="E628" s="9"/>
      <c r="F628" s="89" t="str">
        <f>IF(D628="MATE",
IF(E628="","¿Unidades?",""),
IF(D628="",IF(E628="","","¿Código?"),
IF(E628="","¿Unidades?",
IF(D628="TARE",
IF(M628=$H$3,IFERROR(VLOOKUP(B628,'Baremos actuales'!A:C,3,FALSE),0),
IF(M628=$H$4,IFERROR(VLOOKUP(B628,'Baremos anteriores'!A:C,3,FALSE),0),0))))))</f>
        <v/>
      </c>
      <c r="G628" s="7"/>
      <c r="H628" s="8"/>
      <c r="I628" s="8"/>
      <c r="J628" s="78" t="str">
        <f>IF($D628="","",
IF($E628="","",
IF($D628="MATE","",
IF(VLOOKUP($B628,'Baremos actuales'!A:D,4,FALSE)=J$9,$E628*$F628,IF(VLOOKUP($B628,'Baremos anteriores'!A:D,4,FALSE)="Sin Definir",$E628*$F628,"")))))</f>
        <v/>
      </c>
      <c r="K628" s="79" t="str">
        <f>IF($D628="","",
IF($E628="","",
IF($D628="MATE","",
IF(VLOOKUP($B628,'Baremos actuales'!$A:$D,4,FALSE)=K$9,$E628*$F628,IF(VLOOKUP($B628,'Baremos anteriores'!$A:$D,4,FALSE)="Desmonte",$E628*$F628,"")))))</f>
        <v/>
      </c>
      <c r="L628" s="80" t="str">
        <f>IF($D628="","",
IF($E628="","",
IF($D628="MATE","",
IF(VLOOKUP($B628,'Baremos actuales'!$A:$D,4,FALSE)=L$9,$E628*$F628,""))))</f>
        <v/>
      </c>
      <c r="M628" s="91" t="str">
        <f t="shared" si="9"/>
        <v/>
      </c>
      <c r="N628" s="96"/>
      <c r="O628" s="95"/>
      <c r="P628" s="96"/>
      <c r="Q628" s="98"/>
    </row>
    <row r="629" spans="1:17" ht="15.75" x14ac:dyDescent="0.2">
      <c r="A629" s="17"/>
      <c r="B629" s="18"/>
      <c r="C629" s="87" t="str">
        <f>IF(B629="","",
IF(M629=$H$5,IFERROR(VLOOKUP(B629,'Baremos actuales'!A:E,5,FALSE),"No encontrado. Revisar código, fecha ejecución y/o contrato."),
IF(M629=$H$4,IFERROR(VLOOKUP(B629,'Baremos anteriores'!A:E,5,FALSE),"No encontrado. Revisar código, fecha ejecución y/o contrato."),
IF(M629=$H$3,IFERROR(VLOOKUP(B629,#REF!,5,FALSE),"No encontrado. Revisar código, fecha ejecución y/o contrato."),
IF(D629="","Código no encontrado",
IF(D629="ERROR","No encontrado. Revisar Código, fecha de ejecución y/o contrato.",
IF(D629="MATE",
IF(C628="DESCRIPCION","NO SE PUEDE COMENZAR SIN CÓDIGO DE TAREA",
IF(C628="","FALTA CÓDIGO DE TAREA",
CONCATENATE("          ",VLOOKUP(B629,'Maestro Materiales'!A:C,3,FALSE)))),IFERROR(VLOOKUP(B629,#REF!,5,FALSE),"No encontrado. Revisar código, fecha ejecución y/o contrato."))))))))</f>
        <v/>
      </c>
      <c r="D629" s="88" t="str">
        <f>IF(B629="","",
IFERROR(VLOOKUP(B629,'Maestro Materiales'!A:C,2,FALSE),
IFERROR(VLOOKUP(B629,'Baremos actuales'!A:B,2,FALSE),
IFERROR(VLOOKUP(B629,'Baremos anteriores'!A:B,2,FALSE),
""))))</f>
        <v/>
      </c>
      <c r="E629" s="9"/>
      <c r="F629" s="89" t="str">
        <f>IF(D629="MATE",
IF(E629="","¿Unidades?",""),
IF(D629="",IF(E629="","","¿Código?"),
IF(E629="","¿Unidades?",
IF(D629="TARE",
IF(M629=$H$3,IFERROR(VLOOKUP(B629,'Baremos actuales'!A:C,3,FALSE),0),
IF(M629=$H$4,IFERROR(VLOOKUP(B629,'Baremos anteriores'!A:C,3,FALSE),0),0))))))</f>
        <v/>
      </c>
      <c r="G629" s="7"/>
      <c r="H629" s="8"/>
      <c r="I629" s="8"/>
      <c r="J629" s="78" t="str">
        <f>IF($D629="","",
IF($E629="","",
IF($D629="MATE","",
IF(VLOOKUP($B629,'Baremos actuales'!A:D,4,FALSE)=J$9,$E629*$F629,IF(VLOOKUP($B629,'Baremos anteriores'!A:D,4,FALSE)="Sin Definir",$E629*$F629,"")))))</f>
        <v/>
      </c>
      <c r="K629" s="79" t="str">
        <f>IF($D629="","",
IF($E629="","",
IF($D629="MATE","",
IF(VLOOKUP($B629,'Baremos actuales'!$A:$D,4,FALSE)=K$9,$E629*$F629,IF(VLOOKUP($B629,'Baremos anteriores'!$A:$D,4,FALSE)="Desmonte",$E629*$F629,"")))))</f>
        <v/>
      </c>
      <c r="L629" s="80" t="str">
        <f>IF($D629="","",
IF($E629="","",
IF($D629="MATE","",
IF(VLOOKUP($B629,'Baremos actuales'!$A:$D,4,FALSE)=L$9,$E629*$F629,""))))</f>
        <v/>
      </c>
      <c r="M629" s="91" t="str">
        <f t="shared" si="9"/>
        <v/>
      </c>
      <c r="N629" s="96"/>
      <c r="O629" s="95"/>
      <c r="P629" s="96"/>
      <c r="Q629" s="98"/>
    </row>
    <row r="630" spans="1:17" ht="15.75" x14ac:dyDescent="0.2">
      <c r="A630" s="17"/>
      <c r="B630" s="18"/>
      <c r="C630" s="87" t="str">
        <f>IF(B630="","",
IF(M630=$H$5,IFERROR(VLOOKUP(B630,'Baremos actuales'!A:E,5,FALSE),"No encontrado. Revisar código, fecha ejecución y/o contrato."),
IF(M630=$H$4,IFERROR(VLOOKUP(B630,'Baremos anteriores'!A:E,5,FALSE),"No encontrado. Revisar código, fecha ejecución y/o contrato."),
IF(M630=$H$3,IFERROR(VLOOKUP(B630,#REF!,5,FALSE),"No encontrado. Revisar código, fecha ejecución y/o contrato."),
IF(D630="","Código no encontrado",
IF(D630="ERROR","No encontrado. Revisar Código, fecha de ejecución y/o contrato.",
IF(D630="MATE",
IF(C629="DESCRIPCION","NO SE PUEDE COMENZAR SIN CÓDIGO DE TAREA",
IF(C629="","FALTA CÓDIGO DE TAREA",
CONCATENATE("          ",VLOOKUP(B630,'Maestro Materiales'!A:C,3,FALSE)))),IFERROR(VLOOKUP(B630,#REF!,5,FALSE),"No encontrado. Revisar código, fecha ejecución y/o contrato."))))))))</f>
        <v/>
      </c>
      <c r="D630" s="88" t="str">
        <f>IF(B630="","",
IFERROR(VLOOKUP(B630,'Maestro Materiales'!A:C,2,FALSE),
IFERROR(VLOOKUP(B630,'Baremos actuales'!A:B,2,FALSE),
IFERROR(VLOOKUP(B630,'Baremos anteriores'!A:B,2,FALSE),
""))))</f>
        <v/>
      </c>
      <c r="E630" s="9"/>
      <c r="F630" s="89" t="str">
        <f>IF(D630="MATE",
IF(E630="","¿Unidades?",""),
IF(D630="",IF(E630="","","¿Código?"),
IF(E630="","¿Unidades?",
IF(D630="TARE",
IF(M630=$H$3,IFERROR(VLOOKUP(B630,'Baremos actuales'!A:C,3,FALSE),0),
IF(M630=$H$4,IFERROR(VLOOKUP(B630,'Baremos anteriores'!A:C,3,FALSE),0),0))))))</f>
        <v/>
      </c>
      <c r="G630" s="7"/>
      <c r="H630" s="8"/>
      <c r="I630" s="8"/>
      <c r="J630" s="78" t="str">
        <f>IF($D630="","",
IF($E630="","",
IF($D630="MATE","",
IF(VLOOKUP($B630,'Baremos actuales'!A:D,4,FALSE)=J$9,$E630*$F630,IF(VLOOKUP($B630,'Baremos anteriores'!A:D,4,FALSE)="Sin Definir",$E630*$F630,"")))))</f>
        <v/>
      </c>
      <c r="K630" s="79" t="str">
        <f>IF($D630="","",
IF($E630="","",
IF($D630="MATE","",
IF(VLOOKUP($B630,'Baremos actuales'!$A:$D,4,FALSE)=K$9,$E630*$F630,IF(VLOOKUP($B630,'Baremos anteriores'!$A:$D,4,FALSE)="Desmonte",$E630*$F630,"")))))</f>
        <v/>
      </c>
      <c r="L630" s="80" t="str">
        <f>IF($D630="","",
IF($E630="","",
IF($D630="MATE","",
IF(VLOOKUP($B630,'Baremos actuales'!$A:$D,4,FALSE)=L$9,$E630*$F630,""))))</f>
        <v/>
      </c>
      <c r="M630" s="91" t="str">
        <f t="shared" si="9"/>
        <v/>
      </c>
      <c r="N630" s="96"/>
      <c r="O630" s="95"/>
      <c r="P630" s="96"/>
      <c r="Q630" s="98"/>
    </row>
    <row r="631" spans="1:17" ht="15.75" x14ac:dyDescent="0.2">
      <c r="A631" s="17"/>
      <c r="B631" s="18"/>
      <c r="C631" s="87" t="str">
        <f>IF(B631="","",
IF(M631=$H$5,IFERROR(VLOOKUP(B631,'Baremos actuales'!A:E,5,FALSE),"No encontrado. Revisar código, fecha ejecución y/o contrato."),
IF(M631=$H$4,IFERROR(VLOOKUP(B631,'Baremos anteriores'!A:E,5,FALSE),"No encontrado. Revisar código, fecha ejecución y/o contrato."),
IF(M631=$H$3,IFERROR(VLOOKUP(B631,#REF!,5,FALSE),"No encontrado. Revisar código, fecha ejecución y/o contrato."),
IF(D631="","Código no encontrado",
IF(D631="ERROR","No encontrado. Revisar Código, fecha de ejecución y/o contrato.",
IF(D631="MATE",
IF(C630="DESCRIPCION","NO SE PUEDE COMENZAR SIN CÓDIGO DE TAREA",
IF(C630="","FALTA CÓDIGO DE TAREA",
CONCATENATE("          ",VLOOKUP(B631,'Maestro Materiales'!A:C,3,FALSE)))),IFERROR(VLOOKUP(B631,#REF!,5,FALSE),"No encontrado. Revisar código, fecha ejecución y/o contrato."))))))))</f>
        <v/>
      </c>
      <c r="D631" s="88" t="str">
        <f>IF(B631="","",
IFERROR(VLOOKUP(B631,'Maestro Materiales'!A:C,2,FALSE),
IFERROR(VLOOKUP(B631,'Baremos actuales'!A:B,2,FALSE),
IFERROR(VLOOKUP(B631,'Baremos anteriores'!A:B,2,FALSE),
""))))</f>
        <v/>
      </c>
      <c r="E631" s="9"/>
      <c r="F631" s="89" t="str">
        <f>IF(D631="MATE",
IF(E631="","¿Unidades?",""),
IF(D631="",IF(E631="","","¿Código?"),
IF(E631="","¿Unidades?",
IF(D631="TARE",
IF(M631=$H$3,IFERROR(VLOOKUP(B631,'Baremos actuales'!A:C,3,FALSE),0),
IF(M631=$H$4,IFERROR(VLOOKUP(B631,'Baremos anteriores'!A:C,3,FALSE),0),0))))))</f>
        <v/>
      </c>
      <c r="G631" s="7"/>
      <c r="H631" s="8"/>
      <c r="I631" s="8"/>
      <c r="J631" s="78" t="str">
        <f>IF($D631="","",
IF($E631="","",
IF($D631="MATE","",
IF(VLOOKUP($B631,'Baremos actuales'!A:D,4,FALSE)=J$9,$E631*$F631,IF(VLOOKUP($B631,'Baremos anteriores'!A:D,4,FALSE)="Sin Definir",$E631*$F631,"")))))</f>
        <v/>
      </c>
      <c r="K631" s="79" t="str">
        <f>IF($D631="","",
IF($E631="","",
IF($D631="MATE","",
IF(VLOOKUP($B631,'Baremos actuales'!$A:$D,4,FALSE)=K$9,$E631*$F631,IF(VLOOKUP($B631,'Baremos anteriores'!$A:$D,4,FALSE)="Desmonte",$E631*$F631,"")))))</f>
        <v/>
      </c>
      <c r="L631" s="80" t="str">
        <f>IF($D631="","",
IF($E631="","",
IF($D631="MATE","",
IF(VLOOKUP($B631,'Baremos actuales'!$A:$D,4,FALSE)=L$9,$E631*$F631,""))))</f>
        <v/>
      </c>
      <c r="M631" s="91" t="str">
        <f t="shared" si="9"/>
        <v/>
      </c>
      <c r="N631" s="96"/>
      <c r="O631" s="95"/>
      <c r="P631" s="96"/>
      <c r="Q631" s="98"/>
    </row>
    <row r="632" spans="1:17" ht="15.75" x14ac:dyDescent="0.2">
      <c r="A632" s="17"/>
      <c r="B632" s="18"/>
      <c r="C632" s="87" t="str">
        <f>IF(B632="","",
IF(M632=$H$5,IFERROR(VLOOKUP(B632,'Baremos actuales'!A:E,5,FALSE),"No encontrado. Revisar código, fecha ejecución y/o contrato."),
IF(M632=$H$4,IFERROR(VLOOKUP(B632,'Baremos anteriores'!A:E,5,FALSE),"No encontrado. Revisar código, fecha ejecución y/o contrato."),
IF(M632=$H$3,IFERROR(VLOOKUP(B632,#REF!,5,FALSE),"No encontrado. Revisar código, fecha ejecución y/o contrato."),
IF(D632="","Código no encontrado",
IF(D632="ERROR","No encontrado. Revisar Código, fecha de ejecución y/o contrato.",
IF(D632="MATE",
IF(C631="DESCRIPCION","NO SE PUEDE COMENZAR SIN CÓDIGO DE TAREA",
IF(C631="","FALTA CÓDIGO DE TAREA",
CONCATENATE("          ",VLOOKUP(B632,'Maestro Materiales'!A:C,3,FALSE)))),IFERROR(VLOOKUP(B632,#REF!,5,FALSE),"No encontrado. Revisar código, fecha ejecución y/o contrato."))))))))</f>
        <v/>
      </c>
      <c r="D632" s="88" t="str">
        <f>IF(B632="","",
IFERROR(VLOOKUP(B632,'Maestro Materiales'!A:C,2,FALSE),
IFERROR(VLOOKUP(B632,'Baremos actuales'!A:B,2,FALSE),
IFERROR(VLOOKUP(B632,'Baremos anteriores'!A:B,2,FALSE),
""))))</f>
        <v/>
      </c>
      <c r="E632" s="9"/>
      <c r="F632" s="89" t="str">
        <f>IF(D632="MATE",
IF(E632="","¿Unidades?",""),
IF(D632="",IF(E632="","","¿Código?"),
IF(E632="","¿Unidades?",
IF(D632="TARE",
IF(M632=$H$3,IFERROR(VLOOKUP(B632,'Baremos actuales'!A:C,3,FALSE),0),
IF(M632=$H$4,IFERROR(VLOOKUP(B632,'Baremos anteriores'!A:C,3,FALSE),0),0))))))</f>
        <v/>
      </c>
      <c r="G632" s="7"/>
      <c r="H632" s="8"/>
      <c r="I632" s="8"/>
      <c r="J632" s="78" t="str">
        <f>IF($D632="","",
IF($E632="","",
IF($D632="MATE","",
IF(VLOOKUP($B632,'Baremos actuales'!A:D,4,FALSE)=J$9,$E632*$F632,IF(VLOOKUP($B632,'Baremos anteriores'!A:D,4,FALSE)="Sin Definir",$E632*$F632,"")))))</f>
        <v/>
      </c>
      <c r="K632" s="79" t="str">
        <f>IF($D632="","",
IF($E632="","",
IF($D632="MATE","",
IF(VLOOKUP($B632,'Baremos actuales'!$A:$D,4,FALSE)=K$9,$E632*$F632,IF(VLOOKUP($B632,'Baremos anteriores'!$A:$D,4,FALSE)="Desmonte",$E632*$F632,"")))))</f>
        <v/>
      </c>
      <c r="L632" s="80" t="str">
        <f>IF($D632="","",
IF($E632="","",
IF($D632="MATE","",
IF(VLOOKUP($B632,'Baremos actuales'!$A:$D,4,FALSE)=L$9,$E632*$F632,""))))</f>
        <v/>
      </c>
      <c r="M632" s="91" t="str">
        <f t="shared" si="9"/>
        <v/>
      </c>
      <c r="N632" s="96"/>
      <c r="O632" s="95"/>
      <c r="P632" s="96"/>
      <c r="Q632" s="98"/>
    </row>
    <row r="633" spans="1:17" ht="15.75" x14ac:dyDescent="0.2">
      <c r="A633" s="17"/>
      <c r="B633" s="18"/>
      <c r="C633" s="87" t="str">
        <f>IF(B633="","",
IF(M633=$H$5,IFERROR(VLOOKUP(B633,'Baremos actuales'!A:E,5,FALSE),"No encontrado. Revisar código, fecha ejecución y/o contrato."),
IF(M633=$H$4,IFERROR(VLOOKUP(B633,'Baremos anteriores'!A:E,5,FALSE),"No encontrado. Revisar código, fecha ejecución y/o contrato."),
IF(M633=$H$3,IFERROR(VLOOKUP(B633,#REF!,5,FALSE),"No encontrado. Revisar código, fecha ejecución y/o contrato."),
IF(D633="","Código no encontrado",
IF(D633="ERROR","No encontrado. Revisar Código, fecha de ejecución y/o contrato.",
IF(D633="MATE",
IF(C632="DESCRIPCION","NO SE PUEDE COMENZAR SIN CÓDIGO DE TAREA",
IF(C632="","FALTA CÓDIGO DE TAREA",
CONCATENATE("          ",VLOOKUP(B633,'Maestro Materiales'!A:C,3,FALSE)))),IFERROR(VLOOKUP(B633,#REF!,5,FALSE),"No encontrado. Revisar código, fecha ejecución y/o contrato."))))))))</f>
        <v/>
      </c>
      <c r="D633" s="88" t="str">
        <f>IF(B633="","",
IFERROR(VLOOKUP(B633,'Maestro Materiales'!A:C,2,FALSE),
IFERROR(VLOOKUP(B633,'Baremos actuales'!A:B,2,FALSE),
IFERROR(VLOOKUP(B633,'Baremos anteriores'!A:B,2,FALSE),
""))))</f>
        <v/>
      </c>
      <c r="E633" s="9"/>
      <c r="F633" s="89" t="str">
        <f>IF(D633="MATE",
IF(E633="","¿Unidades?",""),
IF(D633="",IF(E633="","","¿Código?"),
IF(E633="","¿Unidades?",
IF(D633="TARE",
IF(M633=$H$3,IFERROR(VLOOKUP(B633,'Baremos actuales'!A:C,3,FALSE),0),
IF(M633=$H$4,IFERROR(VLOOKUP(B633,'Baremos anteriores'!A:C,3,FALSE),0),0))))))</f>
        <v/>
      </c>
      <c r="G633" s="7"/>
      <c r="H633" s="8"/>
      <c r="I633" s="8"/>
      <c r="J633" s="78" t="str">
        <f>IF($D633="","",
IF($E633="","",
IF($D633="MATE","",
IF(VLOOKUP($B633,'Baremos actuales'!A:D,4,FALSE)=J$9,$E633*$F633,IF(VLOOKUP($B633,'Baremos anteriores'!A:D,4,FALSE)="Sin Definir",$E633*$F633,"")))))</f>
        <v/>
      </c>
      <c r="K633" s="79" t="str">
        <f>IF($D633="","",
IF($E633="","",
IF($D633="MATE","",
IF(VLOOKUP($B633,'Baremos actuales'!$A:$D,4,FALSE)=K$9,$E633*$F633,IF(VLOOKUP($B633,'Baremos anteriores'!$A:$D,4,FALSE)="Desmonte",$E633*$F633,"")))))</f>
        <v/>
      </c>
      <c r="L633" s="80" t="str">
        <f>IF($D633="","",
IF($E633="","",
IF($D633="MATE","",
IF(VLOOKUP($B633,'Baremos actuales'!$A:$D,4,FALSE)=L$9,$E633*$F633,""))))</f>
        <v/>
      </c>
      <c r="M633" s="91" t="str">
        <f t="shared" si="9"/>
        <v/>
      </c>
      <c r="N633" s="96"/>
      <c r="O633" s="95"/>
      <c r="P633" s="96"/>
      <c r="Q633" s="98"/>
    </row>
    <row r="634" spans="1:17" ht="15.75" x14ac:dyDescent="0.2">
      <c r="A634" s="17"/>
      <c r="B634" s="18"/>
      <c r="C634" s="87" t="str">
        <f>IF(B634="","",
IF(M634=$H$5,IFERROR(VLOOKUP(B634,'Baremos actuales'!A:E,5,FALSE),"No encontrado. Revisar código, fecha ejecución y/o contrato."),
IF(M634=$H$4,IFERROR(VLOOKUP(B634,'Baremos anteriores'!A:E,5,FALSE),"No encontrado. Revisar código, fecha ejecución y/o contrato."),
IF(M634=$H$3,IFERROR(VLOOKUP(B634,#REF!,5,FALSE),"No encontrado. Revisar código, fecha ejecución y/o contrato."),
IF(D634="","Código no encontrado",
IF(D634="ERROR","No encontrado. Revisar Código, fecha de ejecución y/o contrato.",
IF(D634="MATE",
IF(C633="DESCRIPCION","NO SE PUEDE COMENZAR SIN CÓDIGO DE TAREA",
IF(C633="","FALTA CÓDIGO DE TAREA",
CONCATENATE("          ",VLOOKUP(B634,'Maestro Materiales'!A:C,3,FALSE)))),IFERROR(VLOOKUP(B634,#REF!,5,FALSE),"No encontrado. Revisar código, fecha ejecución y/o contrato."))))))))</f>
        <v/>
      </c>
      <c r="D634" s="88" t="str">
        <f>IF(B634="","",
IFERROR(VLOOKUP(B634,'Maestro Materiales'!A:C,2,FALSE),
IFERROR(VLOOKUP(B634,'Baremos actuales'!A:B,2,FALSE),
IFERROR(VLOOKUP(B634,'Baremos anteriores'!A:B,2,FALSE),
""))))</f>
        <v/>
      </c>
      <c r="E634" s="9"/>
      <c r="F634" s="89" t="str">
        <f>IF(D634="MATE",
IF(E634="","¿Unidades?",""),
IF(D634="",IF(E634="","","¿Código?"),
IF(E634="","¿Unidades?",
IF(D634="TARE",
IF(M634=$H$3,IFERROR(VLOOKUP(B634,'Baremos actuales'!A:C,3,FALSE),0),
IF(M634=$H$4,IFERROR(VLOOKUP(B634,'Baremos anteriores'!A:C,3,FALSE),0),0))))))</f>
        <v/>
      </c>
      <c r="G634" s="7"/>
      <c r="H634" s="8"/>
      <c r="I634" s="8"/>
      <c r="J634" s="78" t="str">
        <f>IF($D634="","",
IF($E634="","",
IF($D634="MATE","",
IF(VLOOKUP($B634,'Baremos actuales'!A:D,4,FALSE)=J$9,$E634*$F634,IF(VLOOKUP($B634,'Baremos anteriores'!A:D,4,FALSE)="Sin Definir",$E634*$F634,"")))))</f>
        <v/>
      </c>
      <c r="K634" s="79" t="str">
        <f>IF($D634="","",
IF($E634="","",
IF($D634="MATE","",
IF(VLOOKUP($B634,'Baremos actuales'!$A:$D,4,FALSE)=K$9,$E634*$F634,IF(VLOOKUP($B634,'Baremos anteriores'!$A:$D,4,FALSE)="Desmonte",$E634*$F634,"")))))</f>
        <v/>
      </c>
      <c r="L634" s="80" t="str">
        <f>IF($D634="","",
IF($E634="","",
IF($D634="MATE","",
IF(VLOOKUP($B634,'Baremos actuales'!$A:$D,4,FALSE)=L$9,$E634*$F634,""))))</f>
        <v/>
      </c>
      <c r="M634" s="91" t="str">
        <f t="shared" si="9"/>
        <v/>
      </c>
      <c r="N634" s="96"/>
      <c r="O634" s="95"/>
      <c r="P634" s="96"/>
      <c r="Q634" s="98"/>
    </row>
    <row r="635" spans="1:17" ht="15.75" x14ac:dyDescent="0.2">
      <c r="A635" s="17"/>
      <c r="B635" s="18"/>
      <c r="C635" s="87" t="str">
        <f>IF(B635="","",
IF(M635=$H$5,IFERROR(VLOOKUP(B635,'Baremos actuales'!A:E,5,FALSE),"No encontrado. Revisar código, fecha ejecución y/o contrato."),
IF(M635=$H$4,IFERROR(VLOOKUP(B635,'Baremos anteriores'!A:E,5,FALSE),"No encontrado. Revisar código, fecha ejecución y/o contrato."),
IF(M635=$H$3,IFERROR(VLOOKUP(B635,#REF!,5,FALSE),"No encontrado. Revisar código, fecha ejecución y/o contrato."),
IF(D635="","Código no encontrado",
IF(D635="ERROR","No encontrado. Revisar Código, fecha de ejecución y/o contrato.",
IF(D635="MATE",
IF(C634="DESCRIPCION","NO SE PUEDE COMENZAR SIN CÓDIGO DE TAREA",
IF(C634="","FALTA CÓDIGO DE TAREA",
CONCATENATE("          ",VLOOKUP(B635,'Maestro Materiales'!A:C,3,FALSE)))),IFERROR(VLOOKUP(B635,#REF!,5,FALSE),"No encontrado. Revisar código, fecha ejecución y/o contrato."))))))))</f>
        <v/>
      </c>
      <c r="D635" s="88" t="str">
        <f>IF(B635="","",
IFERROR(VLOOKUP(B635,'Maestro Materiales'!A:C,2,FALSE),
IFERROR(VLOOKUP(B635,'Baremos actuales'!A:B,2,FALSE),
IFERROR(VLOOKUP(B635,'Baremos anteriores'!A:B,2,FALSE),
""))))</f>
        <v/>
      </c>
      <c r="E635" s="9"/>
      <c r="F635" s="89" t="str">
        <f>IF(D635="MATE",
IF(E635="","¿Unidades?",""),
IF(D635="",IF(E635="","","¿Código?"),
IF(E635="","¿Unidades?",
IF(D635="TARE",
IF(M635=$H$3,IFERROR(VLOOKUP(B635,'Baremos actuales'!A:C,3,FALSE),0),
IF(M635=$H$4,IFERROR(VLOOKUP(B635,'Baremos anteriores'!A:C,3,FALSE),0),0))))))</f>
        <v/>
      </c>
      <c r="G635" s="7"/>
      <c r="H635" s="8"/>
      <c r="I635" s="8"/>
      <c r="J635" s="78" t="str">
        <f>IF($D635="","",
IF($E635="","",
IF($D635="MATE","",
IF(VLOOKUP($B635,'Baremos actuales'!A:D,4,FALSE)=J$9,$E635*$F635,IF(VLOOKUP($B635,'Baremos anteriores'!A:D,4,FALSE)="Sin Definir",$E635*$F635,"")))))</f>
        <v/>
      </c>
      <c r="K635" s="79" t="str">
        <f>IF($D635="","",
IF($E635="","",
IF($D635="MATE","",
IF(VLOOKUP($B635,'Baremos actuales'!$A:$D,4,FALSE)=K$9,$E635*$F635,IF(VLOOKUP($B635,'Baremos anteriores'!$A:$D,4,FALSE)="Desmonte",$E635*$F635,"")))))</f>
        <v/>
      </c>
      <c r="L635" s="80" t="str">
        <f>IF($D635="","",
IF($E635="","",
IF($D635="MATE","",
IF(VLOOKUP($B635,'Baremos actuales'!$A:$D,4,FALSE)=L$9,$E635*$F635,""))))</f>
        <v/>
      </c>
      <c r="M635" s="91" t="str">
        <f t="shared" si="9"/>
        <v/>
      </c>
      <c r="N635" s="96"/>
      <c r="O635" s="95"/>
      <c r="P635" s="96"/>
      <c r="Q635" s="98"/>
    </row>
    <row r="636" spans="1:17" ht="15.75" x14ac:dyDescent="0.2">
      <c r="A636" s="17"/>
      <c r="B636" s="18"/>
      <c r="C636" s="87" t="str">
        <f>IF(B636="","",
IF(M636=$H$5,IFERROR(VLOOKUP(B636,'Baremos actuales'!A:E,5,FALSE),"No encontrado. Revisar código, fecha ejecución y/o contrato."),
IF(M636=$H$4,IFERROR(VLOOKUP(B636,'Baremos anteriores'!A:E,5,FALSE),"No encontrado. Revisar código, fecha ejecución y/o contrato."),
IF(M636=$H$3,IFERROR(VLOOKUP(B636,#REF!,5,FALSE),"No encontrado. Revisar código, fecha ejecución y/o contrato."),
IF(D636="","Código no encontrado",
IF(D636="ERROR","No encontrado. Revisar Código, fecha de ejecución y/o contrato.",
IF(D636="MATE",
IF(C635="DESCRIPCION","NO SE PUEDE COMENZAR SIN CÓDIGO DE TAREA",
IF(C635="","FALTA CÓDIGO DE TAREA",
CONCATENATE("          ",VLOOKUP(B636,'Maestro Materiales'!A:C,3,FALSE)))),IFERROR(VLOOKUP(B636,#REF!,5,FALSE),"No encontrado. Revisar código, fecha ejecución y/o contrato."))))))))</f>
        <v/>
      </c>
      <c r="D636" s="88" t="str">
        <f>IF(B636="","",
IFERROR(VLOOKUP(B636,'Maestro Materiales'!A:C,2,FALSE),
IFERROR(VLOOKUP(B636,'Baremos actuales'!A:B,2,FALSE),
IFERROR(VLOOKUP(B636,'Baremos anteriores'!A:B,2,FALSE),
""))))</f>
        <v/>
      </c>
      <c r="E636" s="9"/>
      <c r="F636" s="89" t="str">
        <f>IF(D636="MATE",
IF(E636="","¿Unidades?",""),
IF(D636="",IF(E636="","","¿Código?"),
IF(E636="","¿Unidades?",
IF(D636="TARE",
IF(M636=$H$3,IFERROR(VLOOKUP(B636,'Baremos actuales'!A:C,3,FALSE),0),
IF(M636=$H$4,IFERROR(VLOOKUP(B636,'Baremos anteriores'!A:C,3,FALSE),0),0))))))</f>
        <v/>
      </c>
      <c r="G636" s="7"/>
      <c r="H636" s="8"/>
      <c r="I636" s="8"/>
      <c r="J636" s="78" t="str">
        <f>IF($D636="","",
IF($E636="","",
IF($D636="MATE","",
IF(VLOOKUP($B636,'Baremos actuales'!A:D,4,FALSE)=J$9,$E636*$F636,IF(VLOOKUP($B636,'Baremos anteriores'!A:D,4,FALSE)="Sin Definir",$E636*$F636,"")))))</f>
        <v/>
      </c>
      <c r="K636" s="79" t="str">
        <f>IF($D636="","",
IF($E636="","",
IF($D636="MATE","",
IF(VLOOKUP($B636,'Baremos actuales'!$A:$D,4,FALSE)=K$9,$E636*$F636,IF(VLOOKUP($B636,'Baremos anteriores'!$A:$D,4,FALSE)="Desmonte",$E636*$F636,"")))))</f>
        <v/>
      </c>
      <c r="L636" s="80" t="str">
        <f>IF($D636="","",
IF($E636="","",
IF($D636="MATE","",
IF(VLOOKUP($B636,'Baremos actuales'!$A:$D,4,FALSE)=L$9,$E636*$F636,""))))</f>
        <v/>
      </c>
      <c r="M636" s="91" t="str">
        <f t="shared" si="9"/>
        <v/>
      </c>
      <c r="N636" s="96"/>
      <c r="O636" s="95"/>
      <c r="P636" s="96"/>
      <c r="Q636" s="98"/>
    </row>
    <row r="637" spans="1:17" ht="15.75" x14ac:dyDescent="0.2">
      <c r="A637" s="17"/>
      <c r="B637" s="18"/>
      <c r="C637" s="87" t="str">
        <f>IF(B637="","",
IF(M637=$H$5,IFERROR(VLOOKUP(B637,'Baremos actuales'!A:E,5,FALSE),"No encontrado. Revisar código, fecha ejecución y/o contrato."),
IF(M637=$H$4,IFERROR(VLOOKUP(B637,'Baremos anteriores'!A:E,5,FALSE),"No encontrado. Revisar código, fecha ejecución y/o contrato."),
IF(M637=$H$3,IFERROR(VLOOKUP(B637,#REF!,5,FALSE),"No encontrado. Revisar código, fecha ejecución y/o contrato."),
IF(D637="","Código no encontrado",
IF(D637="ERROR","No encontrado. Revisar Código, fecha de ejecución y/o contrato.",
IF(D637="MATE",
IF(C636="DESCRIPCION","NO SE PUEDE COMENZAR SIN CÓDIGO DE TAREA",
IF(C636="","FALTA CÓDIGO DE TAREA",
CONCATENATE("          ",VLOOKUP(B637,'Maestro Materiales'!A:C,3,FALSE)))),IFERROR(VLOOKUP(B637,#REF!,5,FALSE),"No encontrado. Revisar código, fecha ejecución y/o contrato."))))))))</f>
        <v/>
      </c>
      <c r="D637" s="88" t="str">
        <f>IF(B637="","",
IFERROR(VLOOKUP(B637,'Maestro Materiales'!A:C,2,FALSE),
IFERROR(VLOOKUP(B637,'Baremos actuales'!A:B,2,FALSE),
IFERROR(VLOOKUP(B637,'Baremos anteriores'!A:B,2,FALSE),
""))))</f>
        <v/>
      </c>
      <c r="E637" s="9"/>
      <c r="F637" s="89" t="str">
        <f>IF(D637="MATE",
IF(E637="","¿Unidades?",""),
IF(D637="",IF(E637="","","¿Código?"),
IF(E637="","¿Unidades?",
IF(D637="TARE",
IF(M637=$H$3,IFERROR(VLOOKUP(B637,'Baremos actuales'!A:C,3,FALSE),0),
IF(M637=$H$4,IFERROR(VLOOKUP(B637,'Baremos anteriores'!A:C,3,FALSE),0),0))))))</f>
        <v/>
      </c>
      <c r="G637" s="7"/>
      <c r="H637" s="8"/>
      <c r="I637" s="8"/>
      <c r="J637" s="78" t="str">
        <f>IF($D637="","",
IF($E637="","",
IF($D637="MATE","",
IF(VLOOKUP($B637,'Baremos actuales'!A:D,4,FALSE)=J$9,$E637*$F637,IF(VLOOKUP($B637,'Baremos anteriores'!A:D,4,FALSE)="Sin Definir",$E637*$F637,"")))))</f>
        <v/>
      </c>
      <c r="K637" s="79" t="str">
        <f>IF($D637="","",
IF($E637="","",
IF($D637="MATE","",
IF(VLOOKUP($B637,'Baremos actuales'!$A:$D,4,FALSE)=K$9,$E637*$F637,IF(VLOOKUP($B637,'Baremos anteriores'!$A:$D,4,FALSE)="Desmonte",$E637*$F637,"")))))</f>
        <v/>
      </c>
      <c r="L637" s="80" t="str">
        <f>IF($D637="","",
IF($E637="","",
IF($D637="MATE","",
IF(VLOOKUP($B637,'Baremos actuales'!$A:$D,4,FALSE)=L$9,$E637*$F637,""))))</f>
        <v/>
      </c>
      <c r="M637" s="91" t="str">
        <f t="shared" si="9"/>
        <v/>
      </c>
      <c r="N637" s="96"/>
      <c r="O637" s="95"/>
      <c r="P637" s="96"/>
      <c r="Q637" s="98"/>
    </row>
    <row r="638" spans="1:17" ht="15.75" x14ac:dyDescent="0.2">
      <c r="A638" s="17"/>
      <c r="B638" s="18"/>
      <c r="C638" s="87" t="str">
        <f>IF(B638="","",
IF(M638=$H$5,IFERROR(VLOOKUP(B638,'Baremos actuales'!A:E,5,FALSE),"No encontrado. Revisar código, fecha ejecución y/o contrato."),
IF(M638=$H$4,IFERROR(VLOOKUP(B638,'Baremos anteriores'!A:E,5,FALSE),"No encontrado. Revisar código, fecha ejecución y/o contrato."),
IF(M638=$H$3,IFERROR(VLOOKUP(B638,#REF!,5,FALSE),"No encontrado. Revisar código, fecha ejecución y/o contrato."),
IF(D638="","Código no encontrado",
IF(D638="ERROR","No encontrado. Revisar Código, fecha de ejecución y/o contrato.",
IF(D638="MATE",
IF(C637="DESCRIPCION","NO SE PUEDE COMENZAR SIN CÓDIGO DE TAREA",
IF(C637="","FALTA CÓDIGO DE TAREA",
CONCATENATE("          ",VLOOKUP(B638,'Maestro Materiales'!A:C,3,FALSE)))),IFERROR(VLOOKUP(B638,#REF!,5,FALSE),"No encontrado. Revisar código, fecha ejecución y/o contrato."))))))))</f>
        <v/>
      </c>
      <c r="D638" s="88" t="str">
        <f>IF(B638="","",
IFERROR(VLOOKUP(B638,'Maestro Materiales'!A:C,2,FALSE),
IFERROR(VLOOKUP(B638,'Baremos actuales'!A:B,2,FALSE),
IFERROR(VLOOKUP(B638,'Baremos anteriores'!A:B,2,FALSE),
""))))</f>
        <v/>
      </c>
      <c r="E638" s="9"/>
      <c r="F638" s="89" t="str">
        <f>IF(D638="MATE",
IF(E638="","¿Unidades?",""),
IF(D638="",IF(E638="","","¿Código?"),
IF(E638="","¿Unidades?",
IF(D638="TARE",
IF(M638=$H$3,IFERROR(VLOOKUP(B638,'Baremos actuales'!A:C,3,FALSE),0),
IF(M638=$H$4,IFERROR(VLOOKUP(B638,'Baremos anteriores'!A:C,3,FALSE),0),0))))))</f>
        <v/>
      </c>
      <c r="G638" s="7"/>
      <c r="H638" s="8"/>
      <c r="I638" s="8"/>
      <c r="J638" s="78" t="str">
        <f>IF($D638="","",
IF($E638="","",
IF($D638="MATE","",
IF(VLOOKUP($B638,'Baremos actuales'!A:D,4,FALSE)=J$9,$E638*$F638,IF(VLOOKUP($B638,'Baremos anteriores'!A:D,4,FALSE)="Sin Definir",$E638*$F638,"")))))</f>
        <v/>
      </c>
      <c r="K638" s="79" t="str">
        <f>IF($D638="","",
IF($E638="","",
IF($D638="MATE","",
IF(VLOOKUP($B638,'Baremos actuales'!$A:$D,4,FALSE)=K$9,$E638*$F638,IF(VLOOKUP($B638,'Baremos anteriores'!$A:$D,4,FALSE)="Desmonte",$E638*$F638,"")))))</f>
        <v/>
      </c>
      <c r="L638" s="80" t="str">
        <f>IF($D638="","",
IF($E638="","",
IF($D638="MATE","",
IF(VLOOKUP($B638,'Baremos actuales'!$A:$D,4,FALSE)=L$9,$E638*$F638,""))))</f>
        <v/>
      </c>
      <c r="M638" s="91" t="str">
        <f t="shared" si="9"/>
        <v/>
      </c>
      <c r="N638" s="96"/>
      <c r="O638" s="95"/>
      <c r="P638" s="96"/>
      <c r="Q638" s="98"/>
    </row>
    <row r="639" spans="1:17" ht="15.75" x14ac:dyDescent="0.2">
      <c r="A639" s="17"/>
      <c r="B639" s="18"/>
      <c r="C639" s="87" t="str">
        <f>IF(B639="","",
IF(M639=$H$5,IFERROR(VLOOKUP(B639,'Baremos actuales'!A:E,5,FALSE),"No encontrado. Revisar código, fecha ejecución y/o contrato."),
IF(M639=$H$4,IFERROR(VLOOKUP(B639,'Baremos anteriores'!A:E,5,FALSE),"No encontrado. Revisar código, fecha ejecución y/o contrato."),
IF(M639=$H$3,IFERROR(VLOOKUP(B639,#REF!,5,FALSE),"No encontrado. Revisar código, fecha ejecución y/o contrato."),
IF(D639="","Código no encontrado",
IF(D639="ERROR","No encontrado. Revisar Código, fecha de ejecución y/o contrato.",
IF(D639="MATE",
IF(C638="DESCRIPCION","NO SE PUEDE COMENZAR SIN CÓDIGO DE TAREA",
IF(C638="","FALTA CÓDIGO DE TAREA",
CONCATENATE("          ",VLOOKUP(B639,'Maestro Materiales'!A:C,3,FALSE)))),IFERROR(VLOOKUP(B639,#REF!,5,FALSE),"No encontrado. Revisar código, fecha ejecución y/o contrato."))))))))</f>
        <v/>
      </c>
      <c r="D639" s="88" t="str">
        <f>IF(B639="","",
IFERROR(VLOOKUP(B639,'Maestro Materiales'!A:C,2,FALSE),
IFERROR(VLOOKUP(B639,'Baremos actuales'!A:B,2,FALSE),
IFERROR(VLOOKUP(B639,'Baremos anteriores'!A:B,2,FALSE),
""))))</f>
        <v/>
      </c>
      <c r="E639" s="9"/>
      <c r="F639" s="89" t="str">
        <f>IF(D639="MATE",
IF(E639="","¿Unidades?",""),
IF(D639="",IF(E639="","","¿Código?"),
IF(E639="","¿Unidades?",
IF(D639="TARE",
IF(M639=$H$3,IFERROR(VLOOKUP(B639,'Baremos actuales'!A:C,3,FALSE),0),
IF(M639=$H$4,IFERROR(VLOOKUP(B639,'Baremos anteriores'!A:C,3,FALSE),0),0))))))</f>
        <v/>
      </c>
      <c r="G639" s="7"/>
      <c r="H639" s="8"/>
      <c r="I639" s="8"/>
      <c r="J639" s="78" t="str">
        <f>IF($D639="","",
IF($E639="","",
IF($D639="MATE","",
IF(VLOOKUP($B639,'Baremos actuales'!A:D,4,FALSE)=J$9,$E639*$F639,IF(VLOOKUP($B639,'Baremos anteriores'!A:D,4,FALSE)="Sin Definir",$E639*$F639,"")))))</f>
        <v/>
      </c>
      <c r="K639" s="79" t="str">
        <f>IF($D639="","",
IF($E639="","",
IF($D639="MATE","",
IF(VLOOKUP($B639,'Baremos actuales'!$A:$D,4,FALSE)=K$9,$E639*$F639,IF(VLOOKUP($B639,'Baremos anteriores'!$A:$D,4,FALSE)="Desmonte",$E639*$F639,"")))))</f>
        <v/>
      </c>
      <c r="L639" s="80" t="str">
        <f>IF($D639="","",
IF($E639="","",
IF($D639="MATE","",
IF(VLOOKUP($B639,'Baremos actuales'!$A:$D,4,FALSE)=L$9,$E639*$F639,""))))</f>
        <v/>
      </c>
      <c r="M639" s="91" t="str">
        <f t="shared" si="9"/>
        <v/>
      </c>
      <c r="N639" s="96"/>
      <c r="O639" s="95"/>
      <c r="P639" s="96"/>
      <c r="Q639" s="98"/>
    </row>
    <row r="640" spans="1:17" ht="15.75" x14ac:dyDescent="0.2">
      <c r="A640" s="17"/>
      <c r="B640" s="18"/>
      <c r="C640" s="87" t="str">
        <f>IF(B640="","",
IF(M640=$H$5,IFERROR(VLOOKUP(B640,'Baremos actuales'!A:E,5,FALSE),"No encontrado. Revisar código, fecha ejecución y/o contrato."),
IF(M640=$H$4,IFERROR(VLOOKUP(B640,'Baremos anteriores'!A:E,5,FALSE),"No encontrado. Revisar código, fecha ejecución y/o contrato."),
IF(M640=$H$3,IFERROR(VLOOKUP(B640,#REF!,5,FALSE),"No encontrado. Revisar código, fecha ejecución y/o contrato."),
IF(D640="","Código no encontrado",
IF(D640="ERROR","No encontrado. Revisar Código, fecha de ejecución y/o contrato.",
IF(D640="MATE",
IF(C639="DESCRIPCION","NO SE PUEDE COMENZAR SIN CÓDIGO DE TAREA",
IF(C639="","FALTA CÓDIGO DE TAREA",
CONCATENATE("          ",VLOOKUP(B640,'Maestro Materiales'!A:C,3,FALSE)))),IFERROR(VLOOKUP(B640,#REF!,5,FALSE),"No encontrado. Revisar código, fecha ejecución y/o contrato."))))))))</f>
        <v/>
      </c>
      <c r="D640" s="88" t="str">
        <f>IF(B640="","",
IFERROR(VLOOKUP(B640,'Maestro Materiales'!A:C,2,FALSE),
IFERROR(VLOOKUP(B640,'Baremos actuales'!A:B,2,FALSE),
IFERROR(VLOOKUP(B640,'Baremos anteriores'!A:B,2,FALSE),
""))))</f>
        <v/>
      </c>
      <c r="E640" s="9"/>
      <c r="F640" s="89" t="str">
        <f>IF(D640="MATE",
IF(E640="","¿Unidades?",""),
IF(D640="",IF(E640="","","¿Código?"),
IF(E640="","¿Unidades?",
IF(D640="TARE",
IF(M640=$H$3,IFERROR(VLOOKUP(B640,'Baremos actuales'!A:C,3,FALSE),0),
IF(M640=$H$4,IFERROR(VLOOKUP(B640,'Baremos anteriores'!A:C,3,FALSE),0),0))))))</f>
        <v/>
      </c>
      <c r="G640" s="7"/>
      <c r="H640" s="8"/>
      <c r="I640" s="8"/>
      <c r="J640" s="78" t="str">
        <f>IF($D640="","",
IF($E640="","",
IF($D640="MATE","",
IF(VLOOKUP($B640,'Baremos actuales'!A:D,4,FALSE)=J$9,$E640*$F640,IF(VLOOKUP($B640,'Baremos anteriores'!A:D,4,FALSE)="Sin Definir",$E640*$F640,"")))))</f>
        <v/>
      </c>
      <c r="K640" s="79" t="str">
        <f>IF($D640="","",
IF($E640="","",
IF($D640="MATE","",
IF(VLOOKUP($B640,'Baremos actuales'!$A:$D,4,FALSE)=K$9,$E640*$F640,IF(VLOOKUP($B640,'Baremos anteriores'!$A:$D,4,FALSE)="Desmonte",$E640*$F640,"")))))</f>
        <v/>
      </c>
      <c r="L640" s="80" t="str">
        <f>IF($D640="","",
IF($E640="","",
IF($D640="MATE","",
IF(VLOOKUP($B640,'Baremos actuales'!$A:$D,4,FALSE)=L$9,$E640*$F640,""))))</f>
        <v/>
      </c>
      <c r="M640" s="91" t="str">
        <f t="shared" si="9"/>
        <v/>
      </c>
      <c r="N640" s="96"/>
      <c r="O640" s="95"/>
      <c r="P640" s="96"/>
      <c r="Q640" s="98"/>
    </row>
    <row r="641" spans="1:17" ht="15.75" x14ac:dyDescent="0.2">
      <c r="A641" s="17"/>
      <c r="B641" s="18"/>
      <c r="C641" s="87" t="str">
        <f>IF(B641="","",
IF(M641=$H$5,IFERROR(VLOOKUP(B641,'Baremos actuales'!A:E,5,FALSE),"No encontrado. Revisar código, fecha ejecución y/o contrato."),
IF(M641=$H$4,IFERROR(VLOOKUP(B641,'Baremos anteriores'!A:E,5,FALSE),"No encontrado. Revisar código, fecha ejecución y/o contrato."),
IF(M641=$H$3,IFERROR(VLOOKUP(B641,#REF!,5,FALSE),"No encontrado. Revisar código, fecha ejecución y/o contrato."),
IF(D641="","Código no encontrado",
IF(D641="ERROR","No encontrado. Revisar Código, fecha de ejecución y/o contrato.",
IF(D641="MATE",
IF(C640="DESCRIPCION","NO SE PUEDE COMENZAR SIN CÓDIGO DE TAREA",
IF(C640="","FALTA CÓDIGO DE TAREA",
CONCATENATE("          ",VLOOKUP(B641,'Maestro Materiales'!A:C,3,FALSE)))),IFERROR(VLOOKUP(B641,#REF!,5,FALSE),"No encontrado. Revisar código, fecha ejecución y/o contrato."))))))))</f>
        <v/>
      </c>
      <c r="D641" s="88" t="str">
        <f>IF(B641="","",
IFERROR(VLOOKUP(B641,'Maestro Materiales'!A:C,2,FALSE),
IFERROR(VLOOKUP(B641,'Baremos actuales'!A:B,2,FALSE),
IFERROR(VLOOKUP(B641,'Baremos anteriores'!A:B,2,FALSE),
""))))</f>
        <v/>
      </c>
      <c r="E641" s="9"/>
      <c r="F641" s="89" t="str">
        <f>IF(D641="MATE",
IF(E641="","¿Unidades?",""),
IF(D641="",IF(E641="","","¿Código?"),
IF(E641="","¿Unidades?",
IF(D641="TARE",
IF(M641=$H$3,IFERROR(VLOOKUP(B641,'Baremos actuales'!A:C,3,FALSE),0),
IF(M641=$H$4,IFERROR(VLOOKUP(B641,'Baremos anteriores'!A:C,3,FALSE),0),0))))))</f>
        <v/>
      </c>
      <c r="G641" s="7"/>
      <c r="H641" s="8"/>
      <c r="I641" s="8"/>
      <c r="J641" s="78" t="str">
        <f>IF($D641="","",
IF($E641="","",
IF($D641="MATE","",
IF(VLOOKUP($B641,'Baremos actuales'!A:D,4,FALSE)=J$9,$E641*$F641,IF(VLOOKUP($B641,'Baremos anteriores'!A:D,4,FALSE)="Sin Definir",$E641*$F641,"")))))</f>
        <v/>
      </c>
      <c r="K641" s="79" t="str">
        <f>IF($D641="","",
IF($E641="","",
IF($D641="MATE","",
IF(VLOOKUP($B641,'Baremos actuales'!$A:$D,4,FALSE)=K$9,$E641*$F641,IF(VLOOKUP($B641,'Baremos anteriores'!$A:$D,4,FALSE)="Desmonte",$E641*$F641,"")))))</f>
        <v/>
      </c>
      <c r="L641" s="80" t="str">
        <f>IF($D641="","",
IF($E641="","",
IF($D641="MATE","",
IF(VLOOKUP($B641,'Baremos actuales'!$A:$D,4,FALSE)=L$9,$E641*$F641,""))))</f>
        <v/>
      </c>
      <c r="M641" s="91" t="str">
        <f t="shared" si="9"/>
        <v/>
      </c>
      <c r="N641" s="96"/>
      <c r="O641" s="95"/>
      <c r="P641" s="96"/>
      <c r="Q641" s="98"/>
    </row>
    <row r="642" spans="1:17" ht="15.75" x14ac:dyDescent="0.2">
      <c r="A642" s="17"/>
      <c r="B642" s="18"/>
      <c r="C642" s="87" t="str">
        <f>IF(B642="","",
IF(M642=$H$5,IFERROR(VLOOKUP(B642,'Baremos actuales'!A:E,5,FALSE),"No encontrado. Revisar código, fecha ejecución y/o contrato."),
IF(M642=$H$4,IFERROR(VLOOKUP(B642,'Baremos anteriores'!A:E,5,FALSE),"No encontrado. Revisar código, fecha ejecución y/o contrato."),
IF(M642=$H$3,IFERROR(VLOOKUP(B642,#REF!,5,FALSE),"No encontrado. Revisar código, fecha ejecución y/o contrato."),
IF(D642="","Código no encontrado",
IF(D642="ERROR","No encontrado. Revisar Código, fecha de ejecución y/o contrato.",
IF(D642="MATE",
IF(C641="DESCRIPCION","NO SE PUEDE COMENZAR SIN CÓDIGO DE TAREA",
IF(C641="","FALTA CÓDIGO DE TAREA",
CONCATENATE("          ",VLOOKUP(B642,'Maestro Materiales'!A:C,3,FALSE)))),IFERROR(VLOOKUP(B642,#REF!,5,FALSE),"No encontrado. Revisar código, fecha ejecución y/o contrato."))))))))</f>
        <v/>
      </c>
      <c r="D642" s="88" t="str">
        <f>IF(B642="","",
IFERROR(VLOOKUP(B642,'Maestro Materiales'!A:C,2,FALSE),
IFERROR(VLOOKUP(B642,'Baremos actuales'!A:B,2,FALSE),
IFERROR(VLOOKUP(B642,'Baremos anteriores'!A:B,2,FALSE),
""))))</f>
        <v/>
      </c>
      <c r="E642" s="9"/>
      <c r="F642" s="89" t="str">
        <f>IF(D642="MATE",
IF(E642="","¿Unidades?",""),
IF(D642="",IF(E642="","","¿Código?"),
IF(E642="","¿Unidades?",
IF(D642="TARE",
IF(M642=$H$3,IFERROR(VLOOKUP(B642,'Baremos actuales'!A:C,3,FALSE),0),
IF(M642=$H$4,IFERROR(VLOOKUP(B642,'Baremos anteriores'!A:C,3,FALSE),0),0))))))</f>
        <v/>
      </c>
      <c r="G642" s="7"/>
      <c r="H642" s="8"/>
      <c r="I642" s="8"/>
      <c r="J642" s="78" t="str">
        <f>IF($D642="","",
IF($E642="","",
IF($D642="MATE","",
IF(VLOOKUP($B642,'Baremos actuales'!A:D,4,FALSE)=J$9,$E642*$F642,IF(VLOOKUP($B642,'Baremos anteriores'!A:D,4,FALSE)="Sin Definir",$E642*$F642,"")))))</f>
        <v/>
      </c>
      <c r="K642" s="79" t="str">
        <f>IF($D642="","",
IF($E642="","",
IF($D642="MATE","",
IF(VLOOKUP($B642,'Baremos actuales'!$A:$D,4,FALSE)=K$9,$E642*$F642,IF(VLOOKUP($B642,'Baremos anteriores'!$A:$D,4,FALSE)="Desmonte",$E642*$F642,"")))))</f>
        <v/>
      </c>
      <c r="L642" s="80" t="str">
        <f>IF($D642="","",
IF($E642="","",
IF($D642="MATE","",
IF(VLOOKUP($B642,'Baremos actuales'!$A:$D,4,FALSE)=L$9,$E642*$F642,""))))</f>
        <v/>
      </c>
      <c r="M642" s="91" t="str">
        <f t="shared" si="9"/>
        <v/>
      </c>
      <c r="N642" s="96"/>
      <c r="O642" s="95"/>
      <c r="P642" s="96"/>
      <c r="Q642" s="98"/>
    </row>
    <row r="643" spans="1:17" ht="15.75" x14ac:dyDescent="0.2">
      <c r="A643" s="17"/>
      <c r="B643" s="18"/>
      <c r="C643" s="87" t="str">
        <f>IF(B643="","",
IF(M643=$H$5,IFERROR(VLOOKUP(B643,'Baremos actuales'!A:E,5,FALSE),"No encontrado. Revisar código, fecha ejecución y/o contrato."),
IF(M643=$H$4,IFERROR(VLOOKUP(B643,'Baremos anteriores'!A:E,5,FALSE),"No encontrado. Revisar código, fecha ejecución y/o contrato."),
IF(M643=$H$3,IFERROR(VLOOKUP(B643,#REF!,5,FALSE),"No encontrado. Revisar código, fecha ejecución y/o contrato."),
IF(D643="","Código no encontrado",
IF(D643="ERROR","No encontrado. Revisar Código, fecha de ejecución y/o contrato.",
IF(D643="MATE",
IF(C642="DESCRIPCION","NO SE PUEDE COMENZAR SIN CÓDIGO DE TAREA",
IF(C642="","FALTA CÓDIGO DE TAREA",
CONCATENATE("          ",VLOOKUP(B643,'Maestro Materiales'!A:C,3,FALSE)))),IFERROR(VLOOKUP(B643,#REF!,5,FALSE),"No encontrado. Revisar código, fecha ejecución y/o contrato."))))))))</f>
        <v/>
      </c>
      <c r="D643" s="88" t="str">
        <f>IF(B643="","",
IFERROR(VLOOKUP(B643,'Maestro Materiales'!A:C,2,FALSE),
IFERROR(VLOOKUP(B643,'Baremos actuales'!A:B,2,FALSE),
IFERROR(VLOOKUP(B643,'Baremos anteriores'!A:B,2,FALSE),
""))))</f>
        <v/>
      </c>
      <c r="E643" s="9"/>
      <c r="F643" s="89" t="str">
        <f>IF(D643="MATE",
IF(E643="","¿Unidades?",""),
IF(D643="",IF(E643="","","¿Código?"),
IF(E643="","¿Unidades?",
IF(D643="TARE",
IF(M643=$H$3,IFERROR(VLOOKUP(B643,'Baremos actuales'!A:C,3,FALSE),0),
IF(M643=$H$4,IFERROR(VLOOKUP(B643,'Baremos anteriores'!A:C,3,FALSE),0),0))))))</f>
        <v/>
      </c>
      <c r="G643" s="7"/>
      <c r="H643" s="8"/>
      <c r="I643" s="8"/>
      <c r="J643" s="78" t="str">
        <f>IF($D643="","",
IF($E643="","",
IF($D643="MATE","",
IF(VLOOKUP($B643,'Baremos actuales'!A:D,4,FALSE)=J$9,$E643*$F643,IF(VLOOKUP($B643,'Baremos anteriores'!A:D,4,FALSE)="Sin Definir",$E643*$F643,"")))))</f>
        <v/>
      </c>
      <c r="K643" s="79" t="str">
        <f>IF($D643="","",
IF($E643="","",
IF($D643="MATE","",
IF(VLOOKUP($B643,'Baremos actuales'!$A:$D,4,FALSE)=K$9,$E643*$F643,IF(VLOOKUP($B643,'Baremos anteriores'!$A:$D,4,FALSE)="Desmonte",$E643*$F643,"")))))</f>
        <v/>
      </c>
      <c r="L643" s="80" t="str">
        <f>IF($D643="","",
IF($E643="","",
IF($D643="MATE","",
IF(VLOOKUP($B643,'Baremos actuales'!$A:$D,4,FALSE)=L$9,$E643*$F643,""))))</f>
        <v/>
      </c>
      <c r="M643" s="91" t="str">
        <f t="shared" si="9"/>
        <v/>
      </c>
      <c r="N643" s="96"/>
      <c r="O643" s="95"/>
      <c r="P643" s="96"/>
      <c r="Q643" s="98"/>
    </row>
    <row r="644" spans="1:17" ht="15.75" x14ac:dyDescent="0.2">
      <c r="A644" s="17"/>
      <c r="B644" s="18"/>
      <c r="C644" s="87" t="str">
        <f>IF(B644="","",
IF(M644=$H$5,IFERROR(VLOOKUP(B644,'Baremos actuales'!A:E,5,FALSE),"No encontrado. Revisar código, fecha ejecución y/o contrato."),
IF(M644=$H$4,IFERROR(VLOOKUP(B644,'Baremos anteriores'!A:E,5,FALSE),"No encontrado. Revisar código, fecha ejecución y/o contrato."),
IF(M644=$H$3,IFERROR(VLOOKUP(B644,#REF!,5,FALSE),"No encontrado. Revisar código, fecha ejecución y/o contrato."),
IF(D644="","Código no encontrado",
IF(D644="ERROR","No encontrado. Revisar Código, fecha de ejecución y/o contrato.",
IF(D644="MATE",
IF(C643="DESCRIPCION","NO SE PUEDE COMENZAR SIN CÓDIGO DE TAREA",
IF(C643="","FALTA CÓDIGO DE TAREA",
CONCATENATE("          ",VLOOKUP(B644,'Maestro Materiales'!A:C,3,FALSE)))),IFERROR(VLOOKUP(B644,#REF!,5,FALSE),"No encontrado. Revisar código, fecha ejecución y/o contrato."))))))))</f>
        <v/>
      </c>
      <c r="D644" s="88" t="str">
        <f>IF(B644="","",
IFERROR(VLOOKUP(B644,'Maestro Materiales'!A:C,2,FALSE),
IFERROR(VLOOKUP(B644,'Baremos actuales'!A:B,2,FALSE),
IFERROR(VLOOKUP(B644,'Baremos anteriores'!A:B,2,FALSE),
""))))</f>
        <v/>
      </c>
      <c r="E644" s="9"/>
      <c r="F644" s="89" t="str">
        <f>IF(D644="MATE",
IF(E644="","¿Unidades?",""),
IF(D644="",IF(E644="","","¿Código?"),
IF(E644="","¿Unidades?",
IF(D644="TARE",
IF(M644=$H$3,IFERROR(VLOOKUP(B644,'Baremos actuales'!A:C,3,FALSE),0),
IF(M644=$H$4,IFERROR(VLOOKUP(B644,'Baremos anteriores'!A:C,3,FALSE),0),0))))))</f>
        <v/>
      </c>
      <c r="G644" s="7"/>
      <c r="H644" s="8"/>
      <c r="I644" s="8"/>
      <c r="J644" s="78" t="str">
        <f>IF($D644="","",
IF($E644="","",
IF($D644="MATE","",
IF(VLOOKUP($B644,'Baremos actuales'!A:D,4,FALSE)=J$9,$E644*$F644,IF(VLOOKUP($B644,'Baremos anteriores'!A:D,4,FALSE)="Sin Definir",$E644*$F644,"")))))</f>
        <v/>
      </c>
      <c r="K644" s="79" t="str">
        <f>IF($D644="","",
IF($E644="","",
IF($D644="MATE","",
IF(VLOOKUP($B644,'Baremos actuales'!$A:$D,4,FALSE)=K$9,$E644*$F644,IF(VLOOKUP($B644,'Baremos anteriores'!$A:$D,4,FALSE)="Desmonte",$E644*$F644,"")))))</f>
        <v/>
      </c>
      <c r="L644" s="80" t="str">
        <f>IF($D644="","",
IF($E644="","",
IF($D644="MATE","",
IF(VLOOKUP($B644,'Baremos actuales'!$A:$D,4,FALSE)=L$9,$E644*$F644,""))))</f>
        <v/>
      </c>
      <c r="M644" s="91" t="str">
        <f t="shared" si="9"/>
        <v/>
      </c>
      <c r="N644" s="96"/>
      <c r="O644" s="95"/>
      <c r="P644" s="96"/>
      <c r="Q644" s="98"/>
    </row>
    <row r="645" spans="1:17" ht="15.75" x14ac:dyDescent="0.2">
      <c r="A645" s="17"/>
      <c r="B645" s="18"/>
      <c r="C645" s="87" t="str">
        <f>IF(B645="","",
IF(M645=$H$5,IFERROR(VLOOKUP(B645,'Baremos actuales'!A:E,5,FALSE),"No encontrado. Revisar código, fecha ejecución y/o contrato."),
IF(M645=$H$4,IFERROR(VLOOKUP(B645,'Baremos anteriores'!A:E,5,FALSE),"No encontrado. Revisar código, fecha ejecución y/o contrato."),
IF(M645=$H$3,IFERROR(VLOOKUP(B645,#REF!,5,FALSE),"No encontrado. Revisar código, fecha ejecución y/o contrato."),
IF(D645="","Código no encontrado",
IF(D645="ERROR","No encontrado. Revisar Código, fecha de ejecución y/o contrato.",
IF(D645="MATE",
IF(C644="DESCRIPCION","NO SE PUEDE COMENZAR SIN CÓDIGO DE TAREA",
IF(C644="","FALTA CÓDIGO DE TAREA",
CONCATENATE("          ",VLOOKUP(B645,'Maestro Materiales'!A:C,3,FALSE)))),IFERROR(VLOOKUP(B645,#REF!,5,FALSE),"No encontrado. Revisar código, fecha ejecución y/o contrato."))))))))</f>
        <v/>
      </c>
      <c r="D645" s="88" t="str">
        <f>IF(B645="","",
IFERROR(VLOOKUP(B645,'Maestro Materiales'!A:C,2,FALSE),
IFERROR(VLOOKUP(B645,'Baremos actuales'!A:B,2,FALSE),
IFERROR(VLOOKUP(B645,'Baremos anteriores'!A:B,2,FALSE),
""))))</f>
        <v/>
      </c>
      <c r="E645" s="9"/>
      <c r="F645" s="89" t="str">
        <f>IF(D645="MATE",
IF(E645="","¿Unidades?",""),
IF(D645="",IF(E645="","","¿Código?"),
IF(E645="","¿Unidades?",
IF(D645="TARE",
IF(M645=$H$3,IFERROR(VLOOKUP(B645,'Baremos actuales'!A:C,3,FALSE),0),
IF(M645=$H$4,IFERROR(VLOOKUP(B645,'Baremos anteriores'!A:C,3,FALSE),0),0))))))</f>
        <v/>
      </c>
      <c r="G645" s="7"/>
      <c r="H645" s="8"/>
      <c r="I645" s="8"/>
      <c r="J645" s="78" t="str">
        <f>IF($D645="","",
IF($E645="","",
IF($D645="MATE","",
IF(VLOOKUP($B645,'Baremos actuales'!A:D,4,FALSE)=J$9,$E645*$F645,IF(VLOOKUP($B645,'Baremos anteriores'!A:D,4,FALSE)="Sin Definir",$E645*$F645,"")))))</f>
        <v/>
      </c>
      <c r="K645" s="79" t="str">
        <f>IF($D645="","",
IF($E645="","",
IF($D645="MATE","",
IF(VLOOKUP($B645,'Baremos actuales'!$A:$D,4,FALSE)=K$9,$E645*$F645,IF(VLOOKUP($B645,'Baremos anteriores'!$A:$D,4,FALSE)="Desmonte",$E645*$F645,"")))))</f>
        <v/>
      </c>
      <c r="L645" s="80" t="str">
        <f>IF($D645="","",
IF($E645="","",
IF($D645="MATE","",
IF(VLOOKUP($B645,'Baremos actuales'!$A:$D,4,FALSE)=L$9,$E645*$F645,""))))</f>
        <v/>
      </c>
      <c r="M645" s="91" t="str">
        <f t="shared" si="9"/>
        <v/>
      </c>
      <c r="N645" s="96"/>
      <c r="O645" s="95"/>
      <c r="P645" s="96"/>
      <c r="Q645" s="98"/>
    </row>
    <row r="646" spans="1:17" ht="15.75" x14ac:dyDescent="0.2">
      <c r="A646" s="17"/>
      <c r="B646" s="18"/>
      <c r="C646" s="87" t="str">
        <f>IF(B646="","",
IF(M646=$H$5,IFERROR(VLOOKUP(B646,'Baremos actuales'!A:E,5,FALSE),"No encontrado. Revisar código, fecha ejecución y/o contrato."),
IF(M646=$H$4,IFERROR(VLOOKUP(B646,'Baremos anteriores'!A:E,5,FALSE),"No encontrado. Revisar código, fecha ejecución y/o contrato."),
IF(M646=$H$3,IFERROR(VLOOKUP(B646,#REF!,5,FALSE),"No encontrado. Revisar código, fecha ejecución y/o contrato."),
IF(D646="","Código no encontrado",
IF(D646="ERROR","No encontrado. Revisar Código, fecha de ejecución y/o contrato.",
IF(D646="MATE",
IF(C645="DESCRIPCION","NO SE PUEDE COMENZAR SIN CÓDIGO DE TAREA",
IF(C645="","FALTA CÓDIGO DE TAREA",
CONCATENATE("          ",VLOOKUP(B646,'Maestro Materiales'!A:C,3,FALSE)))),IFERROR(VLOOKUP(B646,#REF!,5,FALSE),"No encontrado. Revisar código, fecha ejecución y/o contrato."))))))))</f>
        <v/>
      </c>
      <c r="D646" s="88" t="str">
        <f>IF(B646="","",
IFERROR(VLOOKUP(B646,'Maestro Materiales'!A:C,2,FALSE),
IFERROR(VLOOKUP(B646,'Baremos actuales'!A:B,2,FALSE),
IFERROR(VLOOKUP(B646,'Baremos anteriores'!A:B,2,FALSE),
""))))</f>
        <v/>
      </c>
      <c r="E646" s="9"/>
      <c r="F646" s="89" t="str">
        <f>IF(D646="MATE",
IF(E646="","¿Unidades?",""),
IF(D646="",IF(E646="","","¿Código?"),
IF(E646="","¿Unidades?",
IF(D646="TARE",
IF(M646=$H$3,IFERROR(VLOOKUP(B646,'Baremos actuales'!A:C,3,FALSE),0),
IF(M646=$H$4,IFERROR(VLOOKUP(B646,'Baremos anteriores'!A:C,3,FALSE),0),0))))))</f>
        <v/>
      </c>
      <c r="G646" s="7"/>
      <c r="H646" s="8"/>
      <c r="I646" s="8"/>
      <c r="J646" s="78" t="str">
        <f>IF($D646="","",
IF($E646="","",
IF($D646="MATE","",
IF(VLOOKUP($B646,'Baremos actuales'!A:D,4,FALSE)=J$9,$E646*$F646,IF(VLOOKUP($B646,'Baremos anteriores'!A:D,4,FALSE)="Sin Definir",$E646*$F646,"")))))</f>
        <v/>
      </c>
      <c r="K646" s="79" t="str">
        <f>IF($D646="","",
IF($E646="","",
IF($D646="MATE","",
IF(VLOOKUP($B646,'Baremos actuales'!$A:$D,4,FALSE)=K$9,$E646*$F646,IF(VLOOKUP($B646,'Baremos anteriores'!$A:$D,4,FALSE)="Desmonte",$E646*$F646,"")))))</f>
        <v/>
      </c>
      <c r="L646" s="80" t="str">
        <f>IF($D646="","",
IF($E646="","",
IF($D646="MATE","",
IF(VLOOKUP($B646,'Baremos actuales'!$A:$D,4,FALSE)=L$9,$E646*$F646,""))))</f>
        <v/>
      </c>
      <c r="M646" s="91" t="str">
        <f t="shared" si="9"/>
        <v/>
      </c>
      <c r="N646" s="96"/>
      <c r="O646" s="95"/>
      <c r="P646" s="96"/>
      <c r="Q646" s="98"/>
    </row>
    <row r="647" spans="1:17" ht="15.75" x14ac:dyDescent="0.2">
      <c r="A647" s="17"/>
      <c r="B647" s="18"/>
      <c r="C647" s="87" t="str">
        <f>IF(B647="","",
IF(M647=$H$5,IFERROR(VLOOKUP(B647,'Baremos actuales'!A:E,5,FALSE),"No encontrado. Revisar código, fecha ejecución y/o contrato."),
IF(M647=$H$4,IFERROR(VLOOKUP(B647,'Baremos anteriores'!A:E,5,FALSE),"No encontrado. Revisar código, fecha ejecución y/o contrato."),
IF(M647=$H$3,IFERROR(VLOOKUP(B647,#REF!,5,FALSE),"No encontrado. Revisar código, fecha ejecución y/o contrato."),
IF(D647="","Código no encontrado",
IF(D647="ERROR","No encontrado. Revisar Código, fecha de ejecución y/o contrato.",
IF(D647="MATE",
IF(C646="DESCRIPCION","NO SE PUEDE COMENZAR SIN CÓDIGO DE TAREA",
IF(C646="","FALTA CÓDIGO DE TAREA",
CONCATENATE("          ",VLOOKUP(B647,'Maestro Materiales'!A:C,3,FALSE)))),IFERROR(VLOOKUP(B647,#REF!,5,FALSE),"No encontrado. Revisar código, fecha ejecución y/o contrato."))))))))</f>
        <v/>
      </c>
      <c r="D647" s="88" t="str">
        <f>IF(B647="","",
IFERROR(VLOOKUP(B647,'Maestro Materiales'!A:C,2,FALSE),
IFERROR(VLOOKUP(B647,'Baremos actuales'!A:B,2,FALSE),
IFERROR(VLOOKUP(B647,'Baremos anteriores'!A:B,2,FALSE),
""))))</f>
        <v/>
      </c>
      <c r="E647" s="9"/>
      <c r="F647" s="89" t="str">
        <f>IF(D647="MATE",
IF(E647="","¿Unidades?",""),
IF(D647="",IF(E647="","","¿Código?"),
IF(E647="","¿Unidades?",
IF(D647="TARE",
IF(M647=$H$3,IFERROR(VLOOKUP(B647,'Baremos actuales'!A:C,3,FALSE),0),
IF(M647=$H$4,IFERROR(VLOOKUP(B647,'Baremos anteriores'!A:C,3,FALSE),0),0))))))</f>
        <v/>
      </c>
      <c r="G647" s="7"/>
      <c r="H647" s="8"/>
      <c r="I647" s="8"/>
      <c r="J647" s="78" t="str">
        <f>IF($D647="","",
IF($E647="","",
IF($D647="MATE","",
IF(VLOOKUP($B647,'Baremos actuales'!A:D,4,FALSE)=J$9,$E647*$F647,IF(VLOOKUP($B647,'Baremos anteriores'!A:D,4,FALSE)="Sin Definir",$E647*$F647,"")))))</f>
        <v/>
      </c>
      <c r="K647" s="79" t="str">
        <f>IF($D647="","",
IF($E647="","",
IF($D647="MATE","",
IF(VLOOKUP($B647,'Baremos actuales'!$A:$D,4,FALSE)=K$9,$E647*$F647,IF(VLOOKUP($B647,'Baremos anteriores'!$A:$D,4,FALSE)="Desmonte",$E647*$F647,"")))))</f>
        <v/>
      </c>
      <c r="L647" s="80" t="str">
        <f>IF($D647="","",
IF($E647="","",
IF($D647="MATE","",
IF(VLOOKUP($B647,'Baremos actuales'!$A:$D,4,FALSE)=L$9,$E647*$F647,""))))</f>
        <v/>
      </c>
      <c r="M647" s="91" t="str">
        <f t="shared" si="9"/>
        <v/>
      </c>
      <c r="N647" s="96"/>
      <c r="O647" s="95"/>
      <c r="P647" s="96"/>
      <c r="Q647" s="98"/>
    </row>
    <row r="648" spans="1:17" ht="15.75" x14ac:dyDescent="0.2">
      <c r="A648" s="17"/>
      <c r="B648" s="18"/>
      <c r="C648" s="87" t="str">
        <f>IF(B648="","",
IF(M648=$H$5,IFERROR(VLOOKUP(B648,'Baremos actuales'!A:E,5,FALSE),"No encontrado. Revisar código, fecha ejecución y/o contrato."),
IF(M648=$H$4,IFERROR(VLOOKUP(B648,'Baremos anteriores'!A:E,5,FALSE),"No encontrado. Revisar código, fecha ejecución y/o contrato."),
IF(M648=$H$3,IFERROR(VLOOKUP(B648,#REF!,5,FALSE),"No encontrado. Revisar código, fecha ejecución y/o contrato."),
IF(D648="","Código no encontrado",
IF(D648="ERROR","No encontrado. Revisar Código, fecha de ejecución y/o contrato.",
IF(D648="MATE",
IF(C647="DESCRIPCION","NO SE PUEDE COMENZAR SIN CÓDIGO DE TAREA",
IF(C647="","FALTA CÓDIGO DE TAREA",
CONCATENATE("          ",VLOOKUP(B648,'Maestro Materiales'!A:C,3,FALSE)))),IFERROR(VLOOKUP(B648,#REF!,5,FALSE),"No encontrado. Revisar código, fecha ejecución y/o contrato."))))))))</f>
        <v/>
      </c>
      <c r="D648" s="88" t="str">
        <f>IF(B648="","",
IFERROR(VLOOKUP(B648,'Maestro Materiales'!A:C,2,FALSE),
IFERROR(VLOOKUP(B648,'Baremos actuales'!A:B,2,FALSE),
IFERROR(VLOOKUP(B648,'Baremos anteriores'!A:B,2,FALSE),
""))))</f>
        <v/>
      </c>
      <c r="E648" s="9"/>
      <c r="F648" s="89" t="str">
        <f>IF(D648="MATE",
IF(E648="","¿Unidades?",""),
IF(D648="",IF(E648="","","¿Código?"),
IF(E648="","¿Unidades?",
IF(D648="TARE",
IF(M648=$H$3,IFERROR(VLOOKUP(B648,'Baremos actuales'!A:C,3,FALSE),0),
IF(M648=$H$4,IFERROR(VLOOKUP(B648,'Baremos anteriores'!A:C,3,FALSE),0),0))))))</f>
        <v/>
      </c>
      <c r="G648" s="7"/>
      <c r="H648" s="8"/>
      <c r="I648" s="8"/>
      <c r="J648" s="78" t="str">
        <f>IF($D648="","",
IF($E648="","",
IF($D648="MATE","",
IF(VLOOKUP($B648,'Baremos actuales'!A:D,4,FALSE)=J$9,$E648*$F648,IF(VLOOKUP($B648,'Baremos anteriores'!A:D,4,FALSE)="Sin Definir",$E648*$F648,"")))))</f>
        <v/>
      </c>
      <c r="K648" s="79" t="str">
        <f>IF($D648="","",
IF($E648="","",
IF($D648="MATE","",
IF(VLOOKUP($B648,'Baremos actuales'!$A:$D,4,FALSE)=K$9,$E648*$F648,IF(VLOOKUP($B648,'Baremos anteriores'!$A:$D,4,FALSE)="Desmonte",$E648*$F648,"")))))</f>
        <v/>
      </c>
      <c r="L648" s="80" t="str">
        <f>IF($D648="","",
IF($E648="","",
IF($D648="MATE","",
IF(VLOOKUP($B648,'Baremos actuales'!$A:$D,4,FALSE)=L$9,$E648*$F648,""))))</f>
        <v/>
      </c>
      <c r="M648" s="91" t="str">
        <f t="shared" si="9"/>
        <v/>
      </c>
      <c r="N648" s="96"/>
      <c r="O648" s="95"/>
      <c r="P648" s="96"/>
      <c r="Q648" s="98"/>
    </row>
    <row r="649" spans="1:17" ht="15.75" x14ac:dyDescent="0.2">
      <c r="A649" s="17"/>
      <c r="B649" s="18"/>
      <c r="C649" s="87" t="str">
        <f>IF(B649="","",
IF(M649=$H$5,IFERROR(VLOOKUP(B649,'Baremos actuales'!A:E,5,FALSE),"No encontrado. Revisar código, fecha ejecución y/o contrato."),
IF(M649=$H$4,IFERROR(VLOOKUP(B649,'Baremos anteriores'!A:E,5,FALSE),"No encontrado. Revisar código, fecha ejecución y/o contrato."),
IF(M649=$H$3,IFERROR(VLOOKUP(B649,#REF!,5,FALSE),"No encontrado. Revisar código, fecha ejecución y/o contrato."),
IF(D649="","Código no encontrado",
IF(D649="ERROR","No encontrado. Revisar Código, fecha de ejecución y/o contrato.",
IF(D649="MATE",
IF(C648="DESCRIPCION","NO SE PUEDE COMENZAR SIN CÓDIGO DE TAREA",
IF(C648="","FALTA CÓDIGO DE TAREA",
CONCATENATE("          ",VLOOKUP(B649,'Maestro Materiales'!A:C,3,FALSE)))),IFERROR(VLOOKUP(B649,#REF!,5,FALSE),"No encontrado. Revisar código, fecha ejecución y/o contrato."))))))))</f>
        <v/>
      </c>
      <c r="D649" s="88" t="str">
        <f>IF(B649="","",
IFERROR(VLOOKUP(B649,'Maestro Materiales'!A:C,2,FALSE),
IFERROR(VLOOKUP(B649,'Baremos actuales'!A:B,2,FALSE),
IFERROR(VLOOKUP(B649,'Baremos anteriores'!A:B,2,FALSE),
""))))</f>
        <v/>
      </c>
      <c r="E649" s="9"/>
      <c r="F649" s="89" t="str">
        <f>IF(D649="MATE",
IF(E649="","¿Unidades?",""),
IF(D649="",IF(E649="","","¿Código?"),
IF(E649="","¿Unidades?",
IF(D649="TARE",
IF(M649=$H$3,IFERROR(VLOOKUP(B649,'Baremos actuales'!A:C,3,FALSE),0),
IF(M649=$H$4,IFERROR(VLOOKUP(B649,'Baremos anteriores'!A:C,3,FALSE),0),0))))))</f>
        <v/>
      </c>
      <c r="G649" s="7"/>
      <c r="H649" s="8"/>
      <c r="I649" s="8"/>
      <c r="J649" s="78" t="str">
        <f>IF($D649="","",
IF($E649="","",
IF($D649="MATE","",
IF(VLOOKUP($B649,'Baremos actuales'!A:D,4,FALSE)=J$9,$E649*$F649,IF(VLOOKUP($B649,'Baremos anteriores'!A:D,4,FALSE)="Sin Definir",$E649*$F649,"")))))</f>
        <v/>
      </c>
      <c r="K649" s="79" t="str">
        <f>IF($D649="","",
IF($E649="","",
IF($D649="MATE","",
IF(VLOOKUP($B649,'Baremos actuales'!$A:$D,4,FALSE)=K$9,$E649*$F649,IF(VLOOKUP($B649,'Baremos anteriores'!$A:$D,4,FALSE)="Desmonte",$E649*$F649,"")))))</f>
        <v/>
      </c>
      <c r="L649" s="80" t="str">
        <f>IF($D649="","",
IF($E649="","",
IF($D649="MATE","",
IF(VLOOKUP($B649,'Baremos actuales'!$A:$D,4,FALSE)=L$9,$E649*$F649,""))))</f>
        <v/>
      </c>
      <c r="M649" s="91" t="str">
        <f t="shared" si="9"/>
        <v/>
      </c>
      <c r="N649" s="96"/>
      <c r="O649" s="95"/>
      <c r="P649" s="96"/>
      <c r="Q649" s="98"/>
    </row>
    <row r="650" spans="1:17" ht="15.75" x14ac:dyDescent="0.2">
      <c r="A650" s="17"/>
      <c r="B650" s="18"/>
      <c r="C650" s="87" t="str">
        <f>IF(B650="","",
IF(M650=$H$5,IFERROR(VLOOKUP(B650,'Baremos actuales'!A:E,5,FALSE),"No encontrado. Revisar código, fecha ejecución y/o contrato."),
IF(M650=$H$4,IFERROR(VLOOKUP(B650,'Baremos anteriores'!A:E,5,FALSE),"No encontrado. Revisar código, fecha ejecución y/o contrato."),
IF(M650=$H$3,IFERROR(VLOOKUP(B650,#REF!,5,FALSE),"No encontrado. Revisar código, fecha ejecución y/o contrato."),
IF(D650="","Código no encontrado",
IF(D650="ERROR","No encontrado. Revisar Código, fecha de ejecución y/o contrato.",
IF(D650="MATE",
IF(C649="DESCRIPCION","NO SE PUEDE COMENZAR SIN CÓDIGO DE TAREA",
IF(C649="","FALTA CÓDIGO DE TAREA",
CONCATENATE("          ",VLOOKUP(B650,'Maestro Materiales'!A:C,3,FALSE)))),IFERROR(VLOOKUP(B650,#REF!,5,FALSE),"No encontrado. Revisar código, fecha ejecución y/o contrato."))))))))</f>
        <v/>
      </c>
      <c r="D650" s="88" t="str">
        <f>IF(B650="","",
IFERROR(VLOOKUP(B650,'Maestro Materiales'!A:C,2,FALSE),
IFERROR(VLOOKUP(B650,'Baremos actuales'!A:B,2,FALSE),
IFERROR(VLOOKUP(B650,'Baremos anteriores'!A:B,2,FALSE),
""))))</f>
        <v/>
      </c>
      <c r="E650" s="9"/>
      <c r="F650" s="89" t="str">
        <f>IF(D650="MATE",
IF(E650="","¿Unidades?",""),
IF(D650="",IF(E650="","","¿Código?"),
IF(E650="","¿Unidades?",
IF(D650="TARE",
IF(M650=$H$3,IFERROR(VLOOKUP(B650,'Baremos actuales'!A:C,3,FALSE),0),
IF(M650=$H$4,IFERROR(VLOOKUP(B650,'Baremos anteriores'!A:C,3,FALSE),0),0))))))</f>
        <v/>
      </c>
      <c r="G650" s="7"/>
      <c r="H650" s="8"/>
      <c r="I650" s="8"/>
      <c r="J650" s="78" t="str">
        <f>IF($D650="","",
IF($E650="","",
IF($D650="MATE","",
IF(VLOOKUP($B650,'Baremos actuales'!A:D,4,FALSE)=J$9,$E650*$F650,IF(VLOOKUP($B650,'Baremos anteriores'!A:D,4,FALSE)="Sin Definir",$E650*$F650,"")))))</f>
        <v/>
      </c>
      <c r="K650" s="79" t="str">
        <f>IF($D650="","",
IF($E650="","",
IF($D650="MATE","",
IF(VLOOKUP($B650,'Baremos actuales'!$A:$D,4,FALSE)=K$9,$E650*$F650,IF(VLOOKUP($B650,'Baremos anteriores'!$A:$D,4,FALSE)="Desmonte",$E650*$F650,"")))))</f>
        <v/>
      </c>
      <c r="L650" s="80" t="str">
        <f>IF($D650="","",
IF($E650="","",
IF($D650="MATE","",
IF(VLOOKUP($B650,'Baremos actuales'!$A:$D,4,FALSE)=L$9,$E650*$F650,""))))</f>
        <v/>
      </c>
      <c r="M650" s="91" t="str">
        <f t="shared" si="9"/>
        <v/>
      </c>
      <c r="N650" s="96"/>
      <c r="O650" s="95"/>
      <c r="P650" s="96"/>
      <c r="Q650" s="98"/>
    </row>
    <row r="651" spans="1:17" ht="15.75" x14ac:dyDescent="0.2">
      <c r="A651" s="17"/>
      <c r="B651" s="18"/>
      <c r="C651" s="87" t="str">
        <f>IF(B651="","",
IF(M651=$H$5,IFERROR(VLOOKUP(B651,'Baremos actuales'!A:E,5,FALSE),"No encontrado. Revisar código, fecha ejecución y/o contrato."),
IF(M651=$H$4,IFERROR(VLOOKUP(B651,'Baremos anteriores'!A:E,5,FALSE),"No encontrado. Revisar código, fecha ejecución y/o contrato."),
IF(M651=$H$3,IFERROR(VLOOKUP(B651,#REF!,5,FALSE),"No encontrado. Revisar código, fecha ejecución y/o contrato."),
IF(D651="","Código no encontrado",
IF(D651="ERROR","No encontrado. Revisar Código, fecha de ejecución y/o contrato.",
IF(D651="MATE",
IF(C650="DESCRIPCION","NO SE PUEDE COMENZAR SIN CÓDIGO DE TAREA",
IF(C650="","FALTA CÓDIGO DE TAREA",
CONCATENATE("          ",VLOOKUP(B651,'Maestro Materiales'!A:C,3,FALSE)))),IFERROR(VLOOKUP(B651,#REF!,5,FALSE),"No encontrado. Revisar código, fecha ejecución y/o contrato."))))))))</f>
        <v/>
      </c>
      <c r="D651" s="88" t="str">
        <f>IF(B651="","",
IFERROR(VLOOKUP(B651,'Maestro Materiales'!A:C,2,FALSE),
IFERROR(VLOOKUP(B651,'Baremos actuales'!A:B,2,FALSE),
IFERROR(VLOOKUP(B651,'Baremos anteriores'!A:B,2,FALSE),
""))))</f>
        <v/>
      </c>
      <c r="E651" s="9"/>
      <c r="F651" s="89" t="str">
        <f>IF(D651="MATE",
IF(E651="","¿Unidades?",""),
IF(D651="",IF(E651="","","¿Código?"),
IF(E651="","¿Unidades?",
IF(D651="TARE",
IF(M651=$H$3,IFERROR(VLOOKUP(B651,'Baremos actuales'!A:C,3,FALSE),0),
IF(M651=$H$4,IFERROR(VLOOKUP(B651,'Baremos anteriores'!A:C,3,FALSE),0),0))))))</f>
        <v/>
      </c>
      <c r="G651" s="7"/>
      <c r="H651" s="8"/>
      <c r="I651" s="8"/>
      <c r="J651" s="78" t="str">
        <f>IF($D651="","",
IF($E651="","",
IF($D651="MATE","",
IF(VLOOKUP($B651,'Baremos actuales'!A:D,4,FALSE)=J$9,$E651*$F651,IF(VLOOKUP($B651,'Baremos anteriores'!A:D,4,FALSE)="Sin Definir",$E651*$F651,"")))))</f>
        <v/>
      </c>
      <c r="K651" s="79" t="str">
        <f>IF($D651="","",
IF($E651="","",
IF($D651="MATE","",
IF(VLOOKUP($B651,'Baremos actuales'!$A:$D,4,FALSE)=K$9,$E651*$F651,IF(VLOOKUP($B651,'Baremos anteriores'!$A:$D,4,FALSE)="Desmonte",$E651*$F651,"")))))</f>
        <v/>
      </c>
      <c r="L651" s="80" t="str">
        <f>IF($D651="","",
IF($E651="","",
IF($D651="MATE","",
IF(VLOOKUP($B651,'Baremos actuales'!$A:$D,4,FALSE)=L$9,$E651*$F651,""))))</f>
        <v/>
      </c>
      <c r="M651" s="91" t="str">
        <f t="shared" ref="M651:M714" si="10">IF(D651="MATE","Materiales",IF(B651="","",
IF($Q$1="O","Obsoleto",$F$2)))</f>
        <v/>
      </c>
      <c r="N651" s="96"/>
      <c r="O651" s="95"/>
      <c r="P651" s="96"/>
      <c r="Q651" s="98"/>
    </row>
    <row r="652" spans="1:17" ht="15.75" x14ac:dyDescent="0.2">
      <c r="A652" s="17"/>
      <c r="B652" s="18"/>
      <c r="C652" s="87" t="str">
        <f>IF(B652="","",
IF(M652=$H$5,IFERROR(VLOOKUP(B652,'Baremos actuales'!A:E,5,FALSE),"No encontrado. Revisar código, fecha ejecución y/o contrato."),
IF(M652=$H$4,IFERROR(VLOOKUP(B652,'Baremos anteriores'!A:E,5,FALSE),"No encontrado. Revisar código, fecha ejecución y/o contrato."),
IF(M652=$H$3,IFERROR(VLOOKUP(B652,#REF!,5,FALSE),"No encontrado. Revisar código, fecha ejecución y/o contrato."),
IF(D652="","Código no encontrado",
IF(D652="ERROR","No encontrado. Revisar Código, fecha de ejecución y/o contrato.",
IF(D652="MATE",
IF(C651="DESCRIPCION","NO SE PUEDE COMENZAR SIN CÓDIGO DE TAREA",
IF(C651="","FALTA CÓDIGO DE TAREA",
CONCATENATE("          ",VLOOKUP(B652,'Maestro Materiales'!A:C,3,FALSE)))),IFERROR(VLOOKUP(B652,#REF!,5,FALSE),"No encontrado. Revisar código, fecha ejecución y/o contrato."))))))))</f>
        <v/>
      </c>
      <c r="D652" s="88" t="str">
        <f>IF(B652="","",
IFERROR(VLOOKUP(B652,'Maestro Materiales'!A:C,2,FALSE),
IFERROR(VLOOKUP(B652,'Baremos actuales'!A:B,2,FALSE),
IFERROR(VLOOKUP(B652,'Baremos anteriores'!A:B,2,FALSE),
""))))</f>
        <v/>
      </c>
      <c r="E652" s="9"/>
      <c r="F652" s="89" t="str">
        <f>IF(D652="MATE",
IF(E652="","¿Unidades?",""),
IF(D652="",IF(E652="","","¿Código?"),
IF(E652="","¿Unidades?",
IF(D652="TARE",
IF(M652=$H$3,IFERROR(VLOOKUP(B652,'Baremos actuales'!A:C,3,FALSE),0),
IF(M652=$H$4,IFERROR(VLOOKUP(B652,'Baremos anteriores'!A:C,3,FALSE),0),0))))))</f>
        <v/>
      </c>
      <c r="G652" s="7"/>
      <c r="H652" s="8"/>
      <c r="I652" s="8"/>
      <c r="J652" s="78" t="str">
        <f>IF($D652="","",
IF($E652="","",
IF($D652="MATE","",
IF(VLOOKUP($B652,'Baremos actuales'!A:D,4,FALSE)=J$9,$E652*$F652,IF(VLOOKUP($B652,'Baremos anteriores'!A:D,4,FALSE)="Sin Definir",$E652*$F652,"")))))</f>
        <v/>
      </c>
      <c r="K652" s="79" t="str">
        <f>IF($D652="","",
IF($E652="","",
IF($D652="MATE","",
IF(VLOOKUP($B652,'Baremos actuales'!$A:$D,4,FALSE)=K$9,$E652*$F652,IF(VLOOKUP($B652,'Baremos anteriores'!$A:$D,4,FALSE)="Desmonte",$E652*$F652,"")))))</f>
        <v/>
      </c>
      <c r="L652" s="80" t="str">
        <f>IF($D652="","",
IF($E652="","",
IF($D652="MATE","",
IF(VLOOKUP($B652,'Baremos actuales'!$A:$D,4,FALSE)=L$9,$E652*$F652,""))))</f>
        <v/>
      </c>
      <c r="M652" s="91" t="str">
        <f t="shared" si="10"/>
        <v/>
      </c>
      <c r="N652" s="96"/>
      <c r="O652" s="95"/>
      <c r="P652" s="96"/>
      <c r="Q652" s="98"/>
    </row>
    <row r="653" spans="1:17" ht="15.75" x14ac:dyDescent="0.2">
      <c r="A653" s="17"/>
      <c r="B653" s="18"/>
      <c r="C653" s="87" t="str">
        <f>IF(B653="","",
IF(M653=$H$5,IFERROR(VLOOKUP(B653,'Baremos actuales'!A:E,5,FALSE),"No encontrado. Revisar código, fecha ejecución y/o contrato."),
IF(M653=$H$4,IFERROR(VLOOKUP(B653,'Baremos anteriores'!A:E,5,FALSE),"No encontrado. Revisar código, fecha ejecución y/o contrato."),
IF(M653=$H$3,IFERROR(VLOOKUP(B653,#REF!,5,FALSE),"No encontrado. Revisar código, fecha ejecución y/o contrato."),
IF(D653="","Código no encontrado",
IF(D653="ERROR","No encontrado. Revisar Código, fecha de ejecución y/o contrato.",
IF(D653="MATE",
IF(C652="DESCRIPCION","NO SE PUEDE COMENZAR SIN CÓDIGO DE TAREA",
IF(C652="","FALTA CÓDIGO DE TAREA",
CONCATENATE("          ",VLOOKUP(B653,'Maestro Materiales'!A:C,3,FALSE)))),IFERROR(VLOOKUP(B653,#REF!,5,FALSE),"No encontrado. Revisar código, fecha ejecución y/o contrato."))))))))</f>
        <v/>
      </c>
      <c r="D653" s="88" t="str">
        <f>IF(B653="","",
IFERROR(VLOOKUP(B653,'Maestro Materiales'!A:C,2,FALSE),
IFERROR(VLOOKUP(B653,'Baremos actuales'!A:B,2,FALSE),
IFERROR(VLOOKUP(B653,'Baremos anteriores'!A:B,2,FALSE),
""))))</f>
        <v/>
      </c>
      <c r="E653" s="9"/>
      <c r="F653" s="89" t="str">
        <f>IF(D653="MATE",
IF(E653="","¿Unidades?",""),
IF(D653="",IF(E653="","","¿Código?"),
IF(E653="","¿Unidades?",
IF(D653="TARE",
IF(M653=$H$3,IFERROR(VLOOKUP(B653,'Baremos actuales'!A:C,3,FALSE),0),
IF(M653=$H$4,IFERROR(VLOOKUP(B653,'Baremos anteriores'!A:C,3,FALSE),0),0))))))</f>
        <v/>
      </c>
      <c r="G653" s="7"/>
      <c r="H653" s="8"/>
      <c r="I653" s="8"/>
      <c r="J653" s="78" t="str">
        <f>IF($D653="","",
IF($E653="","",
IF($D653="MATE","",
IF(VLOOKUP($B653,'Baremos actuales'!A:D,4,FALSE)=J$9,$E653*$F653,IF(VLOOKUP($B653,'Baremos anteriores'!A:D,4,FALSE)="Sin Definir",$E653*$F653,"")))))</f>
        <v/>
      </c>
      <c r="K653" s="79" t="str">
        <f>IF($D653="","",
IF($E653="","",
IF($D653="MATE","",
IF(VLOOKUP($B653,'Baremos actuales'!$A:$D,4,FALSE)=K$9,$E653*$F653,IF(VLOOKUP($B653,'Baremos anteriores'!$A:$D,4,FALSE)="Desmonte",$E653*$F653,"")))))</f>
        <v/>
      </c>
      <c r="L653" s="80" t="str">
        <f>IF($D653="","",
IF($E653="","",
IF($D653="MATE","",
IF(VLOOKUP($B653,'Baremos actuales'!$A:$D,4,FALSE)=L$9,$E653*$F653,""))))</f>
        <v/>
      </c>
      <c r="M653" s="91" t="str">
        <f t="shared" si="10"/>
        <v/>
      </c>
      <c r="N653" s="96"/>
      <c r="O653" s="95"/>
      <c r="P653" s="96"/>
      <c r="Q653" s="98"/>
    </row>
    <row r="654" spans="1:17" ht="15.75" x14ac:dyDescent="0.2">
      <c r="A654" s="17"/>
      <c r="B654" s="18"/>
      <c r="C654" s="87" t="str">
        <f>IF(B654="","",
IF(M654=$H$5,IFERROR(VLOOKUP(B654,'Baremos actuales'!A:E,5,FALSE),"No encontrado. Revisar código, fecha ejecución y/o contrato."),
IF(M654=$H$4,IFERROR(VLOOKUP(B654,'Baremos anteriores'!A:E,5,FALSE),"No encontrado. Revisar código, fecha ejecución y/o contrato."),
IF(M654=$H$3,IFERROR(VLOOKUP(B654,#REF!,5,FALSE),"No encontrado. Revisar código, fecha ejecución y/o contrato."),
IF(D654="","Código no encontrado",
IF(D654="ERROR","No encontrado. Revisar Código, fecha de ejecución y/o contrato.",
IF(D654="MATE",
IF(C653="DESCRIPCION","NO SE PUEDE COMENZAR SIN CÓDIGO DE TAREA",
IF(C653="","FALTA CÓDIGO DE TAREA",
CONCATENATE("          ",VLOOKUP(B654,'Maestro Materiales'!A:C,3,FALSE)))),IFERROR(VLOOKUP(B654,#REF!,5,FALSE),"No encontrado. Revisar código, fecha ejecución y/o contrato."))))))))</f>
        <v/>
      </c>
      <c r="D654" s="88" t="str">
        <f>IF(B654="","",
IFERROR(VLOOKUP(B654,'Maestro Materiales'!A:C,2,FALSE),
IFERROR(VLOOKUP(B654,'Baremos actuales'!A:B,2,FALSE),
IFERROR(VLOOKUP(B654,'Baremos anteriores'!A:B,2,FALSE),
""))))</f>
        <v/>
      </c>
      <c r="E654" s="9"/>
      <c r="F654" s="89" t="str">
        <f>IF(D654="MATE",
IF(E654="","¿Unidades?",""),
IF(D654="",IF(E654="","","¿Código?"),
IF(E654="","¿Unidades?",
IF(D654="TARE",
IF(M654=$H$3,IFERROR(VLOOKUP(B654,'Baremos actuales'!A:C,3,FALSE),0),
IF(M654=$H$4,IFERROR(VLOOKUP(B654,'Baremos anteriores'!A:C,3,FALSE),0),0))))))</f>
        <v/>
      </c>
      <c r="G654" s="7"/>
      <c r="H654" s="8"/>
      <c r="I654" s="8"/>
      <c r="J654" s="78" t="str">
        <f>IF($D654="","",
IF($E654="","",
IF($D654="MATE","",
IF(VLOOKUP($B654,'Baremos actuales'!A:D,4,FALSE)=J$9,$E654*$F654,IF(VLOOKUP($B654,'Baremos anteriores'!A:D,4,FALSE)="Sin Definir",$E654*$F654,"")))))</f>
        <v/>
      </c>
      <c r="K654" s="79" t="str">
        <f>IF($D654="","",
IF($E654="","",
IF($D654="MATE","",
IF(VLOOKUP($B654,'Baremos actuales'!$A:$D,4,FALSE)=K$9,$E654*$F654,IF(VLOOKUP($B654,'Baremos anteriores'!$A:$D,4,FALSE)="Desmonte",$E654*$F654,"")))))</f>
        <v/>
      </c>
      <c r="L654" s="80" t="str">
        <f>IF($D654="","",
IF($E654="","",
IF($D654="MATE","",
IF(VLOOKUP($B654,'Baremos actuales'!$A:$D,4,FALSE)=L$9,$E654*$F654,""))))</f>
        <v/>
      </c>
      <c r="M654" s="91" t="str">
        <f t="shared" si="10"/>
        <v/>
      </c>
      <c r="N654" s="96"/>
      <c r="O654" s="95"/>
      <c r="P654" s="96"/>
      <c r="Q654" s="98"/>
    </row>
    <row r="655" spans="1:17" ht="15.75" x14ac:dyDescent="0.2">
      <c r="A655" s="17"/>
      <c r="B655" s="18"/>
      <c r="C655" s="87" t="str">
        <f>IF(B655="","",
IF(M655=$H$5,IFERROR(VLOOKUP(B655,'Baremos actuales'!A:E,5,FALSE),"No encontrado. Revisar código, fecha ejecución y/o contrato."),
IF(M655=$H$4,IFERROR(VLOOKUP(B655,'Baremos anteriores'!A:E,5,FALSE),"No encontrado. Revisar código, fecha ejecución y/o contrato."),
IF(M655=$H$3,IFERROR(VLOOKUP(B655,#REF!,5,FALSE),"No encontrado. Revisar código, fecha ejecución y/o contrato."),
IF(D655="","Código no encontrado",
IF(D655="ERROR","No encontrado. Revisar Código, fecha de ejecución y/o contrato.",
IF(D655="MATE",
IF(C654="DESCRIPCION","NO SE PUEDE COMENZAR SIN CÓDIGO DE TAREA",
IF(C654="","FALTA CÓDIGO DE TAREA",
CONCATENATE("          ",VLOOKUP(B655,'Maestro Materiales'!A:C,3,FALSE)))),IFERROR(VLOOKUP(B655,#REF!,5,FALSE),"No encontrado. Revisar código, fecha ejecución y/o contrato."))))))))</f>
        <v/>
      </c>
      <c r="D655" s="88" t="str">
        <f>IF(B655="","",
IFERROR(VLOOKUP(B655,'Maestro Materiales'!A:C,2,FALSE),
IFERROR(VLOOKUP(B655,'Baremos actuales'!A:B,2,FALSE),
IFERROR(VLOOKUP(B655,'Baremos anteriores'!A:B,2,FALSE),
""))))</f>
        <v/>
      </c>
      <c r="E655" s="9"/>
      <c r="F655" s="89" t="str">
        <f>IF(D655="MATE",
IF(E655="","¿Unidades?",""),
IF(D655="",IF(E655="","","¿Código?"),
IF(E655="","¿Unidades?",
IF(D655="TARE",
IF(M655=$H$3,IFERROR(VLOOKUP(B655,'Baremos actuales'!A:C,3,FALSE),0),
IF(M655=$H$4,IFERROR(VLOOKUP(B655,'Baremos anteriores'!A:C,3,FALSE),0),0))))))</f>
        <v/>
      </c>
      <c r="G655" s="7"/>
      <c r="H655" s="8"/>
      <c r="I655" s="8"/>
      <c r="J655" s="78" t="str">
        <f>IF($D655="","",
IF($E655="","",
IF($D655="MATE","",
IF(VLOOKUP($B655,'Baremos actuales'!A:D,4,FALSE)=J$9,$E655*$F655,IF(VLOOKUP($B655,'Baremos anteriores'!A:D,4,FALSE)="Sin Definir",$E655*$F655,"")))))</f>
        <v/>
      </c>
      <c r="K655" s="79" t="str">
        <f>IF($D655="","",
IF($E655="","",
IF($D655="MATE","",
IF(VLOOKUP($B655,'Baremos actuales'!$A:$D,4,FALSE)=K$9,$E655*$F655,IF(VLOOKUP($B655,'Baremos anteriores'!$A:$D,4,FALSE)="Desmonte",$E655*$F655,"")))))</f>
        <v/>
      </c>
      <c r="L655" s="80" t="str">
        <f>IF($D655="","",
IF($E655="","",
IF($D655="MATE","",
IF(VLOOKUP($B655,'Baremos actuales'!$A:$D,4,FALSE)=L$9,$E655*$F655,""))))</f>
        <v/>
      </c>
      <c r="M655" s="91" t="str">
        <f t="shared" si="10"/>
        <v/>
      </c>
      <c r="N655" s="96"/>
      <c r="O655" s="95"/>
      <c r="P655" s="96"/>
      <c r="Q655" s="98"/>
    </row>
    <row r="656" spans="1:17" ht="15.75" x14ac:dyDescent="0.2">
      <c r="A656" s="17"/>
      <c r="B656" s="18"/>
      <c r="C656" s="87" t="str">
        <f>IF(B656="","",
IF(M656=$H$5,IFERROR(VLOOKUP(B656,'Baremos actuales'!A:E,5,FALSE),"No encontrado. Revisar código, fecha ejecución y/o contrato."),
IF(M656=$H$4,IFERROR(VLOOKUP(B656,'Baremos anteriores'!A:E,5,FALSE),"No encontrado. Revisar código, fecha ejecución y/o contrato."),
IF(M656=$H$3,IFERROR(VLOOKUP(B656,#REF!,5,FALSE),"No encontrado. Revisar código, fecha ejecución y/o contrato."),
IF(D656="","Código no encontrado",
IF(D656="ERROR","No encontrado. Revisar Código, fecha de ejecución y/o contrato.",
IF(D656="MATE",
IF(C655="DESCRIPCION","NO SE PUEDE COMENZAR SIN CÓDIGO DE TAREA",
IF(C655="","FALTA CÓDIGO DE TAREA",
CONCATENATE("          ",VLOOKUP(B656,'Maestro Materiales'!A:C,3,FALSE)))),IFERROR(VLOOKUP(B656,#REF!,5,FALSE),"No encontrado. Revisar código, fecha ejecución y/o contrato."))))))))</f>
        <v/>
      </c>
      <c r="D656" s="88" t="str">
        <f>IF(B656="","",
IFERROR(VLOOKUP(B656,'Maestro Materiales'!A:C,2,FALSE),
IFERROR(VLOOKUP(B656,'Baremos actuales'!A:B,2,FALSE),
IFERROR(VLOOKUP(B656,'Baremos anteriores'!A:B,2,FALSE),
""))))</f>
        <v/>
      </c>
      <c r="E656" s="9"/>
      <c r="F656" s="89" t="str">
        <f>IF(D656="MATE",
IF(E656="","¿Unidades?",""),
IF(D656="",IF(E656="","","¿Código?"),
IF(E656="","¿Unidades?",
IF(D656="TARE",
IF(M656=$H$3,IFERROR(VLOOKUP(B656,'Baremos actuales'!A:C,3,FALSE),0),
IF(M656=$H$4,IFERROR(VLOOKUP(B656,'Baremos anteriores'!A:C,3,FALSE),0),0))))))</f>
        <v/>
      </c>
      <c r="G656" s="7"/>
      <c r="H656" s="8"/>
      <c r="I656" s="8"/>
      <c r="J656" s="78" t="str">
        <f>IF($D656="","",
IF($E656="","",
IF($D656="MATE","",
IF(VLOOKUP($B656,'Baremos actuales'!A:D,4,FALSE)=J$9,$E656*$F656,IF(VLOOKUP($B656,'Baremos anteriores'!A:D,4,FALSE)="Sin Definir",$E656*$F656,"")))))</f>
        <v/>
      </c>
      <c r="K656" s="79" t="str">
        <f>IF($D656="","",
IF($E656="","",
IF($D656="MATE","",
IF(VLOOKUP($B656,'Baremos actuales'!$A:$D,4,FALSE)=K$9,$E656*$F656,IF(VLOOKUP($B656,'Baremos anteriores'!$A:$D,4,FALSE)="Desmonte",$E656*$F656,"")))))</f>
        <v/>
      </c>
      <c r="L656" s="80" t="str">
        <f>IF($D656="","",
IF($E656="","",
IF($D656="MATE","",
IF(VLOOKUP($B656,'Baremos actuales'!$A:$D,4,FALSE)=L$9,$E656*$F656,""))))</f>
        <v/>
      </c>
      <c r="M656" s="91" t="str">
        <f t="shared" si="10"/>
        <v/>
      </c>
      <c r="N656" s="96"/>
      <c r="O656" s="95"/>
      <c r="P656" s="96"/>
      <c r="Q656" s="98"/>
    </row>
    <row r="657" spans="1:17" ht="15.75" x14ac:dyDescent="0.2">
      <c r="A657" s="17"/>
      <c r="B657" s="18"/>
      <c r="C657" s="87" t="str">
        <f>IF(B657="","",
IF(M657=$H$5,IFERROR(VLOOKUP(B657,'Baremos actuales'!A:E,5,FALSE),"No encontrado. Revisar código, fecha ejecución y/o contrato."),
IF(M657=$H$4,IFERROR(VLOOKUP(B657,'Baremos anteriores'!A:E,5,FALSE),"No encontrado. Revisar código, fecha ejecución y/o contrato."),
IF(M657=$H$3,IFERROR(VLOOKUP(B657,#REF!,5,FALSE),"No encontrado. Revisar código, fecha ejecución y/o contrato."),
IF(D657="","Código no encontrado",
IF(D657="ERROR","No encontrado. Revisar Código, fecha de ejecución y/o contrato.",
IF(D657="MATE",
IF(C656="DESCRIPCION","NO SE PUEDE COMENZAR SIN CÓDIGO DE TAREA",
IF(C656="","FALTA CÓDIGO DE TAREA",
CONCATENATE("          ",VLOOKUP(B657,'Maestro Materiales'!A:C,3,FALSE)))),IFERROR(VLOOKUP(B657,#REF!,5,FALSE),"No encontrado. Revisar código, fecha ejecución y/o contrato."))))))))</f>
        <v/>
      </c>
      <c r="D657" s="88" t="str">
        <f>IF(B657="","",
IFERROR(VLOOKUP(B657,'Maestro Materiales'!A:C,2,FALSE),
IFERROR(VLOOKUP(B657,'Baremos actuales'!A:B,2,FALSE),
IFERROR(VLOOKUP(B657,'Baremos anteriores'!A:B,2,FALSE),
""))))</f>
        <v/>
      </c>
      <c r="E657" s="9"/>
      <c r="F657" s="89" t="str">
        <f>IF(D657="MATE",
IF(E657="","¿Unidades?",""),
IF(D657="",IF(E657="","","¿Código?"),
IF(E657="","¿Unidades?",
IF(D657="TARE",
IF(M657=$H$3,IFERROR(VLOOKUP(B657,'Baremos actuales'!A:C,3,FALSE),0),
IF(M657=$H$4,IFERROR(VLOOKUP(B657,'Baremos anteriores'!A:C,3,FALSE),0),0))))))</f>
        <v/>
      </c>
      <c r="G657" s="7"/>
      <c r="H657" s="8"/>
      <c r="I657" s="8"/>
      <c r="J657" s="78" t="str">
        <f>IF($D657="","",
IF($E657="","",
IF($D657="MATE","",
IF(VLOOKUP($B657,'Baremos actuales'!A:D,4,FALSE)=J$9,$E657*$F657,IF(VLOOKUP($B657,'Baremos anteriores'!A:D,4,FALSE)="Sin Definir",$E657*$F657,"")))))</f>
        <v/>
      </c>
      <c r="K657" s="79" t="str">
        <f>IF($D657="","",
IF($E657="","",
IF($D657="MATE","",
IF(VLOOKUP($B657,'Baremos actuales'!$A:$D,4,FALSE)=K$9,$E657*$F657,IF(VLOOKUP($B657,'Baremos anteriores'!$A:$D,4,FALSE)="Desmonte",$E657*$F657,"")))))</f>
        <v/>
      </c>
      <c r="L657" s="80" t="str">
        <f>IF($D657="","",
IF($E657="","",
IF($D657="MATE","",
IF(VLOOKUP($B657,'Baremos actuales'!$A:$D,4,FALSE)=L$9,$E657*$F657,""))))</f>
        <v/>
      </c>
      <c r="M657" s="91" t="str">
        <f t="shared" si="10"/>
        <v/>
      </c>
      <c r="N657" s="96"/>
      <c r="O657" s="95"/>
      <c r="P657" s="96"/>
      <c r="Q657" s="98"/>
    </row>
    <row r="658" spans="1:17" ht="15.75" x14ac:dyDescent="0.2">
      <c r="A658" s="17"/>
      <c r="B658" s="18"/>
      <c r="C658" s="87" t="str">
        <f>IF(B658="","",
IF(M658=$H$5,IFERROR(VLOOKUP(B658,'Baremos actuales'!A:E,5,FALSE),"No encontrado. Revisar código, fecha ejecución y/o contrato."),
IF(M658=$H$4,IFERROR(VLOOKUP(B658,'Baremos anteriores'!A:E,5,FALSE),"No encontrado. Revisar código, fecha ejecución y/o contrato."),
IF(M658=$H$3,IFERROR(VLOOKUP(B658,#REF!,5,FALSE),"No encontrado. Revisar código, fecha ejecución y/o contrato."),
IF(D658="","Código no encontrado",
IF(D658="ERROR","No encontrado. Revisar Código, fecha de ejecución y/o contrato.",
IF(D658="MATE",
IF(C657="DESCRIPCION","NO SE PUEDE COMENZAR SIN CÓDIGO DE TAREA",
IF(C657="","FALTA CÓDIGO DE TAREA",
CONCATENATE("          ",VLOOKUP(B658,'Maestro Materiales'!A:C,3,FALSE)))),IFERROR(VLOOKUP(B658,#REF!,5,FALSE),"No encontrado. Revisar código, fecha ejecución y/o contrato."))))))))</f>
        <v/>
      </c>
      <c r="D658" s="88" t="str">
        <f>IF(B658="","",
IFERROR(VLOOKUP(B658,'Maestro Materiales'!A:C,2,FALSE),
IFERROR(VLOOKUP(B658,'Baremos actuales'!A:B,2,FALSE),
IFERROR(VLOOKUP(B658,'Baremos anteriores'!A:B,2,FALSE),
""))))</f>
        <v/>
      </c>
      <c r="E658" s="9"/>
      <c r="F658" s="89" t="str">
        <f>IF(D658="MATE",
IF(E658="","¿Unidades?",""),
IF(D658="",IF(E658="","","¿Código?"),
IF(E658="","¿Unidades?",
IF(D658="TARE",
IF(M658=$H$3,IFERROR(VLOOKUP(B658,'Baremos actuales'!A:C,3,FALSE),0),
IF(M658=$H$4,IFERROR(VLOOKUP(B658,'Baremos anteriores'!A:C,3,FALSE),0),0))))))</f>
        <v/>
      </c>
      <c r="G658" s="7"/>
      <c r="H658" s="8"/>
      <c r="I658" s="8"/>
      <c r="J658" s="78" t="str">
        <f>IF($D658="","",
IF($E658="","",
IF($D658="MATE","",
IF(VLOOKUP($B658,'Baremos actuales'!A:D,4,FALSE)=J$9,$E658*$F658,IF(VLOOKUP($B658,'Baremos anteriores'!A:D,4,FALSE)="Sin Definir",$E658*$F658,"")))))</f>
        <v/>
      </c>
      <c r="K658" s="79" t="str">
        <f>IF($D658="","",
IF($E658="","",
IF($D658="MATE","",
IF(VLOOKUP($B658,'Baremos actuales'!$A:$D,4,FALSE)=K$9,$E658*$F658,IF(VLOOKUP($B658,'Baremos anteriores'!$A:$D,4,FALSE)="Desmonte",$E658*$F658,"")))))</f>
        <v/>
      </c>
      <c r="L658" s="80" t="str">
        <f>IF($D658="","",
IF($E658="","",
IF($D658="MATE","",
IF(VLOOKUP($B658,'Baremos actuales'!$A:$D,4,FALSE)=L$9,$E658*$F658,""))))</f>
        <v/>
      </c>
      <c r="M658" s="91" t="str">
        <f t="shared" si="10"/>
        <v/>
      </c>
      <c r="N658" s="96"/>
      <c r="O658" s="95"/>
      <c r="P658" s="96"/>
      <c r="Q658" s="98"/>
    </row>
    <row r="659" spans="1:17" ht="15.75" x14ac:dyDescent="0.2">
      <c r="A659" s="17"/>
      <c r="B659" s="18"/>
      <c r="C659" s="87" t="str">
        <f>IF(B659="","",
IF(M659=$H$5,IFERROR(VLOOKUP(B659,'Baremos actuales'!A:E,5,FALSE),"No encontrado. Revisar código, fecha ejecución y/o contrato."),
IF(M659=$H$4,IFERROR(VLOOKUP(B659,'Baremos anteriores'!A:E,5,FALSE),"No encontrado. Revisar código, fecha ejecución y/o contrato."),
IF(M659=$H$3,IFERROR(VLOOKUP(B659,#REF!,5,FALSE),"No encontrado. Revisar código, fecha ejecución y/o contrato."),
IF(D659="","Código no encontrado",
IF(D659="ERROR","No encontrado. Revisar Código, fecha de ejecución y/o contrato.",
IF(D659="MATE",
IF(C658="DESCRIPCION","NO SE PUEDE COMENZAR SIN CÓDIGO DE TAREA",
IF(C658="","FALTA CÓDIGO DE TAREA",
CONCATENATE("          ",VLOOKUP(B659,'Maestro Materiales'!A:C,3,FALSE)))),IFERROR(VLOOKUP(B659,#REF!,5,FALSE),"No encontrado. Revisar código, fecha ejecución y/o contrato."))))))))</f>
        <v/>
      </c>
      <c r="D659" s="88" t="str">
        <f>IF(B659="","",
IFERROR(VLOOKUP(B659,'Maestro Materiales'!A:C,2,FALSE),
IFERROR(VLOOKUP(B659,'Baremos actuales'!A:B,2,FALSE),
IFERROR(VLOOKUP(B659,'Baremos anteriores'!A:B,2,FALSE),
""))))</f>
        <v/>
      </c>
      <c r="E659" s="9"/>
      <c r="F659" s="89" t="str">
        <f>IF(D659="MATE",
IF(E659="","¿Unidades?",""),
IF(D659="",IF(E659="","","¿Código?"),
IF(E659="","¿Unidades?",
IF(D659="TARE",
IF(M659=$H$3,IFERROR(VLOOKUP(B659,'Baremos actuales'!A:C,3,FALSE),0),
IF(M659=$H$4,IFERROR(VLOOKUP(B659,'Baremos anteriores'!A:C,3,FALSE),0),0))))))</f>
        <v/>
      </c>
      <c r="G659" s="7"/>
      <c r="H659" s="8"/>
      <c r="I659" s="8"/>
      <c r="J659" s="78" t="str">
        <f>IF($D659="","",
IF($E659="","",
IF($D659="MATE","",
IF(VLOOKUP($B659,'Baremos actuales'!A:D,4,FALSE)=J$9,$E659*$F659,IF(VLOOKUP($B659,'Baremos anteriores'!A:D,4,FALSE)="Sin Definir",$E659*$F659,"")))))</f>
        <v/>
      </c>
      <c r="K659" s="79" t="str">
        <f>IF($D659="","",
IF($E659="","",
IF($D659="MATE","",
IF(VLOOKUP($B659,'Baremos actuales'!$A:$D,4,FALSE)=K$9,$E659*$F659,IF(VLOOKUP($B659,'Baremos anteriores'!$A:$D,4,FALSE)="Desmonte",$E659*$F659,"")))))</f>
        <v/>
      </c>
      <c r="L659" s="80" t="str">
        <f>IF($D659="","",
IF($E659="","",
IF($D659="MATE","",
IF(VLOOKUP($B659,'Baremos actuales'!$A:$D,4,FALSE)=L$9,$E659*$F659,""))))</f>
        <v/>
      </c>
      <c r="M659" s="91" t="str">
        <f t="shared" si="10"/>
        <v/>
      </c>
      <c r="N659" s="96"/>
      <c r="O659" s="95"/>
      <c r="P659" s="96"/>
      <c r="Q659" s="98"/>
    </row>
    <row r="660" spans="1:17" ht="15.75" x14ac:dyDescent="0.2">
      <c r="A660" s="17"/>
      <c r="B660" s="18"/>
      <c r="C660" s="87" t="str">
        <f>IF(B660="","",
IF(M660=$H$5,IFERROR(VLOOKUP(B660,'Baremos actuales'!A:E,5,FALSE),"No encontrado. Revisar código, fecha ejecución y/o contrato."),
IF(M660=$H$4,IFERROR(VLOOKUP(B660,'Baremos anteriores'!A:E,5,FALSE),"No encontrado. Revisar código, fecha ejecución y/o contrato."),
IF(M660=$H$3,IFERROR(VLOOKUP(B660,#REF!,5,FALSE),"No encontrado. Revisar código, fecha ejecución y/o contrato."),
IF(D660="","Código no encontrado",
IF(D660="ERROR","No encontrado. Revisar Código, fecha de ejecución y/o contrato.",
IF(D660="MATE",
IF(C659="DESCRIPCION","NO SE PUEDE COMENZAR SIN CÓDIGO DE TAREA",
IF(C659="","FALTA CÓDIGO DE TAREA",
CONCATENATE("          ",VLOOKUP(B660,'Maestro Materiales'!A:C,3,FALSE)))),IFERROR(VLOOKUP(B660,#REF!,5,FALSE),"No encontrado. Revisar código, fecha ejecución y/o contrato."))))))))</f>
        <v/>
      </c>
      <c r="D660" s="88" t="str">
        <f>IF(B660="","",
IFERROR(VLOOKUP(B660,'Maestro Materiales'!A:C,2,FALSE),
IFERROR(VLOOKUP(B660,'Baremos actuales'!A:B,2,FALSE),
IFERROR(VLOOKUP(B660,'Baremos anteriores'!A:B,2,FALSE),
""))))</f>
        <v/>
      </c>
      <c r="E660" s="9"/>
      <c r="F660" s="89" t="str">
        <f>IF(D660="MATE",
IF(E660="","¿Unidades?",""),
IF(D660="",IF(E660="","","¿Código?"),
IF(E660="","¿Unidades?",
IF(D660="TARE",
IF(M660=$H$3,IFERROR(VLOOKUP(B660,'Baremos actuales'!A:C,3,FALSE),0),
IF(M660=$H$4,IFERROR(VLOOKUP(B660,'Baremos anteriores'!A:C,3,FALSE),0),0))))))</f>
        <v/>
      </c>
      <c r="G660" s="7"/>
      <c r="H660" s="8"/>
      <c r="I660" s="8"/>
      <c r="J660" s="78" t="str">
        <f>IF($D660="","",
IF($E660="","",
IF($D660="MATE","",
IF(VLOOKUP($B660,'Baremos actuales'!A:D,4,FALSE)=J$9,$E660*$F660,IF(VLOOKUP($B660,'Baremos anteriores'!A:D,4,FALSE)="Sin Definir",$E660*$F660,"")))))</f>
        <v/>
      </c>
      <c r="K660" s="79" t="str">
        <f>IF($D660="","",
IF($E660="","",
IF($D660="MATE","",
IF(VLOOKUP($B660,'Baremos actuales'!$A:$D,4,FALSE)=K$9,$E660*$F660,IF(VLOOKUP($B660,'Baremos anteriores'!$A:$D,4,FALSE)="Desmonte",$E660*$F660,"")))))</f>
        <v/>
      </c>
      <c r="L660" s="80" t="str">
        <f>IF($D660="","",
IF($E660="","",
IF($D660="MATE","",
IF(VLOOKUP($B660,'Baremos actuales'!$A:$D,4,FALSE)=L$9,$E660*$F660,""))))</f>
        <v/>
      </c>
      <c r="M660" s="91" t="str">
        <f t="shared" si="10"/>
        <v/>
      </c>
      <c r="N660" s="96"/>
      <c r="O660" s="95"/>
      <c r="P660" s="96"/>
      <c r="Q660" s="98"/>
    </row>
    <row r="661" spans="1:17" ht="15.75" x14ac:dyDescent="0.2">
      <c r="A661" s="17"/>
      <c r="B661" s="18"/>
      <c r="C661" s="87" t="str">
        <f>IF(B661="","",
IF(M661=$H$5,IFERROR(VLOOKUP(B661,'Baremos actuales'!A:E,5,FALSE),"No encontrado. Revisar código, fecha ejecución y/o contrato."),
IF(M661=$H$4,IFERROR(VLOOKUP(B661,'Baremos anteriores'!A:E,5,FALSE),"No encontrado. Revisar código, fecha ejecución y/o contrato."),
IF(M661=$H$3,IFERROR(VLOOKUP(B661,#REF!,5,FALSE),"No encontrado. Revisar código, fecha ejecución y/o contrato."),
IF(D661="","Código no encontrado",
IF(D661="ERROR","No encontrado. Revisar Código, fecha de ejecución y/o contrato.",
IF(D661="MATE",
IF(C660="DESCRIPCION","NO SE PUEDE COMENZAR SIN CÓDIGO DE TAREA",
IF(C660="","FALTA CÓDIGO DE TAREA",
CONCATENATE("          ",VLOOKUP(B661,'Maestro Materiales'!A:C,3,FALSE)))),IFERROR(VLOOKUP(B661,#REF!,5,FALSE),"No encontrado. Revisar código, fecha ejecución y/o contrato."))))))))</f>
        <v/>
      </c>
      <c r="D661" s="88" t="str">
        <f>IF(B661="","",
IFERROR(VLOOKUP(B661,'Maestro Materiales'!A:C,2,FALSE),
IFERROR(VLOOKUP(B661,'Baremos actuales'!A:B,2,FALSE),
IFERROR(VLOOKUP(B661,'Baremos anteriores'!A:B,2,FALSE),
""))))</f>
        <v/>
      </c>
      <c r="E661" s="9"/>
      <c r="F661" s="89" t="str">
        <f>IF(D661="MATE",
IF(E661="","¿Unidades?",""),
IF(D661="",IF(E661="","","¿Código?"),
IF(E661="","¿Unidades?",
IF(D661="TARE",
IF(M661=$H$3,IFERROR(VLOOKUP(B661,'Baremos actuales'!A:C,3,FALSE),0),
IF(M661=$H$4,IFERROR(VLOOKUP(B661,'Baremos anteriores'!A:C,3,FALSE),0),0))))))</f>
        <v/>
      </c>
      <c r="G661" s="7"/>
      <c r="H661" s="8"/>
      <c r="I661" s="8"/>
      <c r="J661" s="78" t="str">
        <f>IF($D661="","",
IF($E661="","",
IF($D661="MATE","",
IF(VLOOKUP($B661,'Baremos actuales'!A:D,4,FALSE)=J$9,$E661*$F661,IF(VLOOKUP($B661,'Baremos anteriores'!A:D,4,FALSE)="Sin Definir",$E661*$F661,"")))))</f>
        <v/>
      </c>
      <c r="K661" s="79" t="str">
        <f>IF($D661="","",
IF($E661="","",
IF($D661="MATE","",
IF(VLOOKUP($B661,'Baremos actuales'!$A:$D,4,FALSE)=K$9,$E661*$F661,IF(VLOOKUP($B661,'Baremos anteriores'!$A:$D,4,FALSE)="Desmonte",$E661*$F661,"")))))</f>
        <v/>
      </c>
      <c r="L661" s="80" t="str">
        <f>IF($D661="","",
IF($E661="","",
IF($D661="MATE","",
IF(VLOOKUP($B661,'Baremos actuales'!$A:$D,4,FALSE)=L$9,$E661*$F661,""))))</f>
        <v/>
      </c>
      <c r="M661" s="91" t="str">
        <f t="shared" si="10"/>
        <v/>
      </c>
      <c r="N661" s="96"/>
      <c r="O661" s="95"/>
      <c r="P661" s="96"/>
      <c r="Q661" s="98"/>
    </row>
    <row r="662" spans="1:17" ht="15.75" x14ac:dyDescent="0.2">
      <c r="A662" s="17"/>
      <c r="B662" s="18"/>
      <c r="C662" s="87" t="str">
        <f>IF(B662="","",
IF(M662=$H$5,IFERROR(VLOOKUP(B662,'Baremos actuales'!A:E,5,FALSE),"No encontrado. Revisar código, fecha ejecución y/o contrato."),
IF(M662=$H$4,IFERROR(VLOOKUP(B662,'Baremos anteriores'!A:E,5,FALSE),"No encontrado. Revisar código, fecha ejecución y/o contrato."),
IF(M662=$H$3,IFERROR(VLOOKUP(B662,#REF!,5,FALSE),"No encontrado. Revisar código, fecha ejecución y/o contrato."),
IF(D662="","Código no encontrado",
IF(D662="ERROR","No encontrado. Revisar Código, fecha de ejecución y/o contrato.",
IF(D662="MATE",
IF(C661="DESCRIPCION","NO SE PUEDE COMENZAR SIN CÓDIGO DE TAREA",
IF(C661="","FALTA CÓDIGO DE TAREA",
CONCATENATE("          ",VLOOKUP(B662,'Maestro Materiales'!A:C,3,FALSE)))),IFERROR(VLOOKUP(B662,#REF!,5,FALSE),"No encontrado. Revisar código, fecha ejecución y/o contrato."))))))))</f>
        <v/>
      </c>
      <c r="D662" s="88" t="str">
        <f>IF(B662="","",
IFERROR(VLOOKUP(B662,'Maestro Materiales'!A:C,2,FALSE),
IFERROR(VLOOKUP(B662,'Baremos actuales'!A:B,2,FALSE),
IFERROR(VLOOKUP(B662,'Baremos anteriores'!A:B,2,FALSE),
""))))</f>
        <v/>
      </c>
      <c r="E662" s="9"/>
      <c r="F662" s="89" t="str">
        <f>IF(D662="MATE",
IF(E662="","¿Unidades?",""),
IF(D662="",IF(E662="","","¿Código?"),
IF(E662="","¿Unidades?",
IF(D662="TARE",
IF(M662=$H$3,IFERROR(VLOOKUP(B662,'Baremos actuales'!A:C,3,FALSE),0),
IF(M662=$H$4,IFERROR(VLOOKUP(B662,'Baremos anteriores'!A:C,3,FALSE),0),0))))))</f>
        <v/>
      </c>
      <c r="G662" s="7"/>
      <c r="H662" s="8"/>
      <c r="I662" s="8"/>
      <c r="J662" s="78" t="str">
        <f>IF($D662="","",
IF($E662="","",
IF($D662="MATE","",
IF(VLOOKUP($B662,'Baremos actuales'!A:D,4,FALSE)=J$9,$E662*$F662,IF(VLOOKUP($B662,'Baremos anteriores'!A:D,4,FALSE)="Sin Definir",$E662*$F662,"")))))</f>
        <v/>
      </c>
      <c r="K662" s="79" t="str">
        <f>IF($D662="","",
IF($E662="","",
IF($D662="MATE","",
IF(VLOOKUP($B662,'Baremos actuales'!$A:$D,4,FALSE)=K$9,$E662*$F662,IF(VLOOKUP($B662,'Baremos anteriores'!$A:$D,4,FALSE)="Desmonte",$E662*$F662,"")))))</f>
        <v/>
      </c>
      <c r="L662" s="80" t="str">
        <f>IF($D662="","",
IF($E662="","",
IF($D662="MATE","",
IF(VLOOKUP($B662,'Baremos actuales'!$A:$D,4,FALSE)=L$9,$E662*$F662,""))))</f>
        <v/>
      </c>
      <c r="M662" s="91" t="str">
        <f t="shared" si="10"/>
        <v/>
      </c>
      <c r="N662" s="96"/>
      <c r="O662" s="95"/>
      <c r="P662" s="96"/>
      <c r="Q662" s="98"/>
    </row>
    <row r="663" spans="1:17" ht="15.75" x14ac:dyDescent="0.2">
      <c r="A663" s="17"/>
      <c r="B663" s="18"/>
      <c r="C663" s="87" t="str">
        <f>IF(B663="","",
IF(M663=$H$5,IFERROR(VLOOKUP(B663,'Baremos actuales'!A:E,5,FALSE),"No encontrado. Revisar código, fecha ejecución y/o contrato."),
IF(M663=$H$4,IFERROR(VLOOKUP(B663,'Baremos anteriores'!A:E,5,FALSE),"No encontrado. Revisar código, fecha ejecución y/o contrato."),
IF(M663=$H$3,IFERROR(VLOOKUP(B663,#REF!,5,FALSE),"No encontrado. Revisar código, fecha ejecución y/o contrato."),
IF(D663="","Código no encontrado",
IF(D663="ERROR","No encontrado. Revisar Código, fecha de ejecución y/o contrato.",
IF(D663="MATE",
IF(C662="DESCRIPCION","NO SE PUEDE COMENZAR SIN CÓDIGO DE TAREA",
IF(C662="","FALTA CÓDIGO DE TAREA",
CONCATENATE("          ",VLOOKUP(B663,'Maestro Materiales'!A:C,3,FALSE)))),IFERROR(VLOOKUP(B663,#REF!,5,FALSE),"No encontrado. Revisar código, fecha ejecución y/o contrato."))))))))</f>
        <v/>
      </c>
      <c r="D663" s="88" t="str">
        <f>IF(B663="","",
IFERROR(VLOOKUP(B663,'Maestro Materiales'!A:C,2,FALSE),
IFERROR(VLOOKUP(B663,'Baremos actuales'!A:B,2,FALSE),
IFERROR(VLOOKUP(B663,'Baremos anteriores'!A:B,2,FALSE),
""))))</f>
        <v/>
      </c>
      <c r="E663" s="9"/>
      <c r="F663" s="89" t="str">
        <f>IF(D663="MATE",
IF(E663="","¿Unidades?",""),
IF(D663="",IF(E663="","","¿Código?"),
IF(E663="","¿Unidades?",
IF(D663="TARE",
IF(M663=$H$3,IFERROR(VLOOKUP(B663,'Baremos actuales'!A:C,3,FALSE),0),
IF(M663=$H$4,IFERROR(VLOOKUP(B663,'Baremos anteriores'!A:C,3,FALSE),0),0))))))</f>
        <v/>
      </c>
      <c r="G663" s="7"/>
      <c r="H663" s="8"/>
      <c r="I663" s="8"/>
      <c r="J663" s="78" t="str">
        <f>IF($D663="","",
IF($E663="","",
IF($D663="MATE","",
IF(VLOOKUP($B663,'Baremos actuales'!A:D,4,FALSE)=J$9,$E663*$F663,IF(VLOOKUP($B663,'Baremos anteriores'!A:D,4,FALSE)="Sin Definir",$E663*$F663,"")))))</f>
        <v/>
      </c>
      <c r="K663" s="79" t="str">
        <f>IF($D663="","",
IF($E663="","",
IF($D663="MATE","",
IF(VLOOKUP($B663,'Baremos actuales'!$A:$D,4,FALSE)=K$9,$E663*$F663,IF(VLOOKUP($B663,'Baremos anteriores'!$A:$D,4,FALSE)="Desmonte",$E663*$F663,"")))))</f>
        <v/>
      </c>
      <c r="L663" s="80" t="str">
        <f>IF($D663="","",
IF($E663="","",
IF($D663="MATE","",
IF(VLOOKUP($B663,'Baremos actuales'!$A:$D,4,FALSE)=L$9,$E663*$F663,""))))</f>
        <v/>
      </c>
      <c r="M663" s="91" t="str">
        <f t="shared" si="10"/>
        <v/>
      </c>
      <c r="N663" s="96"/>
      <c r="O663" s="95"/>
      <c r="P663" s="96"/>
      <c r="Q663" s="98"/>
    </row>
    <row r="664" spans="1:17" ht="15.75" x14ac:dyDescent="0.2">
      <c r="A664" s="17"/>
      <c r="B664" s="18"/>
      <c r="C664" s="87" t="str">
        <f>IF(B664="","",
IF(M664=$H$5,IFERROR(VLOOKUP(B664,'Baremos actuales'!A:E,5,FALSE),"No encontrado. Revisar código, fecha ejecución y/o contrato."),
IF(M664=$H$4,IFERROR(VLOOKUP(B664,'Baremos anteriores'!A:E,5,FALSE),"No encontrado. Revisar código, fecha ejecución y/o contrato."),
IF(M664=$H$3,IFERROR(VLOOKUP(B664,#REF!,5,FALSE),"No encontrado. Revisar código, fecha ejecución y/o contrato."),
IF(D664="","Código no encontrado",
IF(D664="ERROR","No encontrado. Revisar Código, fecha de ejecución y/o contrato.",
IF(D664="MATE",
IF(C663="DESCRIPCION","NO SE PUEDE COMENZAR SIN CÓDIGO DE TAREA",
IF(C663="","FALTA CÓDIGO DE TAREA",
CONCATENATE("          ",VLOOKUP(B664,'Maestro Materiales'!A:C,3,FALSE)))),IFERROR(VLOOKUP(B664,#REF!,5,FALSE),"No encontrado. Revisar código, fecha ejecución y/o contrato."))))))))</f>
        <v/>
      </c>
      <c r="D664" s="88" t="str">
        <f>IF(B664="","",
IFERROR(VLOOKUP(B664,'Maestro Materiales'!A:C,2,FALSE),
IFERROR(VLOOKUP(B664,'Baremos actuales'!A:B,2,FALSE),
IFERROR(VLOOKUP(B664,'Baremos anteriores'!A:B,2,FALSE),
""))))</f>
        <v/>
      </c>
      <c r="E664" s="9"/>
      <c r="F664" s="89" t="str">
        <f>IF(D664="MATE",
IF(E664="","¿Unidades?",""),
IF(D664="",IF(E664="","","¿Código?"),
IF(E664="","¿Unidades?",
IF(D664="TARE",
IF(M664=$H$3,IFERROR(VLOOKUP(B664,'Baremos actuales'!A:C,3,FALSE),0),
IF(M664=$H$4,IFERROR(VLOOKUP(B664,'Baremos anteriores'!A:C,3,FALSE),0),0))))))</f>
        <v/>
      </c>
      <c r="G664" s="7"/>
      <c r="H664" s="8"/>
      <c r="I664" s="8"/>
      <c r="J664" s="78" t="str">
        <f>IF($D664="","",
IF($E664="","",
IF($D664="MATE","",
IF(VLOOKUP($B664,'Baremos actuales'!A:D,4,FALSE)=J$9,$E664*$F664,IF(VLOOKUP($B664,'Baremos anteriores'!A:D,4,FALSE)="Sin Definir",$E664*$F664,"")))))</f>
        <v/>
      </c>
      <c r="K664" s="79" t="str">
        <f>IF($D664="","",
IF($E664="","",
IF($D664="MATE","",
IF(VLOOKUP($B664,'Baremos actuales'!$A:$D,4,FALSE)=K$9,$E664*$F664,IF(VLOOKUP($B664,'Baremos anteriores'!$A:$D,4,FALSE)="Desmonte",$E664*$F664,"")))))</f>
        <v/>
      </c>
      <c r="L664" s="80" t="str">
        <f>IF($D664="","",
IF($E664="","",
IF($D664="MATE","",
IF(VLOOKUP($B664,'Baremos actuales'!$A:$D,4,FALSE)=L$9,$E664*$F664,""))))</f>
        <v/>
      </c>
      <c r="M664" s="91" t="str">
        <f t="shared" si="10"/>
        <v/>
      </c>
      <c r="N664" s="96"/>
      <c r="O664" s="95"/>
      <c r="P664" s="96"/>
      <c r="Q664" s="98"/>
    </row>
    <row r="665" spans="1:17" ht="15.75" x14ac:dyDescent="0.2">
      <c r="A665" s="17"/>
      <c r="B665" s="18"/>
      <c r="C665" s="87" t="str">
        <f>IF(B665="","",
IF(M665=$H$5,IFERROR(VLOOKUP(B665,'Baremos actuales'!A:E,5,FALSE),"No encontrado. Revisar código, fecha ejecución y/o contrato."),
IF(M665=$H$4,IFERROR(VLOOKUP(B665,'Baremos anteriores'!A:E,5,FALSE),"No encontrado. Revisar código, fecha ejecución y/o contrato."),
IF(M665=$H$3,IFERROR(VLOOKUP(B665,#REF!,5,FALSE),"No encontrado. Revisar código, fecha ejecución y/o contrato."),
IF(D665="","Código no encontrado",
IF(D665="ERROR","No encontrado. Revisar Código, fecha de ejecución y/o contrato.",
IF(D665="MATE",
IF(C664="DESCRIPCION","NO SE PUEDE COMENZAR SIN CÓDIGO DE TAREA",
IF(C664="","FALTA CÓDIGO DE TAREA",
CONCATENATE("          ",VLOOKUP(B665,'Maestro Materiales'!A:C,3,FALSE)))),IFERROR(VLOOKUP(B665,#REF!,5,FALSE),"No encontrado. Revisar código, fecha ejecución y/o contrato."))))))))</f>
        <v/>
      </c>
      <c r="D665" s="88" t="str">
        <f>IF(B665="","",
IFERROR(VLOOKUP(B665,'Maestro Materiales'!A:C,2,FALSE),
IFERROR(VLOOKUP(B665,'Baremos actuales'!A:B,2,FALSE),
IFERROR(VLOOKUP(B665,'Baremos anteriores'!A:B,2,FALSE),
""))))</f>
        <v/>
      </c>
      <c r="E665" s="9"/>
      <c r="F665" s="89" t="str">
        <f>IF(D665="MATE",
IF(E665="","¿Unidades?",""),
IF(D665="",IF(E665="","","¿Código?"),
IF(E665="","¿Unidades?",
IF(D665="TARE",
IF(M665=$H$3,IFERROR(VLOOKUP(B665,'Baremos actuales'!A:C,3,FALSE),0),
IF(M665=$H$4,IFERROR(VLOOKUP(B665,'Baremos anteriores'!A:C,3,FALSE),0),0))))))</f>
        <v/>
      </c>
      <c r="G665" s="7"/>
      <c r="H665" s="8"/>
      <c r="I665" s="8"/>
      <c r="J665" s="78" t="str">
        <f>IF($D665="","",
IF($E665="","",
IF($D665="MATE","",
IF(VLOOKUP($B665,'Baremos actuales'!A:D,4,FALSE)=J$9,$E665*$F665,IF(VLOOKUP($B665,'Baremos anteriores'!A:D,4,FALSE)="Sin Definir",$E665*$F665,"")))))</f>
        <v/>
      </c>
      <c r="K665" s="79" t="str">
        <f>IF($D665="","",
IF($E665="","",
IF($D665="MATE","",
IF(VLOOKUP($B665,'Baremos actuales'!$A:$D,4,FALSE)=K$9,$E665*$F665,IF(VLOOKUP($B665,'Baremos anteriores'!$A:$D,4,FALSE)="Desmonte",$E665*$F665,"")))))</f>
        <v/>
      </c>
      <c r="L665" s="80" t="str">
        <f>IF($D665="","",
IF($E665="","",
IF($D665="MATE","",
IF(VLOOKUP($B665,'Baremos actuales'!$A:$D,4,FALSE)=L$9,$E665*$F665,""))))</f>
        <v/>
      </c>
      <c r="M665" s="91" t="str">
        <f t="shared" si="10"/>
        <v/>
      </c>
      <c r="N665" s="96"/>
      <c r="O665" s="95"/>
      <c r="P665" s="96"/>
      <c r="Q665" s="98"/>
    </row>
    <row r="666" spans="1:17" ht="15.75" x14ac:dyDescent="0.2">
      <c r="A666" s="17"/>
      <c r="B666" s="18"/>
      <c r="C666" s="87" t="str">
        <f>IF(B666="","",
IF(M666=$H$5,IFERROR(VLOOKUP(B666,'Baremos actuales'!A:E,5,FALSE),"No encontrado. Revisar código, fecha ejecución y/o contrato."),
IF(M666=$H$4,IFERROR(VLOOKUP(B666,'Baremos anteriores'!A:E,5,FALSE),"No encontrado. Revisar código, fecha ejecución y/o contrato."),
IF(M666=$H$3,IFERROR(VLOOKUP(B666,#REF!,5,FALSE),"No encontrado. Revisar código, fecha ejecución y/o contrato."),
IF(D666="","Código no encontrado",
IF(D666="ERROR","No encontrado. Revisar Código, fecha de ejecución y/o contrato.",
IF(D666="MATE",
IF(C665="DESCRIPCION","NO SE PUEDE COMENZAR SIN CÓDIGO DE TAREA",
IF(C665="","FALTA CÓDIGO DE TAREA",
CONCATENATE("          ",VLOOKUP(B666,'Maestro Materiales'!A:C,3,FALSE)))),IFERROR(VLOOKUP(B666,#REF!,5,FALSE),"No encontrado. Revisar código, fecha ejecución y/o contrato."))))))))</f>
        <v/>
      </c>
      <c r="D666" s="88" t="str">
        <f>IF(B666="","",
IFERROR(VLOOKUP(B666,'Maestro Materiales'!A:C,2,FALSE),
IFERROR(VLOOKUP(B666,'Baremos actuales'!A:B,2,FALSE),
IFERROR(VLOOKUP(B666,'Baremos anteriores'!A:B,2,FALSE),
""))))</f>
        <v/>
      </c>
      <c r="E666" s="9"/>
      <c r="F666" s="89" t="str">
        <f>IF(D666="MATE",
IF(E666="","¿Unidades?",""),
IF(D666="",IF(E666="","","¿Código?"),
IF(E666="","¿Unidades?",
IF(D666="TARE",
IF(M666=$H$3,IFERROR(VLOOKUP(B666,'Baremos actuales'!A:C,3,FALSE),0),
IF(M666=$H$4,IFERROR(VLOOKUP(B666,'Baremos anteriores'!A:C,3,FALSE),0),0))))))</f>
        <v/>
      </c>
      <c r="G666" s="7"/>
      <c r="H666" s="8"/>
      <c r="I666" s="8"/>
      <c r="J666" s="78" t="str">
        <f>IF($D666="","",
IF($E666="","",
IF($D666="MATE","",
IF(VLOOKUP($B666,'Baremos actuales'!A:D,4,FALSE)=J$9,$E666*$F666,IF(VLOOKUP($B666,'Baremos anteriores'!A:D,4,FALSE)="Sin Definir",$E666*$F666,"")))))</f>
        <v/>
      </c>
      <c r="K666" s="79" t="str">
        <f>IF($D666="","",
IF($E666="","",
IF($D666="MATE","",
IF(VLOOKUP($B666,'Baremos actuales'!$A:$D,4,FALSE)=K$9,$E666*$F666,IF(VLOOKUP($B666,'Baremos anteriores'!$A:$D,4,FALSE)="Desmonte",$E666*$F666,"")))))</f>
        <v/>
      </c>
      <c r="L666" s="80" t="str">
        <f>IF($D666="","",
IF($E666="","",
IF($D666="MATE","",
IF(VLOOKUP($B666,'Baremos actuales'!$A:$D,4,FALSE)=L$9,$E666*$F666,""))))</f>
        <v/>
      </c>
      <c r="M666" s="91" t="str">
        <f t="shared" si="10"/>
        <v/>
      </c>
      <c r="N666" s="96"/>
      <c r="O666" s="95"/>
      <c r="P666" s="96"/>
      <c r="Q666" s="98"/>
    </row>
    <row r="667" spans="1:17" ht="15.75" x14ac:dyDescent="0.2">
      <c r="A667" s="17"/>
      <c r="B667" s="18"/>
      <c r="C667" s="87" t="str">
        <f>IF(B667="","",
IF(M667=$H$5,IFERROR(VLOOKUP(B667,'Baremos actuales'!A:E,5,FALSE),"No encontrado. Revisar código, fecha ejecución y/o contrato."),
IF(M667=$H$4,IFERROR(VLOOKUP(B667,'Baremos anteriores'!A:E,5,FALSE),"No encontrado. Revisar código, fecha ejecución y/o contrato."),
IF(M667=$H$3,IFERROR(VLOOKUP(B667,#REF!,5,FALSE),"No encontrado. Revisar código, fecha ejecución y/o contrato."),
IF(D667="","Código no encontrado",
IF(D667="ERROR","No encontrado. Revisar Código, fecha de ejecución y/o contrato.",
IF(D667="MATE",
IF(C666="DESCRIPCION","NO SE PUEDE COMENZAR SIN CÓDIGO DE TAREA",
IF(C666="","FALTA CÓDIGO DE TAREA",
CONCATENATE("          ",VLOOKUP(B667,'Maestro Materiales'!A:C,3,FALSE)))),IFERROR(VLOOKUP(B667,#REF!,5,FALSE),"No encontrado. Revisar código, fecha ejecución y/o contrato."))))))))</f>
        <v/>
      </c>
      <c r="D667" s="88" t="str">
        <f>IF(B667="","",
IFERROR(VLOOKUP(B667,'Maestro Materiales'!A:C,2,FALSE),
IFERROR(VLOOKUP(B667,'Baremos actuales'!A:B,2,FALSE),
IFERROR(VLOOKUP(B667,'Baremos anteriores'!A:B,2,FALSE),
""))))</f>
        <v/>
      </c>
      <c r="E667" s="9"/>
      <c r="F667" s="89" t="str">
        <f>IF(D667="MATE",
IF(E667="","¿Unidades?",""),
IF(D667="",IF(E667="","","¿Código?"),
IF(E667="","¿Unidades?",
IF(D667="TARE",
IF(M667=$H$3,IFERROR(VLOOKUP(B667,'Baremos actuales'!A:C,3,FALSE),0),
IF(M667=$H$4,IFERROR(VLOOKUP(B667,'Baremos anteriores'!A:C,3,FALSE),0),0))))))</f>
        <v/>
      </c>
      <c r="G667" s="7"/>
      <c r="H667" s="8"/>
      <c r="I667" s="8"/>
      <c r="J667" s="78" t="str">
        <f>IF($D667="","",
IF($E667="","",
IF($D667="MATE","",
IF(VLOOKUP($B667,'Baremos actuales'!A:D,4,FALSE)=J$9,$E667*$F667,IF(VLOOKUP($B667,'Baremos anteriores'!A:D,4,FALSE)="Sin Definir",$E667*$F667,"")))))</f>
        <v/>
      </c>
      <c r="K667" s="79" t="str">
        <f>IF($D667="","",
IF($E667="","",
IF($D667="MATE","",
IF(VLOOKUP($B667,'Baremos actuales'!$A:$D,4,FALSE)=K$9,$E667*$F667,IF(VLOOKUP($B667,'Baremos anteriores'!$A:$D,4,FALSE)="Desmonte",$E667*$F667,"")))))</f>
        <v/>
      </c>
      <c r="L667" s="80" t="str">
        <f>IF($D667="","",
IF($E667="","",
IF($D667="MATE","",
IF(VLOOKUP($B667,'Baremos actuales'!$A:$D,4,FALSE)=L$9,$E667*$F667,""))))</f>
        <v/>
      </c>
      <c r="M667" s="91" t="str">
        <f t="shared" si="10"/>
        <v/>
      </c>
      <c r="N667" s="96"/>
      <c r="O667" s="95"/>
      <c r="P667" s="96"/>
      <c r="Q667" s="98"/>
    </row>
    <row r="668" spans="1:17" ht="15.75" x14ac:dyDescent="0.2">
      <c r="A668" s="17"/>
      <c r="B668" s="18"/>
      <c r="C668" s="87" t="str">
        <f>IF(B668="","",
IF(M668=$H$5,IFERROR(VLOOKUP(B668,'Baremos actuales'!A:E,5,FALSE),"No encontrado. Revisar código, fecha ejecución y/o contrato."),
IF(M668=$H$4,IFERROR(VLOOKUP(B668,'Baremos anteriores'!A:E,5,FALSE),"No encontrado. Revisar código, fecha ejecución y/o contrato."),
IF(M668=$H$3,IFERROR(VLOOKUP(B668,#REF!,5,FALSE),"No encontrado. Revisar código, fecha ejecución y/o contrato."),
IF(D668="","Código no encontrado",
IF(D668="ERROR","No encontrado. Revisar Código, fecha de ejecución y/o contrato.",
IF(D668="MATE",
IF(C667="DESCRIPCION","NO SE PUEDE COMENZAR SIN CÓDIGO DE TAREA",
IF(C667="","FALTA CÓDIGO DE TAREA",
CONCATENATE("          ",VLOOKUP(B668,'Maestro Materiales'!A:C,3,FALSE)))),IFERROR(VLOOKUP(B668,#REF!,5,FALSE),"No encontrado. Revisar código, fecha ejecución y/o contrato."))))))))</f>
        <v/>
      </c>
      <c r="D668" s="88" t="str">
        <f>IF(B668="","",
IFERROR(VLOOKUP(B668,'Maestro Materiales'!A:C,2,FALSE),
IFERROR(VLOOKUP(B668,'Baremos actuales'!A:B,2,FALSE),
IFERROR(VLOOKUP(B668,'Baremos anteriores'!A:B,2,FALSE),
""))))</f>
        <v/>
      </c>
      <c r="E668" s="9"/>
      <c r="F668" s="89" t="str">
        <f>IF(D668="MATE",
IF(E668="","¿Unidades?",""),
IF(D668="",IF(E668="","","¿Código?"),
IF(E668="","¿Unidades?",
IF(D668="TARE",
IF(M668=$H$3,IFERROR(VLOOKUP(B668,'Baremos actuales'!A:C,3,FALSE),0),
IF(M668=$H$4,IFERROR(VLOOKUP(B668,'Baremos anteriores'!A:C,3,FALSE),0),0))))))</f>
        <v/>
      </c>
      <c r="G668" s="7"/>
      <c r="H668" s="8"/>
      <c r="I668" s="8"/>
      <c r="J668" s="78" t="str">
        <f>IF($D668="","",
IF($E668="","",
IF($D668="MATE","",
IF(VLOOKUP($B668,'Baremos actuales'!A:D,4,FALSE)=J$9,$E668*$F668,IF(VLOOKUP($B668,'Baremos anteriores'!A:D,4,FALSE)="Sin Definir",$E668*$F668,"")))))</f>
        <v/>
      </c>
      <c r="K668" s="79" t="str">
        <f>IF($D668="","",
IF($E668="","",
IF($D668="MATE","",
IF(VLOOKUP($B668,'Baremos actuales'!$A:$D,4,FALSE)=K$9,$E668*$F668,IF(VLOOKUP($B668,'Baremos anteriores'!$A:$D,4,FALSE)="Desmonte",$E668*$F668,"")))))</f>
        <v/>
      </c>
      <c r="L668" s="80" t="str">
        <f>IF($D668="","",
IF($E668="","",
IF($D668="MATE","",
IF(VLOOKUP($B668,'Baremos actuales'!$A:$D,4,FALSE)=L$9,$E668*$F668,""))))</f>
        <v/>
      </c>
      <c r="M668" s="91" t="str">
        <f t="shared" si="10"/>
        <v/>
      </c>
      <c r="N668" s="96"/>
      <c r="O668" s="95"/>
      <c r="P668" s="96"/>
      <c r="Q668" s="98"/>
    </row>
    <row r="669" spans="1:17" ht="15.75" x14ac:dyDescent="0.2">
      <c r="A669" s="17"/>
      <c r="B669" s="18"/>
      <c r="C669" s="87" t="str">
        <f>IF(B669="","",
IF(M669=$H$5,IFERROR(VLOOKUP(B669,'Baremos actuales'!A:E,5,FALSE),"No encontrado. Revisar código, fecha ejecución y/o contrato."),
IF(M669=$H$4,IFERROR(VLOOKUP(B669,'Baremos anteriores'!A:E,5,FALSE),"No encontrado. Revisar código, fecha ejecución y/o contrato."),
IF(M669=$H$3,IFERROR(VLOOKUP(B669,#REF!,5,FALSE),"No encontrado. Revisar código, fecha ejecución y/o contrato."),
IF(D669="","Código no encontrado",
IF(D669="ERROR","No encontrado. Revisar Código, fecha de ejecución y/o contrato.",
IF(D669="MATE",
IF(C668="DESCRIPCION","NO SE PUEDE COMENZAR SIN CÓDIGO DE TAREA",
IF(C668="","FALTA CÓDIGO DE TAREA",
CONCATENATE("          ",VLOOKUP(B669,'Maestro Materiales'!A:C,3,FALSE)))),IFERROR(VLOOKUP(B669,#REF!,5,FALSE),"No encontrado. Revisar código, fecha ejecución y/o contrato."))))))))</f>
        <v/>
      </c>
      <c r="D669" s="88" t="str">
        <f>IF(B669="","",
IFERROR(VLOOKUP(B669,'Maestro Materiales'!A:C,2,FALSE),
IFERROR(VLOOKUP(B669,'Baremos actuales'!A:B,2,FALSE),
IFERROR(VLOOKUP(B669,'Baremos anteriores'!A:B,2,FALSE),
""))))</f>
        <v/>
      </c>
      <c r="E669" s="9"/>
      <c r="F669" s="89" t="str">
        <f>IF(D669="MATE",
IF(E669="","¿Unidades?",""),
IF(D669="",IF(E669="","","¿Código?"),
IF(E669="","¿Unidades?",
IF(D669="TARE",
IF(M669=$H$3,IFERROR(VLOOKUP(B669,'Baremos actuales'!A:C,3,FALSE),0),
IF(M669=$H$4,IFERROR(VLOOKUP(B669,'Baremos anteriores'!A:C,3,FALSE),0),0))))))</f>
        <v/>
      </c>
      <c r="G669" s="7"/>
      <c r="H669" s="8"/>
      <c r="I669" s="8"/>
      <c r="J669" s="78" t="str">
        <f>IF($D669="","",
IF($E669="","",
IF($D669="MATE","",
IF(VLOOKUP($B669,'Baremos actuales'!A:D,4,FALSE)=J$9,$E669*$F669,IF(VLOOKUP($B669,'Baremos anteriores'!A:D,4,FALSE)="Sin Definir",$E669*$F669,"")))))</f>
        <v/>
      </c>
      <c r="K669" s="79" t="str">
        <f>IF($D669="","",
IF($E669="","",
IF($D669="MATE","",
IF(VLOOKUP($B669,'Baremos actuales'!$A:$D,4,FALSE)=K$9,$E669*$F669,IF(VLOOKUP($B669,'Baremos anteriores'!$A:$D,4,FALSE)="Desmonte",$E669*$F669,"")))))</f>
        <v/>
      </c>
      <c r="L669" s="80" t="str">
        <f>IF($D669="","",
IF($E669="","",
IF($D669="MATE","",
IF(VLOOKUP($B669,'Baremos actuales'!$A:$D,4,FALSE)=L$9,$E669*$F669,""))))</f>
        <v/>
      </c>
      <c r="M669" s="91" t="str">
        <f t="shared" si="10"/>
        <v/>
      </c>
      <c r="N669" s="96"/>
      <c r="O669" s="95"/>
      <c r="P669" s="96"/>
      <c r="Q669" s="98"/>
    </row>
    <row r="670" spans="1:17" ht="15.75" x14ac:dyDescent="0.2">
      <c r="A670" s="17"/>
      <c r="B670" s="18"/>
      <c r="C670" s="87" t="str">
        <f>IF(B670="","",
IF(M670=$H$5,IFERROR(VLOOKUP(B670,'Baremos actuales'!A:E,5,FALSE),"No encontrado. Revisar código, fecha ejecución y/o contrato."),
IF(M670=$H$4,IFERROR(VLOOKUP(B670,'Baremos anteriores'!A:E,5,FALSE),"No encontrado. Revisar código, fecha ejecución y/o contrato."),
IF(M670=$H$3,IFERROR(VLOOKUP(B670,#REF!,5,FALSE),"No encontrado. Revisar código, fecha ejecución y/o contrato."),
IF(D670="","Código no encontrado",
IF(D670="ERROR","No encontrado. Revisar Código, fecha de ejecución y/o contrato.",
IF(D670="MATE",
IF(C669="DESCRIPCION","NO SE PUEDE COMENZAR SIN CÓDIGO DE TAREA",
IF(C669="","FALTA CÓDIGO DE TAREA",
CONCATENATE("          ",VLOOKUP(B670,'Maestro Materiales'!A:C,3,FALSE)))),IFERROR(VLOOKUP(B670,#REF!,5,FALSE),"No encontrado. Revisar código, fecha ejecución y/o contrato."))))))))</f>
        <v/>
      </c>
      <c r="D670" s="88" t="str">
        <f>IF(B670="","",
IFERROR(VLOOKUP(B670,'Maestro Materiales'!A:C,2,FALSE),
IFERROR(VLOOKUP(B670,'Baremos actuales'!A:B,2,FALSE),
IFERROR(VLOOKUP(B670,'Baremos anteriores'!A:B,2,FALSE),
""))))</f>
        <v/>
      </c>
      <c r="E670" s="9"/>
      <c r="F670" s="89" t="str">
        <f>IF(D670="MATE",
IF(E670="","¿Unidades?",""),
IF(D670="",IF(E670="","","¿Código?"),
IF(E670="","¿Unidades?",
IF(D670="TARE",
IF(M670=$H$3,IFERROR(VLOOKUP(B670,'Baremos actuales'!A:C,3,FALSE),0),
IF(M670=$H$4,IFERROR(VLOOKUP(B670,'Baremos anteriores'!A:C,3,FALSE),0),0))))))</f>
        <v/>
      </c>
      <c r="G670" s="7"/>
      <c r="H670" s="8"/>
      <c r="I670" s="8"/>
      <c r="J670" s="78" t="str">
        <f>IF($D670="","",
IF($E670="","",
IF($D670="MATE","",
IF(VLOOKUP($B670,'Baremos actuales'!A:D,4,FALSE)=J$9,$E670*$F670,IF(VLOOKUP($B670,'Baremos anteriores'!A:D,4,FALSE)="Sin Definir",$E670*$F670,"")))))</f>
        <v/>
      </c>
      <c r="K670" s="79" t="str">
        <f>IF($D670="","",
IF($E670="","",
IF($D670="MATE","",
IF(VLOOKUP($B670,'Baremos actuales'!$A:$D,4,FALSE)=K$9,$E670*$F670,IF(VLOOKUP($B670,'Baremos anteriores'!$A:$D,4,FALSE)="Desmonte",$E670*$F670,"")))))</f>
        <v/>
      </c>
      <c r="L670" s="80" t="str">
        <f>IF($D670="","",
IF($E670="","",
IF($D670="MATE","",
IF(VLOOKUP($B670,'Baremos actuales'!$A:$D,4,FALSE)=L$9,$E670*$F670,""))))</f>
        <v/>
      </c>
      <c r="M670" s="91" t="str">
        <f t="shared" si="10"/>
        <v/>
      </c>
      <c r="N670" s="96"/>
      <c r="O670" s="95"/>
      <c r="P670" s="96"/>
      <c r="Q670" s="98"/>
    </row>
    <row r="671" spans="1:17" ht="15.75" x14ac:dyDescent="0.2">
      <c r="A671" s="17"/>
      <c r="B671" s="18"/>
      <c r="C671" s="87" t="str">
        <f>IF(B671="","",
IF(M671=$H$5,IFERROR(VLOOKUP(B671,'Baremos actuales'!A:E,5,FALSE),"No encontrado. Revisar código, fecha ejecución y/o contrato."),
IF(M671=$H$4,IFERROR(VLOOKUP(B671,'Baremos anteriores'!A:E,5,FALSE),"No encontrado. Revisar código, fecha ejecución y/o contrato."),
IF(M671=$H$3,IFERROR(VLOOKUP(B671,#REF!,5,FALSE),"No encontrado. Revisar código, fecha ejecución y/o contrato."),
IF(D671="","Código no encontrado",
IF(D671="ERROR","No encontrado. Revisar Código, fecha de ejecución y/o contrato.",
IF(D671="MATE",
IF(C670="DESCRIPCION","NO SE PUEDE COMENZAR SIN CÓDIGO DE TAREA",
IF(C670="","FALTA CÓDIGO DE TAREA",
CONCATENATE("          ",VLOOKUP(B671,'Maestro Materiales'!A:C,3,FALSE)))),IFERROR(VLOOKUP(B671,#REF!,5,FALSE),"No encontrado. Revisar código, fecha ejecución y/o contrato."))))))))</f>
        <v/>
      </c>
      <c r="D671" s="88" t="str">
        <f>IF(B671="","",
IFERROR(VLOOKUP(B671,'Maestro Materiales'!A:C,2,FALSE),
IFERROR(VLOOKUP(B671,'Baremos actuales'!A:B,2,FALSE),
IFERROR(VLOOKUP(B671,'Baremos anteriores'!A:B,2,FALSE),
""))))</f>
        <v/>
      </c>
      <c r="E671" s="9"/>
      <c r="F671" s="89" t="str">
        <f>IF(D671="MATE",
IF(E671="","¿Unidades?",""),
IF(D671="",IF(E671="","","¿Código?"),
IF(E671="","¿Unidades?",
IF(D671="TARE",
IF(M671=$H$3,IFERROR(VLOOKUP(B671,'Baremos actuales'!A:C,3,FALSE),0),
IF(M671=$H$4,IFERROR(VLOOKUP(B671,'Baremos anteriores'!A:C,3,FALSE),0),0))))))</f>
        <v/>
      </c>
      <c r="G671" s="7"/>
      <c r="H671" s="8"/>
      <c r="I671" s="8"/>
      <c r="J671" s="78" t="str">
        <f>IF($D671="","",
IF($E671="","",
IF($D671="MATE","",
IF(VLOOKUP($B671,'Baremos actuales'!A:D,4,FALSE)=J$9,$E671*$F671,IF(VLOOKUP($B671,'Baremos anteriores'!A:D,4,FALSE)="Sin Definir",$E671*$F671,"")))))</f>
        <v/>
      </c>
      <c r="K671" s="79" t="str">
        <f>IF($D671="","",
IF($E671="","",
IF($D671="MATE","",
IF(VLOOKUP($B671,'Baremos actuales'!$A:$D,4,FALSE)=K$9,$E671*$F671,IF(VLOOKUP($B671,'Baremos anteriores'!$A:$D,4,FALSE)="Desmonte",$E671*$F671,"")))))</f>
        <v/>
      </c>
      <c r="L671" s="80" t="str">
        <f>IF($D671="","",
IF($E671="","",
IF($D671="MATE","",
IF(VLOOKUP($B671,'Baremos actuales'!$A:$D,4,FALSE)=L$9,$E671*$F671,""))))</f>
        <v/>
      </c>
      <c r="M671" s="91" t="str">
        <f t="shared" si="10"/>
        <v/>
      </c>
      <c r="N671" s="96"/>
      <c r="O671" s="95"/>
      <c r="P671" s="96"/>
      <c r="Q671" s="98"/>
    </row>
    <row r="672" spans="1:17" ht="15.75" x14ac:dyDescent="0.2">
      <c r="A672" s="17"/>
      <c r="B672" s="18"/>
      <c r="C672" s="87" t="str">
        <f>IF(B672="","",
IF(M672=$H$5,IFERROR(VLOOKUP(B672,'Baremos actuales'!A:E,5,FALSE),"No encontrado. Revisar código, fecha ejecución y/o contrato."),
IF(M672=$H$4,IFERROR(VLOOKUP(B672,'Baremos anteriores'!A:E,5,FALSE),"No encontrado. Revisar código, fecha ejecución y/o contrato."),
IF(M672=$H$3,IFERROR(VLOOKUP(B672,#REF!,5,FALSE),"No encontrado. Revisar código, fecha ejecución y/o contrato."),
IF(D672="","Código no encontrado",
IF(D672="ERROR","No encontrado. Revisar Código, fecha de ejecución y/o contrato.",
IF(D672="MATE",
IF(C671="DESCRIPCION","NO SE PUEDE COMENZAR SIN CÓDIGO DE TAREA",
IF(C671="","FALTA CÓDIGO DE TAREA",
CONCATENATE("          ",VLOOKUP(B672,'Maestro Materiales'!A:C,3,FALSE)))),IFERROR(VLOOKUP(B672,#REF!,5,FALSE),"No encontrado. Revisar código, fecha ejecución y/o contrato."))))))))</f>
        <v/>
      </c>
      <c r="D672" s="88" t="str">
        <f>IF(B672="","",
IFERROR(VLOOKUP(B672,'Maestro Materiales'!A:C,2,FALSE),
IFERROR(VLOOKUP(B672,'Baremos actuales'!A:B,2,FALSE),
IFERROR(VLOOKUP(B672,'Baremos anteriores'!A:B,2,FALSE),
""))))</f>
        <v/>
      </c>
      <c r="E672" s="9"/>
      <c r="F672" s="89" t="str">
        <f>IF(D672="MATE",
IF(E672="","¿Unidades?",""),
IF(D672="",IF(E672="","","¿Código?"),
IF(E672="","¿Unidades?",
IF(D672="TARE",
IF(M672=$H$3,IFERROR(VLOOKUP(B672,'Baremos actuales'!A:C,3,FALSE),0),
IF(M672=$H$4,IFERROR(VLOOKUP(B672,'Baremos anteriores'!A:C,3,FALSE),0),0))))))</f>
        <v/>
      </c>
      <c r="G672" s="7"/>
      <c r="H672" s="8"/>
      <c r="I672" s="8"/>
      <c r="J672" s="78" t="str">
        <f>IF($D672="","",
IF($E672="","",
IF($D672="MATE","",
IF(VLOOKUP($B672,'Baremos actuales'!A:D,4,FALSE)=J$9,$E672*$F672,IF(VLOOKUP($B672,'Baremos anteriores'!A:D,4,FALSE)="Sin Definir",$E672*$F672,"")))))</f>
        <v/>
      </c>
      <c r="K672" s="79" t="str">
        <f>IF($D672="","",
IF($E672="","",
IF($D672="MATE","",
IF(VLOOKUP($B672,'Baremos actuales'!$A:$D,4,FALSE)=K$9,$E672*$F672,IF(VLOOKUP($B672,'Baremos anteriores'!$A:$D,4,FALSE)="Desmonte",$E672*$F672,"")))))</f>
        <v/>
      </c>
      <c r="L672" s="80" t="str">
        <f>IF($D672="","",
IF($E672="","",
IF($D672="MATE","",
IF(VLOOKUP($B672,'Baremos actuales'!$A:$D,4,FALSE)=L$9,$E672*$F672,""))))</f>
        <v/>
      </c>
      <c r="M672" s="91" t="str">
        <f t="shared" si="10"/>
        <v/>
      </c>
      <c r="N672" s="96"/>
      <c r="O672" s="95"/>
      <c r="P672" s="96"/>
      <c r="Q672" s="98"/>
    </row>
    <row r="673" spans="1:17" ht="15.75" x14ac:dyDescent="0.2">
      <c r="A673" s="17"/>
      <c r="B673" s="18"/>
      <c r="C673" s="87" t="str">
        <f>IF(B673="","",
IF(M673=$H$5,IFERROR(VLOOKUP(B673,'Baremos actuales'!A:E,5,FALSE),"No encontrado. Revisar código, fecha ejecución y/o contrato."),
IF(M673=$H$4,IFERROR(VLOOKUP(B673,'Baremos anteriores'!A:E,5,FALSE),"No encontrado. Revisar código, fecha ejecución y/o contrato."),
IF(M673=$H$3,IFERROR(VLOOKUP(B673,#REF!,5,FALSE),"No encontrado. Revisar código, fecha ejecución y/o contrato."),
IF(D673="","Código no encontrado",
IF(D673="ERROR","No encontrado. Revisar Código, fecha de ejecución y/o contrato.",
IF(D673="MATE",
IF(C672="DESCRIPCION","NO SE PUEDE COMENZAR SIN CÓDIGO DE TAREA",
IF(C672="","FALTA CÓDIGO DE TAREA",
CONCATENATE("          ",VLOOKUP(B673,'Maestro Materiales'!A:C,3,FALSE)))),IFERROR(VLOOKUP(B673,#REF!,5,FALSE),"No encontrado. Revisar código, fecha ejecución y/o contrato."))))))))</f>
        <v/>
      </c>
      <c r="D673" s="88" t="str">
        <f>IF(B673="","",
IFERROR(VLOOKUP(B673,'Maestro Materiales'!A:C,2,FALSE),
IFERROR(VLOOKUP(B673,'Baremos actuales'!A:B,2,FALSE),
IFERROR(VLOOKUP(B673,'Baremos anteriores'!A:B,2,FALSE),
""))))</f>
        <v/>
      </c>
      <c r="E673" s="9"/>
      <c r="F673" s="89" t="str">
        <f>IF(D673="MATE",
IF(E673="","¿Unidades?",""),
IF(D673="",IF(E673="","","¿Código?"),
IF(E673="","¿Unidades?",
IF(D673="TARE",
IF(M673=$H$3,IFERROR(VLOOKUP(B673,'Baremos actuales'!A:C,3,FALSE),0),
IF(M673=$H$4,IFERROR(VLOOKUP(B673,'Baremos anteriores'!A:C,3,FALSE),0),0))))))</f>
        <v/>
      </c>
      <c r="G673" s="7"/>
      <c r="H673" s="8"/>
      <c r="I673" s="8"/>
      <c r="J673" s="78" t="str">
        <f>IF($D673="","",
IF($E673="","",
IF($D673="MATE","",
IF(VLOOKUP($B673,'Baremos actuales'!A:D,4,FALSE)=J$9,$E673*$F673,IF(VLOOKUP($B673,'Baremos anteriores'!A:D,4,FALSE)="Sin Definir",$E673*$F673,"")))))</f>
        <v/>
      </c>
      <c r="K673" s="79" t="str">
        <f>IF($D673="","",
IF($E673="","",
IF($D673="MATE","",
IF(VLOOKUP($B673,'Baremos actuales'!$A:$D,4,FALSE)=K$9,$E673*$F673,IF(VLOOKUP($B673,'Baremos anteriores'!$A:$D,4,FALSE)="Desmonte",$E673*$F673,"")))))</f>
        <v/>
      </c>
      <c r="L673" s="80" t="str">
        <f>IF($D673="","",
IF($E673="","",
IF($D673="MATE","",
IF(VLOOKUP($B673,'Baremos actuales'!$A:$D,4,FALSE)=L$9,$E673*$F673,""))))</f>
        <v/>
      </c>
      <c r="M673" s="91" t="str">
        <f t="shared" si="10"/>
        <v/>
      </c>
      <c r="N673" s="96"/>
      <c r="O673" s="95"/>
      <c r="P673" s="96"/>
      <c r="Q673" s="98"/>
    </row>
    <row r="674" spans="1:17" ht="15.75" x14ac:dyDescent="0.2">
      <c r="A674" s="17"/>
      <c r="B674" s="18"/>
      <c r="C674" s="87" t="str">
        <f>IF(B674="","",
IF(M674=$H$5,IFERROR(VLOOKUP(B674,'Baremos actuales'!A:E,5,FALSE),"No encontrado. Revisar código, fecha ejecución y/o contrato."),
IF(M674=$H$4,IFERROR(VLOOKUP(B674,'Baremos anteriores'!A:E,5,FALSE),"No encontrado. Revisar código, fecha ejecución y/o contrato."),
IF(M674=$H$3,IFERROR(VLOOKUP(B674,#REF!,5,FALSE),"No encontrado. Revisar código, fecha ejecución y/o contrato."),
IF(D674="","Código no encontrado",
IF(D674="ERROR","No encontrado. Revisar Código, fecha de ejecución y/o contrato.",
IF(D674="MATE",
IF(C673="DESCRIPCION","NO SE PUEDE COMENZAR SIN CÓDIGO DE TAREA",
IF(C673="","FALTA CÓDIGO DE TAREA",
CONCATENATE("          ",VLOOKUP(B674,'Maestro Materiales'!A:C,3,FALSE)))),IFERROR(VLOOKUP(B674,#REF!,5,FALSE),"No encontrado. Revisar código, fecha ejecución y/o contrato."))))))))</f>
        <v/>
      </c>
      <c r="D674" s="88" t="str">
        <f>IF(B674="","",
IFERROR(VLOOKUP(B674,'Maestro Materiales'!A:C,2,FALSE),
IFERROR(VLOOKUP(B674,'Baremos actuales'!A:B,2,FALSE),
IFERROR(VLOOKUP(B674,'Baremos anteriores'!A:B,2,FALSE),
""))))</f>
        <v/>
      </c>
      <c r="E674" s="9"/>
      <c r="F674" s="89" t="str">
        <f>IF(D674="MATE",
IF(E674="","¿Unidades?",""),
IF(D674="",IF(E674="","","¿Código?"),
IF(E674="","¿Unidades?",
IF(D674="TARE",
IF(M674=$H$3,IFERROR(VLOOKUP(B674,'Baremos actuales'!A:C,3,FALSE),0),
IF(M674=$H$4,IFERROR(VLOOKUP(B674,'Baremos anteriores'!A:C,3,FALSE),0),0))))))</f>
        <v/>
      </c>
      <c r="G674" s="7"/>
      <c r="H674" s="8"/>
      <c r="I674" s="8"/>
      <c r="J674" s="78" t="str">
        <f>IF($D674="","",
IF($E674="","",
IF($D674="MATE","",
IF(VLOOKUP($B674,'Baremos actuales'!A:D,4,FALSE)=J$9,$E674*$F674,IF(VLOOKUP($B674,'Baremos anteriores'!A:D,4,FALSE)="Sin Definir",$E674*$F674,"")))))</f>
        <v/>
      </c>
      <c r="K674" s="79" t="str">
        <f>IF($D674="","",
IF($E674="","",
IF($D674="MATE","",
IF(VLOOKUP($B674,'Baremos actuales'!$A:$D,4,FALSE)=K$9,$E674*$F674,IF(VLOOKUP($B674,'Baremos anteriores'!$A:$D,4,FALSE)="Desmonte",$E674*$F674,"")))))</f>
        <v/>
      </c>
      <c r="L674" s="80" t="str">
        <f>IF($D674="","",
IF($E674="","",
IF($D674="MATE","",
IF(VLOOKUP($B674,'Baremos actuales'!$A:$D,4,FALSE)=L$9,$E674*$F674,""))))</f>
        <v/>
      </c>
      <c r="M674" s="91" t="str">
        <f t="shared" si="10"/>
        <v/>
      </c>
      <c r="N674" s="96"/>
      <c r="O674" s="95"/>
      <c r="P674" s="96"/>
      <c r="Q674" s="98"/>
    </row>
    <row r="675" spans="1:17" ht="15.75" x14ac:dyDescent="0.2">
      <c r="A675" s="17"/>
      <c r="B675" s="18"/>
      <c r="C675" s="87" t="str">
        <f>IF(B675="","",
IF(M675=$H$5,IFERROR(VLOOKUP(B675,'Baremos actuales'!A:E,5,FALSE),"No encontrado. Revisar código, fecha ejecución y/o contrato."),
IF(M675=$H$4,IFERROR(VLOOKUP(B675,'Baremos anteriores'!A:E,5,FALSE),"No encontrado. Revisar código, fecha ejecución y/o contrato."),
IF(M675=$H$3,IFERROR(VLOOKUP(B675,#REF!,5,FALSE),"No encontrado. Revisar código, fecha ejecución y/o contrato."),
IF(D675="","Código no encontrado",
IF(D675="ERROR","No encontrado. Revisar Código, fecha de ejecución y/o contrato.",
IF(D675="MATE",
IF(C674="DESCRIPCION","NO SE PUEDE COMENZAR SIN CÓDIGO DE TAREA",
IF(C674="","FALTA CÓDIGO DE TAREA",
CONCATENATE("          ",VLOOKUP(B675,'Maestro Materiales'!A:C,3,FALSE)))),IFERROR(VLOOKUP(B675,#REF!,5,FALSE),"No encontrado. Revisar código, fecha ejecución y/o contrato."))))))))</f>
        <v/>
      </c>
      <c r="D675" s="88" t="str">
        <f>IF(B675="","",
IFERROR(VLOOKUP(B675,'Maestro Materiales'!A:C,2,FALSE),
IFERROR(VLOOKUP(B675,'Baremos actuales'!A:B,2,FALSE),
IFERROR(VLOOKUP(B675,'Baremos anteriores'!A:B,2,FALSE),
""))))</f>
        <v/>
      </c>
      <c r="E675" s="9"/>
      <c r="F675" s="89" t="str">
        <f>IF(D675="MATE",
IF(E675="","¿Unidades?",""),
IF(D675="",IF(E675="","","¿Código?"),
IF(E675="","¿Unidades?",
IF(D675="TARE",
IF(M675=$H$3,IFERROR(VLOOKUP(B675,'Baremos actuales'!A:C,3,FALSE),0),
IF(M675=$H$4,IFERROR(VLOOKUP(B675,'Baremos anteriores'!A:C,3,FALSE),0),0))))))</f>
        <v/>
      </c>
      <c r="G675" s="7"/>
      <c r="H675" s="8"/>
      <c r="I675" s="8"/>
      <c r="J675" s="78" t="str">
        <f>IF($D675="","",
IF($E675="","",
IF($D675="MATE","",
IF(VLOOKUP($B675,'Baremos actuales'!A:D,4,FALSE)=J$9,$E675*$F675,IF(VLOOKUP($B675,'Baremos anteriores'!A:D,4,FALSE)="Sin Definir",$E675*$F675,"")))))</f>
        <v/>
      </c>
      <c r="K675" s="79" t="str">
        <f>IF($D675="","",
IF($E675="","",
IF($D675="MATE","",
IF(VLOOKUP($B675,'Baremos actuales'!$A:$D,4,FALSE)=K$9,$E675*$F675,IF(VLOOKUP($B675,'Baremos anteriores'!$A:$D,4,FALSE)="Desmonte",$E675*$F675,"")))))</f>
        <v/>
      </c>
      <c r="L675" s="80" t="str">
        <f>IF($D675="","",
IF($E675="","",
IF($D675="MATE","",
IF(VLOOKUP($B675,'Baremos actuales'!$A:$D,4,FALSE)=L$9,$E675*$F675,""))))</f>
        <v/>
      </c>
      <c r="M675" s="91" t="str">
        <f t="shared" si="10"/>
        <v/>
      </c>
      <c r="N675" s="96"/>
      <c r="O675" s="95"/>
      <c r="P675" s="96"/>
      <c r="Q675" s="98"/>
    </row>
    <row r="676" spans="1:17" ht="15.75" x14ac:dyDescent="0.2">
      <c r="A676" s="17"/>
      <c r="B676" s="18"/>
      <c r="C676" s="87" t="str">
        <f>IF(B676="","",
IF(M676=$H$5,IFERROR(VLOOKUP(B676,'Baremos actuales'!A:E,5,FALSE),"No encontrado. Revisar código, fecha ejecución y/o contrato."),
IF(M676=$H$4,IFERROR(VLOOKUP(B676,'Baremos anteriores'!A:E,5,FALSE),"No encontrado. Revisar código, fecha ejecución y/o contrato."),
IF(M676=$H$3,IFERROR(VLOOKUP(B676,#REF!,5,FALSE),"No encontrado. Revisar código, fecha ejecución y/o contrato."),
IF(D676="","Código no encontrado",
IF(D676="ERROR","No encontrado. Revisar Código, fecha de ejecución y/o contrato.",
IF(D676="MATE",
IF(C675="DESCRIPCION","NO SE PUEDE COMENZAR SIN CÓDIGO DE TAREA",
IF(C675="","FALTA CÓDIGO DE TAREA",
CONCATENATE("          ",VLOOKUP(B676,'Maestro Materiales'!A:C,3,FALSE)))),IFERROR(VLOOKUP(B676,#REF!,5,FALSE),"No encontrado. Revisar código, fecha ejecución y/o contrato."))))))))</f>
        <v/>
      </c>
      <c r="D676" s="88" t="str">
        <f>IF(B676="","",
IFERROR(VLOOKUP(B676,'Maestro Materiales'!A:C,2,FALSE),
IFERROR(VLOOKUP(B676,'Baremos actuales'!A:B,2,FALSE),
IFERROR(VLOOKUP(B676,'Baremos anteriores'!A:B,2,FALSE),
""))))</f>
        <v/>
      </c>
      <c r="E676" s="9"/>
      <c r="F676" s="89" t="str">
        <f>IF(D676="MATE",
IF(E676="","¿Unidades?",""),
IF(D676="",IF(E676="","","¿Código?"),
IF(E676="","¿Unidades?",
IF(D676="TARE",
IF(M676=$H$3,IFERROR(VLOOKUP(B676,'Baremos actuales'!A:C,3,FALSE),0),
IF(M676=$H$4,IFERROR(VLOOKUP(B676,'Baremos anteriores'!A:C,3,FALSE),0),0))))))</f>
        <v/>
      </c>
      <c r="G676" s="7"/>
      <c r="H676" s="8"/>
      <c r="I676" s="8"/>
      <c r="J676" s="78" t="str">
        <f>IF($D676="","",
IF($E676="","",
IF($D676="MATE","",
IF(VLOOKUP($B676,'Baremos actuales'!A:D,4,FALSE)=J$9,$E676*$F676,IF(VLOOKUP($B676,'Baremos anteriores'!A:D,4,FALSE)="Sin Definir",$E676*$F676,"")))))</f>
        <v/>
      </c>
      <c r="K676" s="79" t="str">
        <f>IF($D676="","",
IF($E676="","",
IF($D676="MATE","",
IF(VLOOKUP($B676,'Baremos actuales'!$A:$D,4,FALSE)=K$9,$E676*$F676,IF(VLOOKUP($B676,'Baremos anteriores'!$A:$D,4,FALSE)="Desmonte",$E676*$F676,"")))))</f>
        <v/>
      </c>
      <c r="L676" s="80" t="str">
        <f>IF($D676="","",
IF($E676="","",
IF($D676="MATE","",
IF(VLOOKUP($B676,'Baremos actuales'!$A:$D,4,FALSE)=L$9,$E676*$F676,""))))</f>
        <v/>
      </c>
      <c r="M676" s="91" t="str">
        <f t="shared" si="10"/>
        <v/>
      </c>
      <c r="N676" s="96"/>
      <c r="O676" s="95"/>
      <c r="P676" s="96"/>
      <c r="Q676" s="98"/>
    </row>
    <row r="677" spans="1:17" ht="15.75" x14ac:dyDescent="0.2">
      <c r="A677" s="17"/>
      <c r="B677" s="18"/>
      <c r="C677" s="87" t="str">
        <f>IF(B677="","",
IF(M677=$H$5,IFERROR(VLOOKUP(B677,'Baremos actuales'!A:E,5,FALSE),"No encontrado. Revisar código, fecha ejecución y/o contrato."),
IF(M677=$H$4,IFERROR(VLOOKUP(B677,'Baremos anteriores'!A:E,5,FALSE),"No encontrado. Revisar código, fecha ejecución y/o contrato."),
IF(M677=$H$3,IFERROR(VLOOKUP(B677,#REF!,5,FALSE),"No encontrado. Revisar código, fecha ejecución y/o contrato."),
IF(D677="","Código no encontrado",
IF(D677="ERROR","No encontrado. Revisar Código, fecha de ejecución y/o contrato.",
IF(D677="MATE",
IF(C676="DESCRIPCION","NO SE PUEDE COMENZAR SIN CÓDIGO DE TAREA",
IF(C676="","FALTA CÓDIGO DE TAREA",
CONCATENATE("          ",VLOOKUP(B677,'Maestro Materiales'!A:C,3,FALSE)))),IFERROR(VLOOKUP(B677,#REF!,5,FALSE),"No encontrado. Revisar código, fecha ejecución y/o contrato."))))))))</f>
        <v/>
      </c>
      <c r="D677" s="88" t="str">
        <f>IF(B677="","",
IFERROR(VLOOKUP(B677,'Maestro Materiales'!A:C,2,FALSE),
IFERROR(VLOOKUP(B677,'Baremos actuales'!A:B,2,FALSE),
IFERROR(VLOOKUP(B677,'Baremos anteriores'!A:B,2,FALSE),
""))))</f>
        <v/>
      </c>
      <c r="E677" s="9"/>
      <c r="F677" s="89" t="str">
        <f>IF(D677="MATE",
IF(E677="","¿Unidades?",""),
IF(D677="",IF(E677="","","¿Código?"),
IF(E677="","¿Unidades?",
IF(D677="TARE",
IF(M677=$H$3,IFERROR(VLOOKUP(B677,'Baremos actuales'!A:C,3,FALSE),0),
IF(M677=$H$4,IFERROR(VLOOKUP(B677,'Baremos anteriores'!A:C,3,FALSE),0),0))))))</f>
        <v/>
      </c>
      <c r="G677" s="7"/>
      <c r="H677" s="8"/>
      <c r="I677" s="8"/>
      <c r="J677" s="78" t="str">
        <f>IF($D677="","",
IF($E677="","",
IF($D677="MATE","",
IF(VLOOKUP($B677,'Baremos actuales'!A:D,4,FALSE)=J$9,$E677*$F677,IF(VLOOKUP($B677,'Baremos anteriores'!A:D,4,FALSE)="Sin Definir",$E677*$F677,"")))))</f>
        <v/>
      </c>
      <c r="K677" s="79" t="str">
        <f>IF($D677="","",
IF($E677="","",
IF($D677="MATE","",
IF(VLOOKUP($B677,'Baremos actuales'!$A:$D,4,FALSE)=K$9,$E677*$F677,IF(VLOOKUP($B677,'Baremos anteriores'!$A:$D,4,FALSE)="Desmonte",$E677*$F677,"")))))</f>
        <v/>
      </c>
      <c r="L677" s="80" t="str">
        <f>IF($D677="","",
IF($E677="","",
IF($D677="MATE","",
IF(VLOOKUP($B677,'Baremos actuales'!$A:$D,4,FALSE)=L$9,$E677*$F677,""))))</f>
        <v/>
      </c>
      <c r="M677" s="91" t="str">
        <f t="shared" si="10"/>
        <v/>
      </c>
      <c r="N677" s="96"/>
      <c r="O677" s="95"/>
      <c r="P677" s="96"/>
      <c r="Q677" s="98"/>
    </row>
    <row r="678" spans="1:17" ht="15.75" x14ac:dyDescent="0.2">
      <c r="A678" s="17"/>
      <c r="B678" s="18"/>
      <c r="C678" s="87" t="str">
        <f>IF(B678="","",
IF(M678=$H$5,IFERROR(VLOOKUP(B678,'Baremos actuales'!A:E,5,FALSE),"No encontrado. Revisar código, fecha ejecución y/o contrato."),
IF(M678=$H$4,IFERROR(VLOOKUP(B678,'Baremos anteriores'!A:E,5,FALSE),"No encontrado. Revisar código, fecha ejecución y/o contrato."),
IF(M678=$H$3,IFERROR(VLOOKUP(B678,#REF!,5,FALSE),"No encontrado. Revisar código, fecha ejecución y/o contrato."),
IF(D678="","Código no encontrado",
IF(D678="ERROR","No encontrado. Revisar Código, fecha de ejecución y/o contrato.",
IF(D678="MATE",
IF(C677="DESCRIPCION","NO SE PUEDE COMENZAR SIN CÓDIGO DE TAREA",
IF(C677="","FALTA CÓDIGO DE TAREA",
CONCATENATE("          ",VLOOKUP(B678,'Maestro Materiales'!A:C,3,FALSE)))),IFERROR(VLOOKUP(B678,#REF!,5,FALSE),"No encontrado. Revisar código, fecha ejecución y/o contrato."))))))))</f>
        <v/>
      </c>
      <c r="D678" s="88" t="str">
        <f>IF(B678="","",
IFERROR(VLOOKUP(B678,'Maestro Materiales'!A:C,2,FALSE),
IFERROR(VLOOKUP(B678,'Baremos actuales'!A:B,2,FALSE),
IFERROR(VLOOKUP(B678,'Baremos anteriores'!A:B,2,FALSE),
""))))</f>
        <v/>
      </c>
      <c r="E678" s="9"/>
      <c r="F678" s="89" t="str">
        <f>IF(D678="MATE",
IF(E678="","¿Unidades?",""),
IF(D678="",IF(E678="","","¿Código?"),
IF(E678="","¿Unidades?",
IF(D678="TARE",
IF(M678=$H$3,IFERROR(VLOOKUP(B678,'Baremos actuales'!A:C,3,FALSE),0),
IF(M678=$H$4,IFERROR(VLOOKUP(B678,'Baremos anteriores'!A:C,3,FALSE),0),0))))))</f>
        <v/>
      </c>
      <c r="G678" s="7"/>
      <c r="H678" s="8"/>
      <c r="I678" s="8"/>
      <c r="J678" s="78" t="str">
        <f>IF($D678="","",
IF($E678="","",
IF($D678="MATE","",
IF(VLOOKUP($B678,'Baremos actuales'!A:D,4,FALSE)=J$9,$E678*$F678,IF(VLOOKUP($B678,'Baremos anteriores'!A:D,4,FALSE)="Sin Definir",$E678*$F678,"")))))</f>
        <v/>
      </c>
      <c r="K678" s="79" t="str">
        <f>IF($D678="","",
IF($E678="","",
IF($D678="MATE","",
IF(VLOOKUP($B678,'Baremos actuales'!$A:$D,4,FALSE)=K$9,$E678*$F678,IF(VLOOKUP($B678,'Baremos anteriores'!$A:$D,4,FALSE)="Desmonte",$E678*$F678,"")))))</f>
        <v/>
      </c>
      <c r="L678" s="80" t="str">
        <f>IF($D678="","",
IF($E678="","",
IF($D678="MATE","",
IF(VLOOKUP($B678,'Baremos actuales'!$A:$D,4,FALSE)=L$9,$E678*$F678,""))))</f>
        <v/>
      </c>
      <c r="M678" s="91" t="str">
        <f t="shared" si="10"/>
        <v/>
      </c>
      <c r="N678" s="96"/>
      <c r="O678" s="95"/>
      <c r="P678" s="96"/>
      <c r="Q678" s="98"/>
    </row>
    <row r="679" spans="1:17" ht="15.75" x14ac:dyDescent="0.2">
      <c r="A679" s="17"/>
      <c r="B679" s="18"/>
      <c r="C679" s="87" t="str">
        <f>IF(B679="","",
IF(M679=$H$5,IFERROR(VLOOKUP(B679,'Baremos actuales'!A:E,5,FALSE),"No encontrado. Revisar código, fecha ejecución y/o contrato."),
IF(M679=$H$4,IFERROR(VLOOKUP(B679,'Baremos anteriores'!A:E,5,FALSE),"No encontrado. Revisar código, fecha ejecución y/o contrato."),
IF(M679=$H$3,IFERROR(VLOOKUP(B679,#REF!,5,FALSE),"No encontrado. Revisar código, fecha ejecución y/o contrato."),
IF(D679="","Código no encontrado",
IF(D679="ERROR","No encontrado. Revisar Código, fecha de ejecución y/o contrato.",
IF(D679="MATE",
IF(C678="DESCRIPCION","NO SE PUEDE COMENZAR SIN CÓDIGO DE TAREA",
IF(C678="","FALTA CÓDIGO DE TAREA",
CONCATENATE("          ",VLOOKUP(B679,'Maestro Materiales'!A:C,3,FALSE)))),IFERROR(VLOOKUP(B679,#REF!,5,FALSE),"No encontrado. Revisar código, fecha ejecución y/o contrato."))))))))</f>
        <v/>
      </c>
      <c r="D679" s="88" t="str">
        <f>IF(B679="","",
IFERROR(VLOOKUP(B679,'Maestro Materiales'!A:C,2,FALSE),
IFERROR(VLOOKUP(B679,'Baremos actuales'!A:B,2,FALSE),
IFERROR(VLOOKUP(B679,'Baremos anteriores'!A:B,2,FALSE),
""))))</f>
        <v/>
      </c>
      <c r="E679" s="9"/>
      <c r="F679" s="89" t="str">
        <f>IF(D679="MATE",
IF(E679="","¿Unidades?",""),
IF(D679="",IF(E679="","","¿Código?"),
IF(E679="","¿Unidades?",
IF(D679="TARE",
IF(M679=$H$3,IFERROR(VLOOKUP(B679,'Baremos actuales'!A:C,3,FALSE),0),
IF(M679=$H$4,IFERROR(VLOOKUP(B679,'Baremos anteriores'!A:C,3,FALSE),0),0))))))</f>
        <v/>
      </c>
      <c r="G679" s="7"/>
      <c r="H679" s="8"/>
      <c r="I679" s="8"/>
      <c r="J679" s="78" t="str">
        <f>IF($D679="","",
IF($E679="","",
IF($D679="MATE","",
IF(VLOOKUP($B679,'Baremos actuales'!A:D,4,FALSE)=J$9,$E679*$F679,IF(VLOOKUP($B679,'Baremos anteriores'!A:D,4,FALSE)="Sin Definir",$E679*$F679,"")))))</f>
        <v/>
      </c>
      <c r="K679" s="79" t="str">
        <f>IF($D679="","",
IF($E679="","",
IF($D679="MATE","",
IF(VLOOKUP($B679,'Baremos actuales'!$A:$D,4,FALSE)=K$9,$E679*$F679,IF(VLOOKUP($B679,'Baremos anteriores'!$A:$D,4,FALSE)="Desmonte",$E679*$F679,"")))))</f>
        <v/>
      </c>
      <c r="L679" s="80" t="str">
        <f>IF($D679="","",
IF($E679="","",
IF($D679="MATE","",
IF(VLOOKUP($B679,'Baremos actuales'!$A:$D,4,FALSE)=L$9,$E679*$F679,""))))</f>
        <v/>
      </c>
      <c r="M679" s="91" t="str">
        <f t="shared" si="10"/>
        <v/>
      </c>
      <c r="N679" s="96"/>
      <c r="O679" s="95"/>
      <c r="P679" s="96"/>
      <c r="Q679" s="98"/>
    </row>
    <row r="680" spans="1:17" ht="15.75" x14ac:dyDescent="0.2">
      <c r="A680" s="17"/>
      <c r="B680" s="18"/>
      <c r="C680" s="87" t="str">
        <f>IF(B680="","",
IF(M680=$H$5,IFERROR(VLOOKUP(B680,'Baremos actuales'!A:E,5,FALSE),"No encontrado. Revisar código, fecha ejecución y/o contrato."),
IF(M680=$H$4,IFERROR(VLOOKUP(B680,'Baremos anteriores'!A:E,5,FALSE),"No encontrado. Revisar código, fecha ejecución y/o contrato."),
IF(M680=$H$3,IFERROR(VLOOKUP(B680,#REF!,5,FALSE),"No encontrado. Revisar código, fecha ejecución y/o contrato."),
IF(D680="","Código no encontrado",
IF(D680="ERROR","No encontrado. Revisar Código, fecha de ejecución y/o contrato.",
IF(D680="MATE",
IF(C679="DESCRIPCION","NO SE PUEDE COMENZAR SIN CÓDIGO DE TAREA",
IF(C679="","FALTA CÓDIGO DE TAREA",
CONCATENATE("          ",VLOOKUP(B680,'Maestro Materiales'!A:C,3,FALSE)))),IFERROR(VLOOKUP(B680,#REF!,5,FALSE),"No encontrado. Revisar código, fecha ejecución y/o contrato."))))))))</f>
        <v/>
      </c>
      <c r="D680" s="88" t="str">
        <f>IF(B680="","",
IFERROR(VLOOKUP(B680,'Maestro Materiales'!A:C,2,FALSE),
IFERROR(VLOOKUP(B680,'Baremos actuales'!A:B,2,FALSE),
IFERROR(VLOOKUP(B680,'Baremos anteriores'!A:B,2,FALSE),
""))))</f>
        <v/>
      </c>
      <c r="E680" s="9"/>
      <c r="F680" s="89" t="str">
        <f>IF(D680="MATE",
IF(E680="","¿Unidades?",""),
IF(D680="",IF(E680="","","¿Código?"),
IF(E680="","¿Unidades?",
IF(D680="TARE",
IF(M680=$H$3,IFERROR(VLOOKUP(B680,'Baremos actuales'!A:C,3,FALSE),0),
IF(M680=$H$4,IFERROR(VLOOKUP(B680,'Baremos anteriores'!A:C,3,FALSE),0),0))))))</f>
        <v/>
      </c>
      <c r="G680" s="7"/>
      <c r="H680" s="8"/>
      <c r="I680" s="8"/>
      <c r="J680" s="78" t="str">
        <f>IF($D680="","",
IF($E680="","",
IF($D680="MATE","",
IF(VLOOKUP($B680,'Baremos actuales'!A:D,4,FALSE)=J$9,$E680*$F680,IF(VLOOKUP($B680,'Baremos anteriores'!A:D,4,FALSE)="Sin Definir",$E680*$F680,"")))))</f>
        <v/>
      </c>
      <c r="K680" s="79" t="str">
        <f>IF($D680="","",
IF($E680="","",
IF($D680="MATE","",
IF(VLOOKUP($B680,'Baremos actuales'!$A:$D,4,FALSE)=K$9,$E680*$F680,IF(VLOOKUP($B680,'Baremos anteriores'!$A:$D,4,FALSE)="Desmonte",$E680*$F680,"")))))</f>
        <v/>
      </c>
      <c r="L680" s="80" t="str">
        <f>IF($D680="","",
IF($E680="","",
IF($D680="MATE","",
IF(VLOOKUP($B680,'Baremos actuales'!$A:$D,4,FALSE)=L$9,$E680*$F680,""))))</f>
        <v/>
      </c>
      <c r="M680" s="91" t="str">
        <f t="shared" si="10"/>
        <v/>
      </c>
      <c r="N680" s="96"/>
      <c r="O680" s="95"/>
      <c r="P680" s="96"/>
      <c r="Q680" s="98"/>
    </row>
    <row r="681" spans="1:17" ht="15.75" x14ac:dyDescent="0.2">
      <c r="A681" s="17"/>
      <c r="B681" s="18"/>
      <c r="C681" s="87" t="str">
        <f>IF(B681="","",
IF(M681=$H$5,IFERROR(VLOOKUP(B681,'Baremos actuales'!A:E,5,FALSE),"No encontrado. Revisar código, fecha ejecución y/o contrato."),
IF(M681=$H$4,IFERROR(VLOOKUP(B681,'Baremos anteriores'!A:E,5,FALSE),"No encontrado. Revisar código, fecha ejecución y/o contrato."),
IF(M681=$H$3,IFERROR(VLOOKUP(B681,#REF!,5,FALSE),"No encontrado. Revisar código, fecha ejecución y/o contrato."),
IF(D681="","Código no encontrado",
IF(D681="ERROR","No encontrado. Revisar Código, fecha de ejecución y/o contrato.",
IF(D681="MATE",
IF(C680="DESCRIPCION","NO SE PUEDE COMENZAR SIN CÓDIGO DE TAREA",
IF(C680="","FALTA CÓDIGO DE TAREA",
CONCATENATE("          ",VLOOKUP(B681,'Maestro Materiales'!A:C,3,FALSE)))),IFERROR(VLOOKUP(B681,#REF!,5,FALSE),"No encontrado. Revisar código, fecha ejecución y/o contrato."))))))))</f>
        <v/>
      </c>
      <c r="D681" s="88" t="str">
        <f>IF(B681="","",
IFERROR(VLOOKUP(B681,'Maestro Materiales'!A:C,2,FALSE),
IFERROR(VLOOKUP(B681,'Baremos actuales'!A:B,2,FALSE),
IFERROR(VLOOKUP(B681,'Baremos anteriores'!A:B,2,FALSE),
""))))</f>
        <v/>
      </c>
      <c r="E681" s="9"/>
      <c r="F681" s="89" t="str">
        <f>IF(D681="MATE",
IF(E681="","¿Unidades?",""),
IF(D681="",IF(E681="","","¿Código?"),
IF(E681="","¿Unidades?",
IF(D681="TARE",
IF(M681=$H$3,IFERROR(VLOOKUP(B681,'Baremos actuales'!A:C,3,FALSE),0),
IF(M681=$H$4,IFERROR(VLOOKUP(B681,'Baremos anteriores'!A:C,3,FALSE),0),0))))))</f>
        <v/>
      </c>
      <c r="G681" s="7"/>
      <c r="H681" s="8"/>
      <c r="I681" s="8"/>
      <c r="J681" s="78" t="str">
        <f>IF($D681="","",
IF($E681="","",
IF($D681="MATE","",
IF(VLOOKUP($B681,'Baremos actuales'!A:D,4,FALSE)=J$9,$E681*$F681,IF(VLOOKUP($B681,'Baremos anteriores'!A:D,4,FALSE)="Sin Definir",$E681*$F681,"")))))</f>
        <v/>
      </c>
      <c r="K681" s="79" t="str">
        <f>IF($D681="","",
IF($E681="","",
IF($D681="MATE","",
IF(VLOOKUP($B681,'Baremos actuales'!$A:$D,4,FALSE)=K$9,$E681*$F681,IF(VLOOKUP($B681,'Baremos anteriores'!$A:$D,4,FALSE)="Desmonte",$E681*$F681,"")))))</f>
        <v/>
      </c>
      <c r="L681" s="80" t="str">
        <f>IF($D681="","",
IF($E681="","",
IF($D681="MATE","",
IF(VLOOKUP($B681,'Baremos actuales'!$A:$D,4,FALSE)=L$9,$E681*$F681,""))))</f>
        <v/>
      </c>
      <c r="M681" s="91" t="str">
        <f t="shared" si="10"/>
        <v/>
      </c>
      <c r="N681" s="96"/>
      <c r="O681" s="95"/>
      <c r="P681" s="96"/>
      <c r="Q681" s="98"/>
    </row>
    <row r="682" spans="1:17" ht="15.75" x14ac:dyDescent="0.2">
      <c r="A682" s="17"/>
      <c r="B682" s="18"/>
      <c r="C682" s="87" t="str">
        <f>IF(B682="","",
IF(M682=$H$5,IFERROR(VLOOKUP(B682,'Baremos actuales'!A:E,5,FALSE),"No encontrado. Revisar código, fecha ejecución y/o contrato."),
IF(M682=$H$4,IFERROR(VLOOKUP(B682,'Baremos anteriores'!A:E,5,FALSE),"No encontrado. Revisar código, fecha ejecución y/o contrato."),
IF(M682=$H$3,IFERROR(VLOOKUP(B682,#REF!,5,FALSE),"No encontrado. Revisar código, fecha ejecución y/o contrato."),
IF(D682="","Código no encontrado",
IF(D682="ERROR","No encontrado. Revisar Código, fecha de ejecución y/o contrato.",
IF(D682="MATE",
IF(C681="DESCRIPCION","NO SE PUEDE COMENZAR SIN CÓDIGO DE TAREA",
IF(C681="","FALTA CÓDIGO DE TAREA",
CONCATENATE("          ",VLOOKUP(B682,'Maestro Materiales'!A:C,3,FALSE)))),IFERROR(VLOOKUP(B682,#REF!,5,FALSE),"No encontrado. Revisar código, fecha ejecución y/o contrato."))))))))</f>
        <v/>
      </c>
      <c r="D682" s="88" t="str">
        <f>IF(B682="","",
IFERROR(VLOOKUP(B682,'Maestro Materiales'!A:C,2,FALSE),
IFERROR(VLOOKUP(B682,'Baremos actuales'!A:B,2,FALSE),
IFERROR(VLOOKUP(B682,'Baremos anteriores'!A:B,2,FALSE),
""))))</f>
        <v/>
      </c>
      <c r="E682" s="9"/>
      <c r="F682" s="89" t="str">
        <f>IF(D682="MATE",
IF(E682="","¿Unidades?",""),
IF(D682="",IF(E682="","","¿Código?"),
IF(E682="","¿Unidades?",
IF(D682="TARE",
IF(M682=$H$3,IFERROR(VLOOKUP(B682,'Baremos actuales'!A:C,3,FALSE),0),
IF(M682=$H$4,IFERROR(VLOOKUP(B682,'Baremos anteriores'!A:C,3,FALSE),0),0))))))</f>
        <v/>
      </c>
      <c r="G682" s="7"/>
      <c r="H682" s="8"/>
      <c r="I682" s="8"/>
      <c r="J682" s="78" t="str">
        <f>IF($D682="","",
IF($E682="","",
IF($D682="MATE","",
IF(VLOOKUP($B682,'Baremos actuales'!A:D,4,FALSE)=J$9,$E682*$F682,IF(VLOOKUP($B682,'Baremos anteriores'!A:D,4,FALSE)="Sin Definir",$E682*$F682,"")))))</f>
        <v/>
      </c>
      <c r="K682" s="79" t="str">
        <f>IF($D682="","",
IF($E682="","",
IF($D682="MATE","",
IF(VLOOKUP($B682,'Baremos actuales'!$A:$D,4,FALSE)=K$9,$E682*$F682,IF(VLOOKUP($B682,'Baremos anteriores'!$A:$D,4,FALSE)="Desmonte",$E682*$F682,"")))))</f>
        <v/>
      </c>
      <c r="L682" s="80" t="str">
        <f>IF($D682="","",
IF($E682="","",
IF($D682="MATE","",
IF(VLOOKUP($B682,'Baremos actuales'!$A:$D,4,FALSE)=L$9,$E682*$F682,""))))</f>
        <v/>
      </c>
      <c r="M682" s="91" t="str">
        <f t="shared" si="10"/>
        <v/>
      </c>
      <c r="N682" s="96"/>
      <c r="O682" s="95"/>
      <c r="P682" s="96"/>
      <c r="Q682" s="98"/>
    </row>
    <row r="683" spans="1:17" ht="15.75" x14ac:dyDescent="0.2">
      <c r="A683" s="17"/>
      <c r="B683" s="18"/>
      <c r="C683" s="87" t="str">
        <f>IF(B683="","",
IF(M683=$H$5,IFERROR(VLOOKUP(B683,'Baremos actuales'!A:E,5,FALSE),"No encontrado. Revisar código, fecha ejecución y/o contrato."),
IF(M683=$H$4,IFERROR(VLOOKUP(B683,'Baremos anteriores'!A:E,5,FALSE),"No encontrado. Revisar código, fecha ejecución y/o contrato."),
IF(M683=$H$3,IFERROR(VLOOKUP(B683,#REF!,5,FALSE),"No encontrado. Revisar código, fecha ejecución y/o contrato."),
IF(D683="","Código no encontrado",
IF(D683="ERROR","No encontrado. Revisar Código, fecha de ejecución y/o contrato.",
IF(D683="MATE",
IF(C682="DESCRIPCION","NO SE PUEDE COMENZAR SIN CÓDIGO DE TAREA",
IF(C682="","FALTA CÓDIGO DE TAREA",
CONCATENATE("          ",VLOOKUP(B683,'Maestro Materiales'!A:C,3,FALSE)))),IFERROR(VLOOKUP(B683,#REF!,5,FALSE),"No encontrado. Revisar código, fecha ejecución y/o contrato."))))))))</f>
        <v/>
      </c>
      <c r="D683" s="88" t="str">
        <f>IF(B683="","",
IFERROR(VLOOKUP(B683,'Maestro Materiales'!A:C,2,FALSE),
IFERROR(VLOOKUP(B683,'Baremos actuales'!A:B,2,FALSE),
IFERROR(VLOOKUP(B683,'Baremos anteriores'!A:B,2,FALSE),
""))))</f>
        <v/>
      </c>
      <c r="E683" s="9"/>
      <c r="F683" s="89" t="str">
        <f>IF(D683="MATE",
IF(E683="","¿Unidades?",""),
IF(D683="",IF(E683="","","¿Código?"),
IF(E683="","¿Unidades?",
IF(D683="TARE",
IF(M683=$H$3,IFERROR(VLOOKUP(B683,'Baremos actuales'!A:C,3,FALSE),0),
IF(M683=$H$4,IFERROR(VLOOKUP(B683,'Baremos anteriores'!A:C,3,FALSE),0),0))))))</f>
        <v/>
      </c>
      <c r="G683" s="7"/>
      <c r="H683" s="8"/>
      <c r="I683" s="8"/>
      <c r="J683" s="78" t="str">
        <f>IF($D683="","",
IF($E683="","",
IF($D683="MATE","",
IF(VLOOKUP($B683,'Baremos actuales'!A:D,4,FALSE)=J$9,$E683*$F683,IF(VLOOKUP($B683,'Baremos anteriores'!A:D,4,FALSE)="Sin Definir",$E683*$F683,"")))))</f>
        <v/>
      </c>
      <c r="K683" s="79" t="str">
        <f>IF($D683="","",
IF($E683="","",
IF($D683="MATE","",
IF(VLOOKUP($B683,'Baremos actuales'!$A:$D,4,FALSE)=K$9,$E683*$F683,IF(VLOOKUP($B683,'Baremos anteriores'!$A:$D,4,FALSE)="Desmonte",$E683*$F683,"")))))</f>
        <v/>
      </c>
      <c r="L683" s="80" t="str">
        <f>IF($D683="","",
IF($E683="","",
IF($D683="MATE","",
IF(VLOOKUP($B683,'Baremos actuales'!$A:$D,4,FALSE)=L$9,$E683*$F683,""))))</f>
        <v/>
      </c>
      <c r="M683" s="91" t="str">
        <f t="shared" si="10"/>
        <v/>
      </c>
      <c r="N683" s="96"/>
      <c r="O683" s="95"/>
      <c r="P683" s="96"/>
      <c r="Q683" s="98"/>
    </row>
    <row r="684" spans="1:17" ht="15.75" x14ac:dyDescent="0.2">
      <c r="A684" s="17"/>
      <c r="B684" s="18"/>
      <c r="C684" s="87" t="str">
        <f>IF(B684="","",
IF(M684=$H$5,IFERROR(VLOOKUP(B684,'Baremos actuales'!A:E,5,FALSE),"No encontrado. Revisar código, fecha ejecución y/o contrato."),
IF(M684=$H$4,IFERROR(VLOOKUP(B684,'Baremos anteriores'!A:E,5,FALSE),"No encontrado. Revisar código, fecha ejecución y/o contrato."),
IF(M684=$H$3,IFERROR(VLOOKUP(B684,#REF!,5,FALSE),"No encontrado. Revisar código, fecha ejecución y/o contrato."),
IF(D684="","Código no encontrado",
IF(D684="ERROR","No encontrado. Revisar Código, fecha de ejecución y/o contrato.",
IF(D684="MATE",
IF(C683="DESCRIPCION","NO SE PUEDE COMENZAR SIN CÓDIGO DE TAREA",
IF(C683="","FALTA CÓDIGO DE TAREA",
CONCATENATE("          ",VLOOKUP(B684,'Maestro Materiales'!A:C,3,FALSE)))),IFERROR(VLOOKUP(B684,#REF!,5,FALSE),"No encontrado. Revisar código, fecha ejecución y/o contrato."))))))))</f>
        <v/>
      </c>
      <c r="D684" s="88" t="str">
        <f>IF(B684="","",
IFERROR(VLOOKUP(B684,'Maestro Materiales'!A:C,2,FALSE),
IFERROR(VLOOKUP(B684,'Baremos actuales'!A:B,2,FALSE),
IFERROR(VLOOKUP(B684,'Baremos anteriores'!A:B,2,FALSE),
""))))</f>
        <v/>
      </c>
      <c r="E684" s="9"/>
      <c r="F684" s="89" t="str">
        <f>IF(D684="MATE",
IF(E684="","¿Unidades?",""),
IF(D684="",IF(E684="","","¿Código?"),
IF(E684="","¿Unidades?",
IF(D684="TARE",
IF(M684=$H$3,IFERROR(VLOOKUP(B684,'Baremos actuales'!A:C,3,FALSE),0),
IF(M684=$H$4,IFERROR(VLOOKUP(B684,'Baremos anteriores'!A:C,3,FALSE),0),0))))))</f>
        <v/>
      </c>
      <c r="G684" s="7"/>
      <c r="H684" s="8"/>
      <c r="I684" s="8"/>
      <c r="J684" s="78" t="str">
        <f>IF($D684="","",
IF($E684="","",
IF($D684="MATE","",
IF(VLOOKUP($B684,'Baremos actuales'!A:D,4,FALSE)=J$9,$E684*$F684,IF(VLOOKUP($B684,'Baremos anteriores'!A:D,4,FALSE)="Sin Definir",$E684*$F684,"")))))</f>
        <v/>
      </c>
      <c r="K684" s="79" t="str">
        <f>IF($D684="","",
IF($E684="","",
IF($D684="MATE","",
IF(VLOOKUP($B684,'Baremos actuales'!$A:$D,4,FALSE)=K$9,$E684*$F684,IF(VLOOKUP($B684,'Baremos anteriores'!$A:$D,4,FALSE)="Desmonte",$E684*$F684,"")))))</f>
        <v/>
      </c>
      <c r="L684" s="80" t="str">
        <f>IF($D684="","",
IF($E684="","",
IF($D684="MATE","",
IF(VLOOKUP($B684,'Baremos actuales'!$A:$D,4,FALSE)=L$9,$E684*$F684,""))))</f>
        <v/>
      </c>
      <c r="M684" s="91" t="str">
        <f t="shared" si="10"/>
        <v/>
      </c>
      <c r="N684" s="96"/>
      <c r="O684" s="95"/>
      <c r="P684" s="96"/>
      <c r="Q684" s="98"/>
    </row>
    <row r="685" spans="1:17" ht="15.75" x14ac:dyDescent="0.2">
      <c r="A685" s="17"/>
      <c r="B685" s="18"/>
      <c r="C685" s="87" t="str">
        <f>IF(B685="","",
IF(M685=$H$5,IFERROR(VLOOKUP(B685,'Baremos actuales'!A:E,5,FALSE),"No encontrado. Revisar código, fecha ejecución y/o contrato."),
IF(M685=$H$4,IFERROR(VLOOKUP(B685,'Baremos anteriores'!A:E,5,FALSE),"No encontrado. Revisar código, fecha ejecución y/o contrato."),
IF(M685=$H$3,IFERROR(VLOOKUP(B685,#REF!,5,FALSE),"No encontrado. Revisar código, fecha ejecución y/o contrato."),
IF(D685="","Código no encontrado",
IF(D685="ERROR","No encontrado. Revisar Código, fecha de ejecución y/o contrato.",
IF(D685="MATE",
IF(C684="DESCRIPCION","NO SE PUEDE COMENZAR SIN CÓDIGO DE TAREA",
IF(C684="","FALTA CÓDIGO DE TAREA",
CONCATENATE("          ",VLOOKUP(B685,'Maestro Materiales'!A:C,3,FALSE)))),IFERROR(VLOOKUP(B685,#REF!,5,FALSE),"No encontrado. Revisar código, fecha ejecución y/o contrato."))))))))</f>
        <v/>
      </c>
      <c r="D685" s="88" t="str">
        <f>IF(B685="","",
IFERROR(VLOOKUP(B685,'Maestro Materiales'!A:C,2,FALSE),
IFERROR(VLOOKUP(B685,'Baremos actuales'!A:B,2,FALSE),
IFERROR(VLOOKUP(B685,'Baremos anteriores'!A:B,2,FALSE),
""))))</f>
        <v/>
      </c>
      <c r="E685" s="9"/>
      <c r="F685" s="89" t="str">
        <f>IF(D685="MATE",
IF(E685="","¿Unidades?",""),
IF(D685="",IF(E685="","","¿Código?"),
IF(E685="","¿Unidades?",
IF(D685="TARE",
IF(M685=$H$3,IFERROR(VLOOKUP(B685,'Baremos actuales'!A:C,3,FALSE),0),
IF(M685=$H$4,IFERROR(VLOOKUP(B685,'Baremos anteriores'!A:C,3,FALSE),0),0))))))</f>
        <v/>
      </c>
      <c r="G685" s="7"/>
      <c r="H685" s="8"/>
      <c r="I685" s="8"/>
      <c r="J685" s="78" t="str">
        <f>IF($D685="","",
IF($E685="","",
IF($D685="MATE","",
IF(VLOOKUP($B685,'Baremos actuales'!A:D,4,FALSE)=J$9,$E685*$F685,IF(VLOOKUP($B685,'Baremos anteriores'!A:D,4,FALSE)="Sin Definir",$E685*$F685,"")))))</f>
        <v/>
      </c>
      <c r="K685" s="79" t="str">
        <f>IF($D685="","",
IF($E685="","",
IF($D685="MATE","",
IF(VLOOKUP($B685,'Baremos actuales'!$A:$D,4,FALSE)=K$9,$E685*$F685,IF(VLOOKUP($B685,'Baremos anteriores'!$A:$D,4,FALSE)="Desmonte",$E685*$F685,"")))))</f>
        <v/>
      </c>
      <c r="L685" s="80" t="str">
        <f>IF($D685="","",
IF($E685="","",
IF($D685="MATE","",
IF(VLOOKUP($B685,'Baremos actuales'!$A:$D,4,FALSE)=L$9,$E685*$F685,""))))</f>
        <v/>
      </c>
      <c r="M685" s="91" t="str">
        <f t="shared" si="10"/>
        <v/>
      </c>
      <c r="N685" s="96"/>
      <c r="O685" s="95"/>
      <c r="P685" s="96"/>
      <c r="Q685" s="98"/>
    </row>
    <row r="686" spans="1:17" ht="15.75" x14ac:dyDescent="0.2">
      <c r="A686" s="17"/>
      <c r="B686" s="18"/>
      <c r="C686" s="87" t="str">
        <f>IF(B686="","",
IF(M686=$H$5,IFERROR(VLOOKUP(B686,'Baremos actuales'!A:E,5,FALSE),"No encontrado. Revisar código, fecha ejecución y/o contrato."),
IF(M686=$H$4,IFERROR(VLOOKUP(B686,'Baremos anteriores'!A:E,5,FALSE),"No encontrado. Revisar código, fecha ejecución y/o contrato."),
IF(M686=$H$3,IFERROR(VLOOKUP(B686,#REF!,5,FALSE),"No encontrado. Revisar código, fecha ejecución y/o contrato."),
IF(D686="","Código no encontrado",
IF(D686="ERROR","No encontrado. Revisar Código, fecha de ejecución y/o contrato.",
IF(D686="MATE",
IF(C685="DESCRIPCION","NO SE PUEDE COMENZAR SIN CÓDIGO DE TAREA",
IF(C685="","FALTA CÓDIGO DE TAREA",
CONCATENATE("          ",VLOOKUP(B686,'Maestro Materiales'!A:C,3,FALSE)))),IFERROR(VLOOKUP(B686,#REF!,5,FALSE),"No encontrado. Revisar código, fecha ejecución y/o contrato."))))))))</f>
        <v/>
      </c>
      <c r="D686" s="88" t="str">
        <f>IF(B686="","",
IFERROR(VLOOKUP(B686,'Maestro Materiales'!A:C,2,FALSE),
IFERROR(VLOOKUP(B686,'Baremos actuales'!A:B,2,FALSE),
IFERROR(VLOOKUP(B686,'Baremos anteriores'!A:B,2,FALSE),
""))))</f>
        <v/>
      </c>
      <c r="E686" s="9"/>
      <c r="F686" s="89" t="str">
        <f>IF(D686="MATE",
IF(E686="","¿Unidades?",""),
IF(D686="",IF(E686="","","¿Código?"),
IF(E686="","¿Unidades?",
IF(D686="TARE",
IF(M686=$H$3,IFERROR(VLOOKUP(B686,'Baremos actuales'!A:C,3,FALSE),0),
IF(M686=$H$4,IFERROR(VLOOKUP(B686,'Baremos anteriores'!A:C,3,FALSE),0),0))))))</f>
        <v/>
      </c>
      <c r="G686" s="7"/>
      <c r="H686" s="8"/>
      <c r="I686" s="8"/>
      <c r="J686" s="78" t="str">
        <f>IF($D686="","",
IF($E686="","",
IF($D686="MATE","",
IF(VLOOKUP($B686,'Baremos actuales'!A:D,4,FALSE)=J$9,$E686*$F686,IF(VLOOKUP($B686,'Baremos anteriores'!A:D,4,FALSE)="Sin Definir",$E686*$F686,"")))))</f>
        <v/>
      </c>
      <c r="K686" s="79" t="str">
        <f>IF($D686="","",
IF($E686="","",
IF($D686="MATE","",
IF(VLOOKUP($B686,'Baremos actuales'!$A:$D,4,FALSE)=K$9,$E686*$F686,IF(VLOOKUP($B686,'Baremos anteriores'!$A:$D,4,FALSE)="Desmonte",$E686*$F686,"")))))</f>
        <v/>
      </c>
      <c r="L686" s="80" t="str">
        <f>IF($D686="","",
IF($E686="","",
IF($D686="MATE","",
IF(VLOOKUP($B686,'Baremos actuales'!$A:$D,4,FALSE)=L$9,$E686*$F686,""))))</f>
        <v/>
      </c>
      <c r="M686" s="91" t="str">
        <f t="shared" si="10"/>
        <v/>
      </c>
      <c r="N686" s="96"/>
      <c r="O686" s="95"/>
      <c r="P686" s="96"/>
      <c r="Q686" s="98"/>
    </row>
    <row r="687" spans="1:17" ht="15.75" x14ac:dyDescent="0.2">
      <c r="A687" s="17"/>
      <c r="B687" s="18"/>
      <c r="C687" s="87" t="str">
        <f>IF(B687="","",
IF(M687=$H$5,IFERROR(VLOOKUP(B687,'Baremos actuales'!A:E,5,FALSE),"No encontrado. Revisar código, fecha ejecución y/o contrato."),
IF(M687=$H$4,IFERROR(VLOOKUP(B687,'Baremos anteriores'!A:E,5,FALSE),"No encontrado. Revisar código, fecha ejecución y/o contrato."),
IF(M687=$H$3,IFERROR(VLOOKUP(B687,#REF!,5,FALSE),"No encontrado. Revisar código, fecha ejecución y/o contrato."),
IF(D687="","Código no encontrado",
IF(D687="ERROR","No encontrado. Revisar Código, fecha de ejecución y/o contrato.",
IF(D687="MATE",
IF(C686="DESCRIPCION","NO SE PUEDE COMENZAR SIN CÓDIGO DE TAREA",
IF(C686="","FALTA CÓDIGO DE TAREA",
CONCATENATE("          ",VLOOKUP(B687,'Maestro Materiales'!A:C,3,FALSE)))),IFERROR(VLOOKUP(B687,#REF!,5,FALSE),"No encontrado. Revisar código, fecha ejecución y/o contrato."))))))))</f>
        <v/>
      </c>
      <c r="D687" s="88" t="str">
        <f>IF(B687="","",
IFERROR(VLOOKUP(B687,'Maestro Materiales'!A:C,2,FALSE),
IFERROR(VLOOKUP(B687,'Baremos actuales'!A:B,2,FALSE),
IFERROR(VLOOKUP(B687,'Baremos anteriores'!A:B,2,FALSE),
""))))</f>
        <v/>
      </c>
      <c r="E687" s="9"/>
      <c r="F687" s="89" t="str">
        <f>IF(D687="MATE",
IF(E687="","¿Unidades?",""),
IF(D687="",IF(E687="","","¿Código?"),
IF(E687="","¿Unidades?",
IF(D687="TARE",
IF(M687=$H$3,IFERROR(VLOOKUP(B687,'Baremos actuales'!A:C,3,FALSE),0),
IF(M687=$H$4,IFERROR(VLOOKUP(B687,'Baremos anteriores'!A:C,3,FALSE),0),0))))))</f>
        <v/>
      </c>
      <c r="G687" s="7"/>
      <c r="H687" s="8"/>
      <c r="I687" s="8"/>
      <c r="J687" s="78" t="str">
        <f>IF($D687="","",
IF($E687="","",
IF($D687="MATE","",
IF(VLOOKUP($B687,'Baremos actuales'!A:D,4,FALSE)=J$9,$E687*$F687,IF(VLOOKUP($B687,'Baremos anteriores'!A:D,4,FALSE)="Sin Definir",$E687*$F687,"")))))</f>
        <v/>
      </c>
      <c r="K687" s="79" t="str">
        <f>IF($D687="","",
IF($E687="","",
IF($D687="MATE","",
IF(VLOOKUP($B687,'Baremos actuales'!$A:$D,4,FALSE)=K$9,$E687*$F687,IF(VLOOKUP($B687,'Baremos anteriores'!$A:$D,4,FALSE)="Desmonte",$E687*$F687,"")))))</f>
        <v/>
      </c>
      <c r="L687" s="80" t="str">
        <f>IF($D687="","",
IF($E687="","",
IF($D687="MATE","",
IF(VLOOKUP($B687,'Baremos actuales'!$A:$D,4,FALSE)=L$9,$E687*$F687,""))))</f>
        <v/>
      </c>
      <c r="M687" s="91" t="str">
        <f t="shared" si="10"/>
        <v/>
      </c>
      <c r="N687" s="96"/>
      <c r="O687" s="95"/>
      <c r="P687" s="96"/>
      <c r="Q687" s="98"/>
    </row>
    <row r="688" spans="1:17" ht="15.75" x14ac:dyDescent="0.2">
      <c r="A688" s="17"/>
      <c r="B688" s="18"/>
      <c r="C688" s="87" t="str">
        <f>IF(B688="","",
IF(M688=$H$5,IFERROR(VLOOKUP(B688,'Baremos actuales'!A:E,5,FALSE),"No encontrado. Revisar código, fecha ejecución y/o contrato."),
IF(M688=$H$4,IFERROR(VLOOKUP(B688,'Baremos anteriores'!A:E,5,FALSE),"No encontrado. Revisar código, fecha ejecución y/o contrato."),
IF(M688=$H$3,IFERROR(VLOOKUP(B688,#REF!,5,FALSE),"No encontrado. Revisar código, fecha ejecución y/o contrato."),
IF(D688="","Código no encontrado",
IF(D688="ERROR","No encontrado. Revisar Código, fecha de ejecución y/o contrato.",
IF(D688="MATE",
IF(C687="DESCRIPCION","NO SE PUEDE COMENZAR SIN CÓDIGO DE TAREA",
IF(C687="","FALTA CÓDIGO DE TAREA",
CONCATENATE("          ",VLOOKUP(B688,'Maestro Materiales'!A:C,3,FALSE)))),IFERROR(VLOOKUP(B688,#REF!,5,FALSE),"No encontrado. Revisar código, fecha ejecución y/o contrato."))))))))</f>
        <v/>
      </c>
      <c r="D688" s="88" t="str">
        <f>IF(B688="","",
IFERROR(VLOOKUP(B688,'Maestro Materiales'!A:C,2,FALSE),
IFERROR(VLOOKUP(B688,'Baremos actuales'!A:B,2,FALSE),
IFERROR(VLOOKUP(B688,'Baremos anteriores'!A:B,2,FALSE),
""))))</f>
        <v/>
      </c>
      <c r="E688" s="9"/>
      <c r="F688" s="89" t="str">
        <f>IF(D688="MATE",
IF(E688="","¿Unidades?",""),
IF(D688="",IF(E688="","","¿Código?"),
IF(E688="","¿Unidades?",
IF(D688="TARE",
IF(M688=$H$3,IFERROR(VLOOKUP(B688,'Baremos actuales'!A:C,3,FALSE),0),
IF(M688=$H$4,IFERROR(VLOOKUP(B688,'Baremos anteriores'!A:C,3,FALSE),0),0))))))</f>
        <v/>
      </c>
      <c r="G688" s="7"/>
      <c r="H688" s="8"/>
      <c r="I688" s="8"/>
      <c r="J688" s="78" t="str">
        <f>IF($D688="","",
IF($E688="","",
IF($D688="MATE","",
IF(VLOOKUP($B688,'Baremos actuales'!A:D,4,FALSE)=J$9,$E688*$F688,IF(VLOOKUP($B688,'Baremos anteriores'!A:D,4,FALSE)="Sin Definir",$E688*$F688,"")))))</f>
        <v/>
      </c>
      <c r="K688" s="79" t="str">
        <f>IF($D688="","",
IF($E688="","",
IF($D688="MATE","",
IF(VLOOKUP($B688,'Baremos actuales'!$A:$D,4,FALSE)=K$9,$E688*$F688,IF(VLOOKUP($B688,'Baremos anteriores'!$A:$D,4,FALSE)="Desmonte",$E688*$F688,"")))))</f>
        <v/>
      </c>
      <c r="L688" s="80" t="str">
        <f>IF($D688="","",
IF($E688="","",
IF($D688="MATE","",
IF(VLOOKUP($B688,'Baremos actuales'!$A:$D,4,FALSE)=L$9,$E688*$F688,""))))</f>
        <v/>
      </c>
      <c r="M688" s="91" t="str">
        <f t="shared" si="10"/>
        <v/>
      </c>
      <c r="N688" s="96"/>
      <c r="O688" s="95"/>
      <c r="P688" s="96"/>
      <c r="Q688" s="98"/>
    </row>
    <row r="689" spans="1:17" ht="15.75" x14ac:dyDescent="0.2">
      <c r="A689" s="17"/>
      <c r="B689" s="18"/>
      <c r="C689" s="87" t="str">
        <f>IF(B689="","",
IF(M689=$H$5,IFERROR(VLOOKUP(B689,'Baremos actuales'!A:E,5,FALSE),"No encontrado. Revisar código, fecha ejecución y/o contrato."),
IF(M689=$H$4,IFERROR(VLOOKUP(B689,'Baremos anteriores'!A:E,5,FALSE),"No encontrado. Revisar código, fecha ejecución y/o contrato."),
IF(M689=$H$3,IFERROR(VLOOKUP(B689,#REF!,5,FALSE),"No encontrado. Revisar código, fecha ejecución y/o contrato."),
IF(D689="","Código no encontrado",
IF(D689="ERROR","No encontrado. Revisar Código, fecha de ejecución y/o contrato.",
IF(D689="MATE",
IF(C688="DESCRIPCION","NO SE PUEDE COMENZAR SIN CÓDIGO DE TAREA",
IF(C688="","FALTA CÓDIGO DE TAREA",
CONCATENATE("          ",VLOOKUP(B689,'Maestro Materiales'!A:C,3,FALSE)))),IFERROR(VLOOKUP(B689,#REF!,5,FALSE),"No encontrado. Revisar código, fecha ejecución y/o contrato."))))))))</f>
        <v/>
      </c>
      <c r="D689" s="88" t="str">
        <f>IF(B689="","",
IFERROR(VLOOKUP(B689,'Maestro Materiales'!A:C,2,FALSE),
IFERROR(VLOOKUP(B689,'Baremos actuales'!A:B,2,FALSE),
IFERROR(VLOOKUP(B689,'Baremos anteriores'!A:B,2,FALSE),
""))))</f>
        <v/>
      </c>
      <c r="E689" s="9"/>
      <c r="F689" s="89" t="str">
        <f>IF(D689="MATE",
IF(E689="","¿Unidades?",""),
IF(D689="",IF(E689="","","¿Código?"),
IF(E689="","¿Unidades?",
IF(D689="TARE",
IF(M689=$H$3,IFERROR(VLOOKUP(B689,'Baremos actuales'!A:C,3,FALSE),0),
IF(M689=$H$4,IFERROR(VLOOKUP(B689,'Baremos anteriores'!A:C,3,FALSE),0),0))))))</f>
        <v/>
      </c>
      <c r="G689" s="7"/>
      <c r="H689" s="8"/>
      <c r="I689" s="8"/>
      <c r="J689" s="78" t="str">
        <f>IF($D689="","",
IF($E689="","",
IF($D689="MATE","",
IF(VLOOKUP($B689,'Baremos actuales'!A:D,4,FALSE)=J$9,$E689*$F689,IF(VLOOKUP($B689,'Baremos anteriores'!A:D,4,FALSE)="Sin Definir",$E689*$F689,"")))))</f>
        <v/>
      </c>
      <c r="K689" s="79" t="str">
        <f>IF($D689="","",
IF($E689="","",
IF($D689="MATE","",
IF(VLOOKUP($B689,'Baremos actuales'!$A:$D,4,FALSE)=K$9,$E689*$F689,IF(VLOOKUP($B689,'Baremos anteriores'!$A:$D,4,FALSE)="Desmonte",$E689*$F689,"")))))</f>
        <v/>
      </c>
      <c r="L689" s="80" t="str">
        <f>IF($D689="","",
IF($E689="","",
IF($D689="MATE","",
IF(VLOOKUP($B689,'Baremos actuales'!$A:$D,4,FALSE)=L$9,$E689*$F689,""))))</f>
        <v/>
      </c>
      <c r="M689" s="91" t="str">
        <f t="shared" si="10"/>
        <v/>
      </c>
      <c r="N689" s="96"/>
      <c r="O689" s="95"/>
      <c r="P689" s="96"/>
      <c r="Q689" s="98"/>
    </row>
    <row r="690" spans="1:17" ht="15.75" x14ac:dyDescent="0.2">
      <c r="A690" s="17"/>
      <c r="B690" s="18"/>
      <c r="C690" s="87" t="str">
        <f>IF(B690="","",
IF(M690=$H$5,IFERROR(VLOOKUP(B690,'Baremos actuales'!A:E,5,FALSE),"No encontrado. Revisar código, fecha ejecución y/o contrato."),
IF(M690=$H$4,IFERROR(VLOOKUP(B690,'Baremos anteriores'!A:E,5,FALSE),"No encontrado. Revisar código, fecha ejecución y/o contrato."),
IF(M690=$H$3,IFERROR(VLOOKUP(B690,#REF!,5,FALSE),"No encontrado. Revisar código, fecha ejecución y/o contrato."),
IF(D690="","Código no encontrado",
IF(D690="ERROR","No encontrado. Revisar Código, fecha de ejecución y/o contrato.",
IF(D690="MATE",
IF(C689="DESCRIPCION","NO SE PUEDE COMENZAR SIN CÓDIGO DE TAREA",
IF(C689="","FALTA CÓDIGO DE TAREA",
CONCATENATE("          ",VLOOKUP(B690,'Maestro Materiales'!A:C,3,FALSE)))),IFERROR(VLOOKUP(B690,#REF!,5,FALSE),"No encontrado. Revisar código, fecha ejecución y/o contrato."))))))))</f>
        <v/>
      </c>
      <c r="D690" s="88" t="str">
        <f>IF(B690="","",
IFERROR(VLOOKUP(B690,'Maestro Materiales'!A:C,2,FALSE),
IFERROR(VLOOKUP(B690,'Baremos actuales'!A:B,2,FALSE),
IFERROR(VLOOKUP(B690,'Baremos anteriores'!A:B,2,FALSE),
""))))</f>
        <v/>
      </c>
      <c r="E690" s="9"/>
      <c r="F690" s="89" t="str">
        <f>IF(D690="MATE",
IF(E690="","¿Unidades?",""),
IF(D690="",IF(E690="","","¿Código?"),
IF(E690="","¿Unidades?",
IF(D690="TARE",
IF(M690=$H$3,IFERROR(VLOOKUP(B690,'Baremos actuales'!A:C,3,FALSE),0),
IF(M690=$H$4,IFERROR(VLOOKUP(B690,'Baremos anteriores'!A:C,3,FALSE),0),0))))))</f>
        <v/>
      </c>
      <c r="G690" s="7"/>
      <c r="H690" s="8"/>
      <c r="I690" s="8"/>
      <c r="J690" s="78" t="str">
        <f>IF($D690="","",
IF($E690="","",
IF($D690="MATE","",
IF(VLOOKUP($B690,'Baremos actuales'!A:D,4,FALSE)=J$9,$E690*$F690,IF(VLOOKUP($B690,'Baremos anteriores'!A:D,4,FALSE)="Sin Definir",$E690*$F690,"")))))</f>
        <v/>
      </c>
      <c r="K690" s="79" t="str">
        <f>IF($D690="","",
IF($E690="","",
IF($D690="MATE","",
IF(VLOOKUP($B690,'Baremos actuales'!$A:$D,4,FALSE)=K$9,$E690*$F690,IF(VLOOKUP($B690,'Baremos anteriores'!$A:$D,4,FALSE)="Desmonte",$E690*$F690,"")))))</f>
        <v/>
      </c>
      <c r="L690" s="80" t="str">
        <f>IF($D690="","",
IF($E690="","",
IF($D690="MATE","",
IF(VLOOKUP($B690,'Baremos actuales'!$A:$D,4,FALSE)=L$9,$E690*$F690,""))))</f>
        <v/>
      </c>
      <c r="M690" s="91" t="str">
        <f t="shared" si="10"/>
        <v/>
      </c>
      <c r="N690" s="96"/>
      <c r="O690" s="95"/>
      <c r="P690" s="96"/>
      <c r="Q690" s="98"/>
    </row>
    <row r="691" spans="1:17" ht="15.75" x14ac:dyDescent="0.2">
      <c r="A691" s="17"/>
      <c r="B691" s="18"/>
      <c r="C691" s="87" t="str">
        <f>IF(B691="","",
IF(M691=$H$5,IFERROR(VLOOKUP(B691,'Baremos actuales'!A:E,5,FALSE),"No encontrado. Revisar código, fecha ejecución y/o contrato."),
IF(M691=$H$4,IFERROR(VLOOKUP(B691,'Baremos anteriores'!A:E,5,FALSE),"No encontrado. Revisar código, fecha ejecución y/o contrato."),
IF(M691=$H$3,IFERROR(VLOOKUP(B691,#REF!,5,FALSE),"No encontrado. Revisar código, fecha ejecución y/o contrato."),
IF(D691="","Código no encontrado",
IF(D691="ERROR","No encontrado. Revisar Código, fecha de ejecución y/o contrato.",
IF(D691="MATE",
IF(C690="DESCRIPCION","NO SE PUEDE COMENZAR SIN CÓDIGO DE TAREA",
IF(C690="","FALTA CÓDIGO DE TAREA",
CONCATENATE("          ",VLOOKUP(B691,'Maestro Materiales'!A:C,3,FALSE)))),IFERROR(VLOOKUP(B691,#REF!,5,FALSE),"No encontrado. Revisar código, fecha ejecución y/o contrato."))))))))</f>
        <v/>
      </c>
      <c r="D691" s="88" t="str">
        <f>IF(B691="","",
IFERROR(VLOOKUP(B691,'Maestro Materiales'!A:C,2,FALSE),
IFERROR(VLOOKUP(B691,'Baremos actuales'!A:B,2,FALSE),
IFERROR(VLOOKUP(B691,'Baremos anteriores'!A:B,2,FALSE),
""))))</f>
        <v/>
      </c>
      <c r="E691" s="9"/>
      <c r="F691" s="89" t="str">
        <f>IF(D691="MATE",
IF(E691="","¿Unidades?",""),
IF(D691="",IF(E691="","","¿Código?"),
IF(E691="","¿Unidades?",
IF(D691="TARE",
IF(M691=$H$3,IFERROR(VLOOKUP(B691,'Baremos actuales'!A:C,3,FALSE),0),
IF(M691=$H$4,IFERROR(VLOOKUP(B691,'Baremos anteriores'!A:C,3,FALSE),0),0))))))</f>
        <v/>
      </c>
      <c r="G691" s="7"/>
      <c r="H691" s="8"/>
      <c r="I691" s="8"/>
      <c r="J691" s="78" t="str">
        <f>IF($D691="","",
IF($E691="","",
IF($D691="MATE","",
IF(VLOOKUP($B691,'Baremos actuales'!A:D,4,FALSE)=J$9,$E691*$F691,IF(VLOOKUP($B691,'Baremos anteriores'!A:D,4,FALSE)="Sin Definir",$E691*$F691,"")))))</f>
        <v/>
      </c>
      <c r="K691" s="79" t="str">
        <f>IF($D691="","",
IF($E691="","",
IF($D691="MATE","",
IF(VLOOKUP($B691,'Baremos actuales'!$A:$D,4,FALSE)=K$9,$E691*$F691,IF(VLOOKUP($B691,'Baremos anteriores'!$A:$D,4,FALSE)="Desmonte",$E691*$F691,"")))))</f>
        <v/>
      </c>
      <c r="L691" s="80" t="str">
        <f>IF($D691="","",
IF($E691="","",
IF($D691="MATE","",
IF(VLOOKUP($B691,'Baremos actuales'!$A:$D,4,FALSE)=L$9,$E691*$F691,""))))</f>
        <v/>
      </c>
      <c r="M691" s="91" t="str">
        <f t="shared" si="10"/>
        <v/>
      </c>
      <c r="N691" s="96"/>
      <c r="O691" s="95"/>
      <c r="P691" s="96"/>
      <c r="Q691" s="98"/>
    </row>
    <row r="692" spans="1:17" ht="15.75" x14ac:dyDescent="0.2">
      <c r="A692" s="17"/>
      <c r="B692" s="18"/>
      <c r="C692" s="87" t="str">
        <f>IF(B692="","",
IF(M692=$H$5,IFERROR(VLOOKUP(B692,'Baremos actuales'!A:E,5,FALSE),"No encontrado. Revisar código, fecha ejecución y/o contrato."),
IF(M692=$H$4,IFERROR(VLOOKUP(B692,'Baremos anteriores'!A:E,5,FALSE),"No encontrado. Revisar código, fecha ejecución y/o contrato."),
IF(M692=$H$3,IFERROR(VLOOKUP(B692,#REF!,5,FALSE),"No encontrado. Revisar código, fecha ejecución y/o contrato."),
IF(D692="","Código no encontrado",
IF(D692="ERROR","No encontrado. Revisar Código, fecha de ejecución y/o contrato.",
IF(D692="MATE",
IF(C691="DESCRIPCION","NO SE PUEDE COMENZAR SIN CÓDIGO DE TAREA",
IF(C691="","FALTA CÓDIGO DE TAREA",
CONCATENATE("          ",VLOOKUP(B692,'Maestro Materiales'!A:C,3,FALSE)))),IFERROR(VLOOKUP(B692,#REF!,5,FALSE),"No encontrado. Revisar código, fecha ejecución y/o contrato."))))))))</f>
        <v/>
      </c>
      <c r="D692" s="88" t="str">
        <f>IF(B692="","",
IFERROR(VLOOKUP(B692,'Maestro Materiales'!A:C,2,FALSE),
IFERROR(VLOOKUP(B692,'Baremos actuales'!A:B,2,FALSE),
IFERROR(VLOOKUP(B692,'Baremos anteriores'!A:B,2,FALSE),
""))))</f>
        <v/>
      </c>
      <c r="E692" s="9"/>
      <c r="F692" s="89" t="str">
        <f>IF(D692="MATE",
IF(E692="","¿Unidades?",""),
IF(D692="",IF(E692="","","¿Código?"),
IF(E692="","¿Unidades?",
IF(D692="TARE",
IF(M692=$H$3,IFERROR(VLOOKUP(B692,'Baremos actuales'!A:C,3,FALSE),0),
IF(M692=$H$4,IFERROR(VLOOKUP(B692,'Baremos anteriores'!A:C,3,FALSE),0),0))))))</f>
        <v/>
      </c>
      <c r="G692" s="7"/>
      <c r="H692" s="8"/>
      <c r="I692" s="8"/>
      <c r="J692" s="78" t="str">
        <f>IF($D692="","",
IF($E692="","",
IF($D692="MATE","",
IF(VLOOKUP($B692,'Baremos actuales'!A:D,4,FALSE)=J$9,$E692*$F692,IF(VLOOKUP($B692,'Baremos anteriores'!A:D,4,FALSE)="Sin Definir",$E692*$F692,"")))))</f>
        <v/>
      </c>
      <c r="K692" s="79" t="str">
        <f>IF($D692="","",
IF($E692="","",
IF($D692="MATE","",
IF(VLOOKUP($B692,'Baremos actuales'!$A:$D,4,FALSE)=K$9,$E692*$F692,IF(VLOOKUP($B692,'Baremos anteriores'!$A:$D,4,FALSE)="Desmonte",$E692*$F692,"")))))</f>
        <v/>
      </c>
      <c r="L692" s="80" t="str">
        <f>IF($D692="","",
IF($E692="","",
IF($D692="MATE","",
IF(VLOOKUP($B692,'Baremos actuales'!$A:$D,4,FALSE)=L$9,$E692*$F692,""))))</f>
        <v/>
      </c>
      <c r="M692" s="91" t="str">
        <f t="shared" si="10"/>
        <v/>
      </c>
      <c r="N692" s="96"/>
      <c r="O692" s="95"/>
      <c r="P692" s="96"/>
      <c r="Q692" s="98"/>
    </row>
    <row r="693" spans="1:17" ht="15.75" x14ac:dyDescent="0.2">
      <c r="A693" s="17"/>
      <c r="B693" s="18"/>
      <c r="C693" s="87" t="str">
        <f>IF(B693="","",
IF(M693=$H$5,IFERROR(VLOOKUP(B693,'Baremos actuales'!A:E,5,FALSE),"No encontrado. Revisar código, fecha ejecución y/o contrato."),
IF(M693=$H$4,IFERROR(VLOOKUP(B693,'Baremos anteriores'!A:E,5,FALSE),"No encontrado. Revisar código, fecha ejecución y/o contrato."),
IF(M693=$H$3,IFERROR(VLOOKUP(B693,#REF!,5,FALSE),"No encontrado. Revisar código, fecha ejecución y/o contrato."),
IF(D693="","Código no encontrado",
IF(D693="ERROR","No encontrado. Revisar Código, fecha de ejecución y/o contrato.",
IF(D693="MATE",
IF(C692="DESCRIPCION","NO SE PUEDE COMENZAR SIN CÓDIGO DE TAREA",
IF(C692="","FALTA CÓDIGO DE TAREA",
CONCATENATE("          ",VLOOKUP(B693,'Maestro Materiales'!A:C,3,FALSE)))),IFERROR(VLOOKUP(B693,#REF!,5,FALSE),"No encontrado. Revisar código, fecha ejecución y/o contrato."))))))))</f>
        <v/>
      </c>
      <c r="D693" s="88" t="str">
        <f>IF(B693="","",
IFERROR(VLOOKUP(B693,'Maestro Materiales'!A:C,2,FALSE),
IFERROR(VLOOKUP(B693,'Baremos actuales'!A:B,2,FALSE),
IFERROR(VLOOKUP(B693,'Baremos anteriores'!A:B,2,FALSE),
""))))</f>
        <v/>
      </c>
      <c r="E693" s="9"/>
      <c r="F693" s="89" t="str">
        <f>IF(D693="MATE",
IF(E693="","¿Unidades?",""),
IF(D693="",IF(E693="","","¿Código?"),
IF(E693="","¿Unidades?",
IF(D693="TARE",
IF(M693=$H$3,IFERROR(VLOOKUP(B693,'Baremos actuales'!A:C,3,FALSE),0),
IF(M693=$H$4,IFERROR(VLOOKUP(B693,'Baremos anteriores'!A:C,3,FALSE),0),0))))))</f>
        <v/>
      </c>
      <c r="G693" s="7"/>
      <c r="H693" s="8"/>
      <c r="I693" s="8"/>
      <c r="J693" s="78" t="str">
        <f>IF($D693="","",
IF($E693="","",
IF($D693="MATE","",
IF(VLOOKUP($B693,'Baremos actuales'!A:D,4,FALSE)=J$9,$E693*$F693,IF(VLOOKUP($B693,'Baremos anteriores'!A:D,4,FALSE)="Sin Definir",$E693*$F693,"")))))</f>
        <v/>
      </c>
      <c r="K693" s="79" t="str">
        <f>IF($D693="","",
IF($E693="","",
IF($D693="MATE","",
IF(VLOOKUP($B693,'Baremos actuales'!$A:$D,4,FALSE)=K$9,$E693*$F693,IF(VLOOKUP($B693,'Baremos anteriores'!$A:$D,4,FALSE)="Desmonte",$E693*$F693,"")))))</f>
        <v/>
      </c>
      <c r="L693" s="80" t="str">
        <f>IF($D693="","",
IF($E693="","",
IF($D693="MATE","",
IF(VLOOKUP($B693,'Baremos actuales'!$A:$D,4,FALSE)=L$9,$E693*$F693,""))))</f>
        <v/>
      </c>
      <c r="M693" s="91" t="str">
        <f t="shared" si="10"/>
        <v/>
      </c>
      <c r="N693" s="96"/>
      <c r="O693" s="95"/>
      <c r="P693" s="96"/>
      <c r="Q693" s="98"/>
    </row>
    <row r="694" spans="1:17" ht="15.75" x14ac:dyDescent="0.2">
      <c r="A694" s="17"/>
      <c r="B694" s="18"/>
      <c r="C694" s="87" t="str">
        <f>IF(B694="","",
IF(M694=$H$5,IFERROR(VLOOKUP(B694,'Baremos actuales'!A:E,5,FALSE),"No encontrado. Revisar código, fecha ejecución y/o contrato."),
IF(M694=$H$4,IFERROR(VLOOKUP(B694,'Baremos anteriores'!A:E,5,FALSE),"No encontrado. Revisar código, fecha ejecución y/o contrato."),
IF(M694=$H$3,IFERROR(VLOOKUP(B694,#REF!,5,FALSE),"No encontrado. Revisar código, fecha ejecución y/o contrato."),
IF(D694="","Código no encontrado",
IF(D694="ERROR","No encontrado. Revisar Código, fecha de ejecución y/o contrato.",
IF(D694="MATE",
IF(C693="DESCRIPCION","NO SE PUEDE COMENZAR SIN CÓDIGO DE TAREA",
IF(C693="","FALTA CÓDIGO DE TAREA",
CONCATENATE("          ",VLOOKUP(B694,'Maestro Materiales'!A:C,3,FALSE)))),IFERROR(VLOOKUP(B694,#REF!,5,FALSE),"No encontrado. Revisar código, fecha ejecución y/o contrato."))))))))</f>
        <v/>
      </c>
      <c r="D694" s="88" t="str">
        <f>IF(B694="","",
IFERROR(VLOOKUP(B694,'Maestro Materiales'!A:C,2,FALSE),
IFERROR(VLOOKUP(B694,'Baremos actuales'!A:B,2,FALSE),
IFERROR(VLOOKUP(B694,'Baremos anteriores'!A:B,2,FALSE),
""))))</f>
        <v/>
      </c>
      <c r="E694" s="9"/>
      <c r="F694" s="89" t="str">
        <f>IF(D694="MATE",
IF(E694="","¿Unidades?",""),
IF(D694="",IF(E694="","","¿Código?"),
IF(E694="","¿Unidades?",
IF(D694="TARE",
IF(M694=$H$3,IFERROR(VLOOKUP(B694,'Baremos actuales'!A:C,3,FALSE),0),
IF(M694=$H$4,IFERROR(VLOOKUP(B694,'Baremos anteriores'!A:C,3,FALSE),0),0))))))</f>
        <v/>
      </c>
      <c r="G694" s="7"/>
      <c r="H694" s="8"/>
      <c r="I694" s="8"/>
      <c r="J694" s="78" t="str">
        <f>IF($D694="","",
IF($E694="","",
IF($D694="MATE","",
IF(VLOOKUP($B694,'Baremos actuales'!A:D,4,FALSE)=J$9,$E694*$F694,IF(VLOOKUP($B694,'Baremos anteriores'!A:D,4,FALSE)="Sin Definir",$E694*$F694,"")))))</f>
        <v/>
      </c>
      <c r="K694" s="79" t="str">
        <f>IF($D694="","",
IF($E694="","",
IF($D694="MATE","",
IF(VLOOKUP($B694,'Baremos actuales'!$A:$D,4,FALSE)=K$9,$E694*$F694,IF(VLOOKUP($B694,'Baremos anteriores'!$A:$D,4,FALSE)="Desmonte",$E694*$F694,"")))))</f>
        <v/>
      </c>
      <c r="L694" s="80" t="str">
        <f>IF($D694="","",
IF($E694="","",
IF($D694="MATE","",
IF(VLOOKUP($B694,'Baremos actuales'!$A:$D,4,FALSE)=L$9,$E694*$F694,""))))</f>
        <v/>
      </c>
      <c r="M694" s="91" t="str">
        <f t="shared" si="10"/>
        <v/>
      </c>
      <c r="N694" s="96"/>
      <c r="O694" s="95"/>
      <c r="P694" s="96"/>
      <c r="Q694" s="98"/>
    </row>
    <row r="695" spans="1:17" ht="15.75" x14ac:dyDescent="0.2">
      <c r="A695" s="17"/>
      <c r="B695" s="18"/>
      <c r="C695" s="87" t="str">
        <f>IF(B695="","",
IF(M695=$H$5,IFERROR(VLOOKUP(B695,'Baremos actuales'!A:E,5,FALSE),"No encontrado. Revisar código, fecha ejecución y/o contrato."),
IF(M695=$H$4,IFERROR(VLOOKUP(B695,'Baremos anteriores'!A:E,5,FALSE),"No encontrado. Revisar código, fecha ejecución y/o contrato."),
IF(M695=$H$3,IFERROR(VLOOKUP(B695,#REF!,5,FALSE),"No encontrado. Revisar código, fecha ejecución y/o contrato."),
IF(D695="","Código no encontrado",
IF(D695="ERROR","No encontrado. Revisar Código, fecha de ejecución y/o contrato.",
IF(D695="MATE",
IF(C694="DESCRIPCION","NO SE PUEDE COMENZAR SIN CÓDIGO DE TAREA",
IF(C694="","FALTA CÓDIGO DE TAREA",
CONCATENATE("          ",VLOOKUP(B695,'Maestro Materiales'!A:C,3,FALSE)))),IFERROR(VLOOKUP(B695,#REF!,5,FALSE),"No encontrado. Revisar código, fecha ejecución y/o contrato."))))))))</f>
        <v/>
      </c>
      <c r="D695" s="88" t="str">
        <f>IF(B695="","",
IFERROR(VLOOKUP(B695,'Maestro Materiales'!A:C,2,FALSE),
IFERROR(VLOOKUP(B695,'Baremos actuales'!A:B,2,FALSE),
IFERROR(VLOOKUP(B695,'Baremos anteriores'!A:B,2,FALSE),
""))))</f>
        <v/>
      </c>
      <c r="E695" s="9"/>
      <c r="F695" s="89" t="str">
        <f>IF(D695="MATE",
IF(E695="","¿Unidades?",""),
IF(D695="",IF(E695="","","¿Código?"),
IF(E695="","¿Unidades?",
IF(D695="TARE",
IF(M695=$H$3,IFERROR(VLOOKUP(B695,'Baremos actuales'!A:C,3,FALSE),0),
IF(M695=$H$4,IFERROR(VLOOKUP(B695,'Baremos anteriores'!A:C,3,FALSE),0),0))))))</f>
        <v/>
      </c>
      <c r="G695" s="7"/>
      <c r="H695" s="8"/>
      <c r="I695" s="8"/>
      <c r="J695" s="78" t="str">
        <f>IF($D695="","",
IF($E695="","",
IF($D695="MATE","",
IF(VLOOKUP($B695,'Baremos actuales'!A:D,4,FALSE)=J$9,$E695*$F695,IF(VLOOKUP($B695,'Baremos anteriores'!A:D,4,FALSE)="Sin Definir",$E695*$F695,"")))))</f>
        <v/>
      </c>
      <c r="K695" s="79" t="str">
        <f>IF($D695="","",
IF($E695="","",
IF($D695="MATE","",
IF(VLOOKUP($B695,'Baremos actuales'!$A:$D,4,FALSE)=K$9,$E695*$F695,IF(VLOOKUP($B695,'Baremos anteriores'!$A:$D,4,FALSE)="Desmonte",$E695*$F695,"")))))</f>
        <v/>
      </c>
      <c r="L695" s="80" t="str">
        <f>IF($D695="","",
IF($E695="","",
IF($D695="MATE","",
IF(VLOOKUP($B695,'Baremos actuales'!$A:$D,4,FALSE)=L$9,$E695*$F695,""))))</f>
        <v/>
      </c>
      <c r="M695" s="91" t="str">
        <f t="shared" si="10"/>
        <v/>
      </c>
      <c r="N695" s="96"/>
      <c r="O695" s="95"/>
      <c r="P695" s="96"/>
      <c r="Q695" s="98"/>
    </row>
    <row r="696" spans="1:17" ht="15.75" x14ac:dyDescent="0.2">
      <c r="A696" s="17"/>
      <c r="B696" s="18"/>
      <c r="C696" s="87" t="str">
        <f>IF(B696="","",
IF(M696=$H$5,IFERROR(VLOOKUP(B696,'Baremos actuales'!A:E,5,FALSE),"No encontrado. Revisar código, fecha ejecución y/o contrato."),
IF(M696=$H$4,IFERROR(VLOOKUP(B696,'Baremos anteriores'!A:E,5,FALSE),"No encontrado. Revisar código, fecha ejecución y/o contrato."),
IF(M696=$H$3,IFERROR(VLOOKUP(B696,#REF!,5,FALSE),"No encontrado. Revisar código, fecha ejecución y/o contrato."),
IF(D696="","Código no encontrado",
IF(D696="ERROR","No encontrado. Revisar Código, fecha de ejecución y/o contrato.",
IF(D696="MATE",
IF(C695="DESCRIPCION","NO SE PUEDE COMENZAR SIN CÓDIGO DE TAREA",
IF(C695="","FALTA CÓDIGO DE TAREA",
CONCATENATE("          ",VLOOKUP(B696,'Maestro Materiales'!A:C,3,FALSE)))),IFERROR(VLOOKUP(B696,#REF!,5,FALSE),"No encontrado. Revisar código, fecha ejecución y/o contrato."))))))))</f>
        <v/>
      </c>
      <c r="D696" s="88" t="str">
        <f>IF(B696="","",
IFERROR(VLOOKUP(B696,'Maestro Materiales'!A:C,2,FALSE),
IFERROR(VLOOKUP(B696,'Baremos actuales'!A:B,2,FALSE),
IFERROR(VLOOKUP(B696,'Baremos anteriores'!A:B,2,FALSE),
""))))</f>
        <v/>
      </c>
      <c r="E696" s="9"/>
      <c r="F696" s="89" t="str">
        <f>IF(D696="MATE",
IF(E696="","¿Unidades?",""),
IF(D696="",IF(E696="","","¿Código?"),
IF(E696="","¿Unidades?",
IF(D696="TARE",
IF(M696=$H$3,IFERROR(VLOOKUP(B696,'Baremos actuales'!A:C,3,FALSE),0),
IF(M696=$H$4,IFERROR(VLOOKUP(B696,'Baremos anteriores'!A:C,3,FALSE),0),0))))))</f>
        <v/>
      </c>
      <c r="G696" s="7"/>
      <c r="H696" s="8"/>
      <c r="I696" s="8"/>
      <c r="J696" s="78" t="str">
        <f>IF($D696="","",
IF($E696="","",
IF($D696="MATE","",
IF(VLOOKUP($B696,'Baremos actuales'!A:D,4,FALSE)=J$9,$E696*$F696,IF(VLOOKUP($B696,'Baremos anteriores'!A:D,4,FALSE)="Sin Definir",$E696*$F696,"")))))</f>
        <v/>
      </c>
      <c r="K696" s="79" t="str">
        <f>IF($D696="","",
IF($E696="","",
IF($D696="MATE","",
IF(VLOOKUP($B696,'Baremos actuales'!$A:$D,4,FALSE)=K$9,$E696*$F696,IF(VLOOKUP($B696,'Baremos anteriores'!$A:$D,4,FALSE)="Desmonte",$E696*$F696,"")))))</f>
        <v/>
      </c>
      <c r="L696" s="80" t="str">
        <f>IF($D696="","",
IF($E696="","",
IF($D696="MATE","",
IF(VLOOKUP($B696,'Baremos actuales'!$A:$D,4,FALSE)=L$9,$E696*$F696,""))))</f>
        <v/>
      </c>
      <c r="M696" s="91" t="str">
        <f t="shared" si="10"/>
        <v/>
      </c>
      <c r="N696" s="96"/>
      <c r="O696" s="95"/>
      <c r="P696" s="96"/>
      <c r="Q696" s="98"/>
    </row>
    <row r="697" spans="1:17" ht="15.75" x14ac:dyDescent="0.2">
      <c r="A697" s="17"/>
      <c r="B697" s="18"/>
      <c r="C697" s="87" t="str">
        <f>IF(B697="","",
IF(M697=$H$5,IFERROR(VLOOKUP(B697,'Baremos actuales'!A:E,5,FALSE),"No encontrado. Revisar código, fecha ejecución y/o contrato."),
IF(M697=$H$4,IFERROR(VLOOKUP(B697,'Baremos anteriores'!A:E,5,FALSE),"No encontrado. Revisar código, fecha ejecución y/o contrato."),
IF(M697=$H$3,IFERROR(VLOOKUP(B697,#REF!,5,FALSE),"No encontrado. Revisar código, fecha ejecución y/o contrato."),
IF(D697="","Código no encontrado",
IF(D697="ERROR","No encontrado. Revisar Código, fecha de ejecución y/o contrato.",
IF(D697="MATE",
IF(C696="DESCRIPCION","NO SE PUEDE COMENZAR SIN CÓDIGO DE TAREA",
IF(C696="","FALTA CÓDIGO DE TAREA",
CONCATENATE("          ",VLOOKUP(B697,'Maestro Materiales'!A:C,3,FALSE)))),IFERROR(VLOOKUP(B697,#REF!,5,FALSE),"No encontrado. Revisar código, fecha ejecución y/o contrato."))))))))</f>
        <v/>
      </c>
      <c r="D697" s="88" t="str">
        <f>IF(B697="","",
IFERROR(VLOOKUP(B697,'Maestro Materiales'!A:C,2,FALSE),
IFERROR(VLOOKUP(B697,'Baremos actuales'!A:B,2,FALSE),
IFERROR(VLOOKUP(B697,'Baremos anteriores'!A:B,2,FALSE),
""))))</f>
        <v/>
      </c>
      <c r="E697" s="9"/>
      <c r="F697" s="89" t="str">
        <f>IF(D697="MATE",
IF(E697="","¿Unidades?",""),
IF(D697="",IF(E697="","","¿Código?"),
IF(E697="","¿Unidades?",
IF(D697="TARE",
IF(M697=$H$3,IFERROR(VLOOKUP(B697,'Baremos actuales'!A:C,3,FALSE),0),
IF(M697=$H$4,IFERROR(VLOOKUP(B697,'Baremos anteriores'!A:C,3,FALSE),0),0))))))</f>
        <v/>
      </c>
      <c r="G697" s="7"/>
      <c r="H697" s="8"/>
      <c r="I697" s="8"/>
      <c r="J697" s="78" t="str">
        <f>IF($D697="","",
IF($E697="","",
IF($D697="MATE","",
IF(VLOOKUP($B697,'Baremos actuales'!A:D,4,FALSE)=J$9,$E697*$F697,IF(VLOOKUP($B697,'Baremos anteriores'!A:D,4,FALSE)="Sin Definir",$E697*$F697,"")))))</f>
        <v/>
      </c>
      <c r="K697" s="79" t="str">
        <f>IF($D697="","",
IF($E697="","",
IF($D697="MATE","",
IF(VLOOKUP($B697,'Baremos actuales'!$A:$D,4,FALSE)=K$9,$E697*$F697,IF(VLOOKUP($B697,'Baremos anteriores'!$A:$D,4,FALSE)="Desmonte",$E697*$F697,"")))))</f>
        <v/>
      </c>
      <c r="L697" s="80" t="str">
        <f>IF($D697="","",
IF($E697="","",
IF($D697="MATE","",
IF(VLOOKUP($B697,'Baremos actuales'!$A:$D,4,FALSE)=L$9,$E697*$F697,""))))</f>
        <v/>
      </c>
      <c r="M697" s="91" t="str">
        <f t="shared" si="10"/>
        <v/>
      </c>
      <c r="N697" s="96"/>
      <c r="O697" s="95"/>
      <c r="P697" s="96"/>
      <c r="Q697" s="98"/>
    </row>
    <row r="698" spans="1:17" ht="15.75" x14ac:dyDescent="0.2">
      <c r="A698" s="17"/>
      <c r="B698" s="18"/>
      <c r="C698" s="87" t="str">
        <f>IF(B698="","",
IF(M698=$H$5,IFERROR(VLOOKUP(B698,'Baremos actuales'!A:E,5,FALSE),"No encontrado. Revisar código, fecha ejecución y/o contrato."),
IF(M698=$H$4,IFERROR(VLOOKUP(B698,'Baremos anteriores'!A:E,5,FALSE),"No encontrado. Revisar código, fecha ejecución y/o contrato."),
IF(M698=$H$3,IFERROR(VLOOKUP(B698,#REF!,5,FALSE),"No encontrado. Revisar código, fecha ejecución y/o contrato."),
IF(D698="","Código no encontrado",
IF(D698="ERROR","No encontrado. Revisar Código, fecha de ejecución y/o contrato.",
IF(D698="MATE",
IF(C697="DESCRIPCION","NO SE PUEDE COMENZAR SIN CÓDIGO DE TAREA",
IF(C697="","FALTA CÓDIGO DE TAREA",
CONCATENATE("          ",VLOOKUP(B698,'Maestro Materiales'!A:C,3,FALSE)))),IFERROR(VLOOKUP(B698,#REF!,5,FALSE),"No encontrado. Revisar código, fecha ejecución y/o contrato."))))))))</f>
        <v/>
      </c>
      <c r="D698" s="88" t="str">
        <f>IF(B698="","",
IFERROR(VLOOKUP(B698,'Maestro Materiales'!A:C,2,FALSE),
IFERROR(VLOOKUP(B698,'Baremos actuales'!A:B,2,FALSE),
IFERROR(VLOOKUP(B698,'Baremos anteriores'!A:B,2,FALSE),
""))))</f>
        <v/>
      </c>
      <c r="E698" s="9"/>
      <c r="F698" s="89" t="str">
        <f>IF(D698="MATE",
IF(E698="","¿Unidades?",""),
IF(D698="",IF(E698="","","¿Código?"),
IF(E698="","¿Unidades?",
IF(D698="TARE",
IF(M698=$H$3,IFERROR(VLOOKUP(B698,'Baremos actuales'!A:C,3,FALSE),0),
IF(M698=$H$4,IFERROR(VLOOKUP(B698,'Baremos anteriores'!A:C,3,FALSE),0),0))))))</f>
        <v/>
      </c>
      <c r="G698" s="7"/>
      <c r="H698" s="8"/>
      <c r="I698" s="8"/>
      <c r="J698" s="78" t="str">
        <f>IF($D698="","",
IF($E698="","",
IF($D698="MATE","",
IF(VLOOKUP($B698,'Baremos actuales'!A:D,4,FALSE)=J$9,$E698*$F698,IF(VLOOKUP($B698,'Baremos anteriores'!A:D,4,FALSE)="Sin Definir",$E698*$F698,"")))))</f>
        <v/>
      </c>
      <c r="K698" s="79" t="str">
        <f>IF($D698="","",
IF($E698="","",
IF($D698="MATE","",
IF(VLOOKUP($B698,'Baremos actuales'!$A:$D,4,FALSE)=K$9,$E698*$F698,IF(VLOOKUP($B698,'Baremos anteriores'!$A:$D,4,FALSE)="Desmonte",$E698*$F698,"")))))</f>
        <v/>
      </c>
      <c r="L698" s="80" t="str">
        <f>IF($D698="","",
IF($E698="","",
IF($D698="MATE","",
IF(VLOOKUP($B698,'Baremos actuales'!$A:$D,4,FALSE)=L$9,$E698*$F698,""))))</f>
        <v/>
      </c>
      <c r="M698" s="91" t="str">
        <f t="shared" si="10"/>
        <v/>
      </c>
      <c r="N698" s="96"/>
      <c r="O698" s="95"/>
      <c r="P698" s="96"/>
      <c r="Q698" s="98"/>
    </row>
    <row r="699" spans="1:17" ht="15.75" x14ac:dyDescent="0.2">
      <c r="A699" s="17"/>
      <c r="B699" s="18"/>
      <c r="C699" s="87" t="str">
        <f>IF(B699="","",
IF(M699=$H$5,IFERROR(VLOOKUP(B699,'Baremos actuales'!A:E,5,FALSE),"No encontrado. Revisar código, fecha ejecución y/o contrato."),
IF(M699=$H$4,IFERROR(VLOOKUP(B699,'Baremos anteriores'!A:E,5,FALSE),"No encontrado. Revisar código, fecha ejecución y/o contrato."),
IF(M699=$H$3,IFERROR(VLOOKUP(B699,#REF!,5,FALSE),"No encontrado. Revisar código, fecha ejecución y/o contrato."),
IF(D699="","Código no encontrado",
IF(D699="ERROR","No encontrado. Revisar Código, fecha de ejecución y/o contrato.",
IF(D699="MATE",
IF(C698="DESCRIPCION","NO SE PUEDE COMENZAR SIN CÓDIGO DE TAREA",
IF(C698="","FALTA CÓDIGO DE TAREA",
CONCATENATE("          ",VLOOKUP(B699,'Maestro Materiales'!A:C,3,FALSE)))),IFERROR(VLOOKUP(B699,#REF!,5,FALSE),"No encontrado. Revisar código, fecha ejecución y/o contrato."))))))))</f>
        <v/>
      </c>
      <c r="D699" s="88" t="str">
        <f>IF(B699="","",
IFERROR(VLOOKUP(B699,'Maestro Materiales'!A:C,2,FALSE),
IFERROR(VLOOKUP(B699,'Baremos actuales'!A:B,2,FALSE),
IFERROR(VLOOKUP(B699,'Baremos anteriores'!A:B,2,FALSE),
""))))</f>
        <v/>
      </c>
      <c r="E699" s="9"/>
      <c r="F699" s="89" t="str">
        <f>IF(D699="MATE",
IF(E699="","¿Unidades?",""),
IF(D699="",IF(E699="","","¿Código?"),
IF(E699="","¿Unidades?",
IF(D699="TARE",
IF(M699=$H$3,IFERROR(VLOOKUP(B699,'Baremos actuales'!A:C,3,FALSE),0),
IF(M699=$H$4,IFERROR(VLOOKUP(B699,'Baremos anteriores'!A:C,3,FALSE),0),0))))))</f>
        <v/>
      </c>
      <c r="G699" s="7"/>
      <c r="H699" s="8"/>
      <c r="I699" s="8"/>
      <c r="J699" s="78" t="str">
        <f>IF($D699="","",
IF($E699="","",
IF($D699="MATE","",
IF(VLOOKUP($B699,'Baremos actuales'!A:D,4,FALSE)=J$9,$E699*$F699,IF(VLOOKUP($B699,'Baremos anteriores'!A:D,4,FALSE)="Sin Definir",$E699*$F699,"")))))</f>
        <v/>
      </c>
      <c r="K699" s="79" t="str">
        <f>IF($D699="","",
IF($E699="","",
IF($D699="MATE","",
IF(VLOOKUP($B699,'Baremos actuales'!$A:$D,4,FALSE)=K$9,$E699*$F699,IF(VLOOKUP($B699,'Baremos anteriores'!$A:$D,4,FALSE)="Desmonte",$E699*$F699,"")))))</f>
        <v/>
      </c>
      <c r="L699" s="80" t="str">
        <f>IF($D699="","",
IF($E699="","",
IF($D699="MATE","",
IF(VLOOKUP($B699,'Baremos actuales'!$A:$D,4,FALSE)=L$9,$E699*$F699,""))))</f>
        <v/>
      </c>
      <c r="M699" s="91" t="str">
        <f t="shared" si="10"/>
        <v/>
      </c>
      <c r="N699" s="96"/>
      <c r="O699" s="95"/>
      <c r="P699" s="96"/>
      <c r="Q699" s="98"/>
    </row>
    <row r="700" spans="1:17" ht="15.75" x14ac:dyDescent="0.2">
      <c r="A700" s="17"/>
      <c r="B700" s="18"/>
      <c r="C700" s="87" t="str">
        <f>IF(B700="","",
IF(M700=$H$5,IFERROR(VLOOKUP(B700,'Baremos actuales'!A:E,5,FALSE),"No encontrado. Revisar código, fecha ejecución y/o contrato."),
IF(M700=$H$4,IFERROR(VLOOKUP(B700,'Baremos anteriores'!A:E,5,FALSE),"No encontrado. Revisar código, fecha ejecución y/o contrato."),
IF(M700=$H$3,IFERROR(VLOOKUP(B700,#REF!,5,FALSE),"No encontrado. Revisar código, fecha ejecución y/o contrato."),
IF(D700="","Código no encontrado",
IF(D700="ERROR","No encontrado. Revisar Código, fecha de ejecución y/o contrato.",
IF(D700="MATE",
IF(C699="DESCRIPCION","NO SE PUEDE COMENZAR SIN CÓDIGO DE TAREA",
IF(C699="","FALTA CÓDIGO DE TAREA",
CONCATENATE("          ",VLOOKUP(B700,'Maestro Materiales'!A:C,3,FALSE)))),IFERROR(VLOOKUP(B700,#REF!,5,FALSE),"No encontrado. Revisar código, fecha ejecución y/o contrato."))))))))</f>
        <v/>
      </c>
      <c r="D700" s="88" t="str">
        <f>IF(B700="","",
IFERROR(VLOOKUP(B700,'Maestro Materiales'!A:C,2,FALSE),
IFERROR(VLOOKUP(B700,'Baremos actuales'!A:B,2,FALSE),
IFERROR(VLOOKUP(B700,'Baremos anteriores'!A:B,2,FALSE),
""))))</f>
        <v/>
      </c>
      <c r="E700" s="9"/>
      <c r="F700" s="89" t="str">
        <f>IF(D700="MATE",
IF(E700="","¿Unidades?",""),
IF(D700="",IF(E700="","","¿Código?"),
IF(E700="","¿Unidades?",
IF(D700="TARE",
IF(M700=$H$3,IFERROR(VLOOKUP(B700,'Baremos actuales'!A:C,3,FALSE),0),
IF(M700=$H$4,IFERROR(VLOOKUP(B700,'Baremos anteriores'!A:C,3,FALSE),0),0))))))</f>
        <v/>
      </c>
      <c r="G700" s="7"/>
      <c r="H700" s="8"/>
      <c r="I700" s="8"/>
      <c r="J700" s="78" t="str">
        <f>IF($D700="","",
IF($E700="","",
IF($D700="MATE","",
IF(VLOOKUP($B700,'Baremos actuales'!A:D,4,FALSE)=J$9,$E700*$F700,IF(VLOOKUP($B700,'Baremos anteriores'!A:D,4,FALSE)="Sin Definir",$E700*$F700,"")))))</f>
        <v/>
      </c>
      <c r="K700" s="79" t="str">
        <f>IF($D700="","",
IF($E700="","",
IF($D700="MATE","",
IF(VLOOKUP($B700,'Baremos actuales'!$A:$D,4,FALSE)=K$9,$E700*$F700,IF(VLOOKUP($B700,'Baremos anteriores'!$A:$D,4,FALSE)="Desmonte",$E700*$F700,"")))))</f>
        <v/>
      </c>
      <c r="L700" s="80" t="str">
        <f>IF($D700="","",
IF($E700="","",
IF($D700="MATE","",
IF(VLOOKUP($B700,'Baremos actuales'!$A:$D,4,FALSE)=L$9,$E700*$F700,""))))</f>
        <v/>
      </c>
      <c r="M700" s="91" t="str">
        <f t="shared" si="10"/>
        <v/>
      </c>
      <c r="N700" s="96"/>
      <c r="O700" s="95"/>
      <c r="P700" s="96"/>
      <c r="Q700" s="98"/>
    </row>
    <row r="701" spans="1:17" ht="15.75" x14ac:dyDescent="0.2">
      <c r="A701" s="17"/>
      <c r="B701" s="18"/>
      <c r="C701" s="87" t="str">
        <f>IF(B701="","",
IF(M701=$H$5,IFERROR(VLOOKUP(B701,'Baremos actuales'!A:E,5,FALSE),"No encontrado. Revisar código, fecha ejecución y/o contrato."),
IF(M701=$H$4,IFERROR(VLOOKUP(B701,'Baremos anteriores'!A:E,5,FALSE),"No encontrado. Revisar código, fecha ejecución y/o contrato."),
IF(M701=$H$3,IFERROR(VLOOKUP(B701,#REF!,5,FALSE),"No encontrado. Revisar código, fecha ejecución y/o contrato."),
IF(D701="","Código no encontrado",
IF(D701="ERROR","No encontrado. Revisar Código, fecha de ejecución y/o contrato.",
IF(D701="MATE",
IF(C700="DESCRIPCION","NO SE PUEDE COMENZAR SIN CÓDIGO DE TAREA",
IF(C700="","FALTA CÓDIGO DE TAREA",
CONCATENATE("          ",VLOOKUP(B701,'Maestro Materiales'!A:C,3,FALSE)))),IFERROR(VLOOKUP(B701,#REF!,5,FALSE),"No encontrado. Revisar código, fecha ejecución y/o contrato."))))))))</f>
        <v/>
      </c>
      <c r="D701" s="88" t="str">
        <f>IF(B701="","",
IFERROR(VLOOKUP(B701,'Maestro Materiales'!A:C,2,FALSE),
IFERROR(VLOOKUP(B701,'Baremos actuales'!A:B,2,FALSE),
IFERROR(VLOOKUP(B701,'Baremos anteriores'!A:B,2,FALSE),
""))))</f>
        <v/>
      </c>
      <c r="E701" s="9"/>
      <c r="F701" s="89" t="str">
        <f>IF(D701="MATE",
IF(E701="","¿Unidades?",""),
IF(D701="",IF(E701="","","¿Código?"),
IF(E701="","¿Unidades?",
IF(D701="TARE",
IF(M701=$H$3,IFERROR(VLOOKUP(B701,'Baremos actuales'!A:C,3,FALSE),0),
IF(M701=$H$4,IFERROR(VLOOKUP(B701,'Baremos anteriores'!A:C,3,FALSE),0),0))))))</f>
        <v/>
      </c>
      <c r="G701" s="7"/>
      <c r="H701" s="8"/>
      <c r="I701" s="8"/>
      <c r="J701" s="78" t="str">
        <f>IF($D701="","",
IF($E701="","",
IF($D701="MATE","",
IF(VLOOKUP($B701,'Baremos actuales'!A:D,4,FALSE)=J$9,$E701*$F701,IF(VLOOKUP($B701,'Baremos anteriores'!A:D,4,FALSE)="Sin Definir",$E701*$F701,"")))))</f>
        <v/>
      </c>
      <c r="K701" s="79" t="str">
        <f>IF($D701="","",
IF($E701="","",
IF($D701="MATE","",
IF(VLOOKUP($B701,'Baremos actuales'!$A:$D,4,FALSE)=K$9,$E701*$F701,IF(VLOOKUP($B701,'Baremos anteriores'!$A:$D,4,FALSE)="Desmonte",$E701*$F701,"")))))</f>
        <v/>
      </c>
      <c r="L701" s="80" t="str">
        <f>IF($D701="","",
IF($E701="","",
IF($D701="MATE","",
IF(VLOOKUP($B701,'Baremos actuales'!$A:$D,4,FALSE)=L$9,$E701*$F701,""))))</f>
        <v/>
      </c>
      <c r="M701" s="91" t="str">
        <f t="shared" si="10"/>
        <v/>
      </c>
      <c r="N701" s="96"/>
      <c r="O701" s="95"/>
      <c r="P701" s="96"/>
      <c r="Q701" s="98"/>
    </row>
    <row r="702" spans="1:17" ht="15.75" x14ac:dyDescent="0.2">
      <c r="A702" s="17"/>
      <c r="B702" s="18"/>
      <c r="C702" s="87" t="str">
        <f>IF(B702="","",
IF(M702=$H$5,IFERROR(VLOOKUP(B702,'Baremos actuales'!A:E,5,FALSE),"No encontrado. Revisar código, fecha ejecución y/o contrato."),
IF(M702=$H$4,IFERROR(VLOOKUP(B702,'Baremos anteriores'!A:E,5,FALSE),"No encontrado. Revisar código, fecha ejecución y/o contrato."),
IF(M702=$H$3,IFERROR(VLOOKUP(B702,#REF!,5,FALSE),"No encontrado. Revisar código, fecha ejecución y/o contrato."),
IF(D702="","Código no encontrado",
IF(D702="ERROR","No encontrado. Revisar Código, fecha de ejecución y/o contrato.",
IF(D702="MATE",
IF(C701="DESCRIPCION","NO SE PUEDE COMENZAR SIN CÓDIGO DE TAREA",
IF(C701="","FALTA CÓDIGO DE TAREA",
CONCATENATE("          ",VLOOKUP(B702,'Maestro Materiales'!A:C,3,FALSE)))),IFERROR(VLOOKUP(B702,#REF!,5,FALSE),"No encontrado. Revisar código, fecha ejecución y/o contrato."))))))))</f>
        <v/>
      </c>
      <c r="D702" s="88" t="str">
        <f>IF(B702="","",
IFERROR(VLOOKUP(B702,'Maestro Materiales'!A:C,2,FALSE),
IFERROR(VLOOKUP(B702,'Baremos actuales'!A:B,2,FALSE),
IFERROR(VLOOKUP(B702,'Baremos anteriores'!A:B,2,FALSE),
""))))</f>
        <v/>
      </c>
      <c r="E702" s="9"/>
      <c r="F702" s="89" t="str">
        <f>IF(D702="MATE",
IF(E702="","¿Unidades?",""),
IF(D702="",IF(E702="","","¿Código?"),
IF(E702="","¿Unidades?",
IF(D702="TARE",
IF(M702=$H$3,IFERROR(VLOOKUP(B702,'Baremos actuales'!A:C,3,FALSE),0),
IF(M702=$H$4,IFERROR(VLOOKUP(B702,'Baremos anteriores'!A:C,3,FALSE),0),0))))))</f>
        <v/>
      </c>
      <c r="G702" s="7"/>
      <c r="H702" s="8"/>
      <c r="I702" s="8"/>
      <c r="J702" s="78" t="str">
        <f>IF($D702="","",
IF($E702="","",
IF($D702="MATE","",
IF(VLOOKUP($B702,'Baremos actuales'!A:D,4,FALSE)=J$9,$E702*$F702,IF(VLOOKUP($B702,'Baremos anteriores'!A:D,4,FALSE)="Sin Definir",$E702*$F702,"")))))</f>
        <v/>
      </c>
      <c r="K702" s="79" t="str">
        <f>IF($D702="","",
IF($E702="","",
IF($D702="MATE","",
IF(VLOOKUP($B702,'Baremos actuales'!$A:$D,4,FALSE)=K$9,$E702*$F702,IF(VLOOKUP($B702,'Baremos anteriores'!$A:$D,4,FALSE)="Desmonte",$E702*$F702,"")))))</f>
        <v/>
      </c>
      <c r="L702" s="80" t="str">
        <f>IF($D702="","",
IF($E702="","",
IF($D702="MATE","",
IF(VLOOKUP($B702,'Baremos actuales'!$A:$D,4,FALSE)=L$9,$E702*$F702,""))))</f>
        <v/>
      </c>
      <c r="M702" s="91" t="str">
        <f t="shared" si="10"/>
        <v/>
      </c>
      <c r="N702" s="96"/>
      <c r="O702" s="95"/>
      <c r="P702" s="96"/>
      <c r="Q702" s="98"/>
    </row>
    <row r="703" spans="1:17" ht="15.75" x14ac:dyDescent="0.2">
      <c r="A703" s="17"/>
      <c r="B703" s="18"/>
      <c r="C703" s="87" t="str">
        <f>IF(B703="","",
IF(M703=$H$5,IFERROR(VLOOKUP(B703,'Baremos actuales'!A:E,5,FALSE),"No encontrado. Revisar código, fecha ejecución y/o contrato."),
IF(M703=$H$4,IFERROR(VLOOKUP(B703,'Baremos anteriores'!A:E,5,FALSE),"No encontrado. Revisar código, fecha ejecución y/o contrato."),
IF(M703=$H$3,IFERROR(VLOOKUP(B703,#REF!,5,FALSE),"No encontrado. Revisar código, fecha ejecución y/o contrato."),
IF(D703="","Código no encontrado",
IF(D703="ERROR","No encontrado. Revisar Código, fecha de ejecución y/o contrato.",
IF(D703="MATE",
IF(C702="DESCRIPCION","NO SE PUEDE COMENZAR SIN CÓDIGO DE TAREA",
IF(C702="","FALTA CÓDIGO DE TAREA",
CONCATENATE("          ",VLOOKUP(B703,'Maestro Materiales'!A:C,3,FALSE)))),IFERROR(VLOOKUP(B703,#REF!,5,FALSE),"No encontrado. Revisar código, fecha ejecución y/o contrato."))))))))</f>
        <v/>
      </c>
      <c r="D703" s="88" t="str">
        <f>IF(B703="","",
IFERROR(VLOOKUP(B703,'Maestro Materiales'!A:C,2,FALSE),
IFERROR(VLOOKUP(B703,'Baremos actuales'!A:B,2,FALSE),
IFERROR(VLOOKUP(B703,'Baremos anteriores'!A:B,2,FALSE),
""))))</f>
        <v/>
      </c>
      <c r="E703" s="9"/>
      <c r="F703" s="89" t="str">
        <f>IF(D703="MATE",
IF(E703="","¿Unidades?",""),
IF(D703="",IF(E703="","","¿Código?"),
IF(E703="","¿Unidades?",
IF(D703="TARE",
IF(M703=$H$3,IFERROR(VLOOKUP(B703,'Baremos actuales'!A:C,3,FALSE),0),
IF(M703=$H$4,IFERROR(VLOOKUP(B703,'Baremos anteriores'!A:C,3,FALSE),0),0))))))</f>
        <v/>
      </c>
      <c r="G703" s="7"/>
      <c r="H703" s="8"/>
      <c r="I703" s="8"/>
      <c r="J703" s="78" t="str">
        <f>IF($D703="","",
IF($E703="","",
IF($D703="MATE","",
IF(VLOOKUP($B703,'Baremos actuales'!A:D,4,FALSE)=J$9,$E703*$F703,IF(VLOOKUP($B703,'Baremos anteriores'!A:D,4,FALSE)="Sin Definir",$E703*$F703,"")))))</f>
        <v/>
      </c>
      <c r="K703" s="79" t="str">
        <f>IF($D703="","",
IF($E703="","",
IF($D703="MATE","",
IF(VLOOKUP($B703,'Baremos actuales'!$A:$D,4,FALSE)=K$9,$E703*$F703,IF(VLOOKUP($B703,'Baremos anteriores'!$A:$D,4,FALSE)="Desmonte",$E703*$F703,"")))))</f>
        <v/>
      </c>
      <c r="L703" s="80" t="str">
        <f>IF($D703="","",
IF($E703="","",
IF($D703="MATE","",
IF(VLOOKUP($B703,'Baremos actuales'!$A:$D,4,FALSE)=L$9,$E703*$F703,""))))</f>
        <v/>
      </c>
      <c r="M703" s="91" t="str">
        <f t="shared" si="10"/>
        <v/>
      </c>
      <c r="N703" s="96"/>
      <c r="O703" s="95"/>
      <c r="P703" s="96"/>
      <c r="Q703" s="98"/>
    </row>
    <row r="704" spans="1:17" ht="15.75" x14ac:dyDescent="0.2">
      <c r="A704" s="17"/>
      <c r="B704" s="18"/>
      <c r="C704" s="87" t="str">
        <f>IF(B704="","",
IF(M704=$H$5,IFERROR(VLOOKUP(B704,'Baremos actuales'!A:E,5,FALSE),"No encontrado. Revisar código, fecha ejecución y/o contrato."),
IF(M704=$H$4,IFERROR(VLOOKUP(B704,'Baremos anteriores'!A:E,5,FALSE),"No encontrado. Revisar código, fecha ejecución y/o contrato."),
IF(M704=$H$3,IFERROR(VLOOKUP(B704,#REF!,5,FALSE),"No encontrado. Revisar código, fecha ejecución y/o contrato."),
IF(D704="","Código no encontrado",
IF(D704="ERROR","No encontrado. Revisar Código, fecha de ejecución y/o contrato.",
IF(D704="MATE",
IF(C703="DESCRIPCION","NO SE PUEDE COMENZAR SIN CÓDIGO DE TAREA",
IF(C703="","FALTA CÓDIGO DE TAREA",
CONCATENATE("          ",VLOOKUP(B704,'Maestro Materiales'!A:C,3,FALSE)))),IFERROR(VLOOKUP(B704,#REF!,5,FALSE),"No encontrado. Revisar código, fecha ejecución y/o contrato."))))))))</f>
        <v/>
      </c>
      <c r="D704" s="88" t="str">
        <f>IF(B704="","",
IFERROR(VLOOKUP(B704,'Maestro Materiales'!A:C,2,FALSE),
IFERROR(VLOOKUP(B704,'Baremos actuales'!A:B,2,FALSE),
IFERROR(VLOOKUP(B704,'Baremos anteriores'!A:B,2,FALSE),
""))))</f>
        <v/>
      </c>
      <c r="E704" s="9"/>
      <c r="F704" s="89" t="str">
        <f>IF(D704="MATE",
IF(E704="","¿Unidades?",""),
IF(D704="",IF(E704="","","¿Código?"),
IF(E704="","¿Unidades?",
IF(D704="TARE",
IF(M704=$H$3,IFERROR(VLOOKUP(B704,'Baremos actuales'!A:C,3,FALSE),0),
IF(M704=$H$4,IFERROR(VLOOKUP(B704,'Baremos anteriores'!A:C,3,FALSE),0),0))))))</f>
        <v/>
      </c>
      <c r="G704" s="7"/>
      <c r="H704" s="8"/>
      <c r="I704" s="8"/>
      <c r="J704" s="78" t="str">
        <f>IF($D704="","",
IF($E704="","",
IF($D704="MATE","",
IF(VLOOKUP($B704,'Baremos actuales'!A:D,4,FALSE)=J$9,$E704*$F704,IF(VLOOKUP($B704,'Baremos anteriores'!A:D,4,FALSE)="Sin Definir",$E704*$F704,"")))))</f>
        <v/>
      </c>
      <c r="K704" s="79" t="str">
        <f>IF($D704="","",
IF($E704="","",
IF($D704="MATE","",
IF(VLOOKUP($B704,'Baremos actuales'!$A:$D,4,FALSE)=K$9,$E704*$F704,IF(VLOOKUP($B704,'Baremos anteriores'!$A:$D,4,FALSE)="Desmonte",$E704*$F704,"")))))</f>
        <v/>
      </c>
      <c r="L704" s="80" t="str">
        <f>IF($D704="","",
IF($E704="","",
IF($D704="MATE","",
IF(VLOOKUP($B704,'Baremos actuales'!$A:$D,4,FALSE)=L$9,$E704*$F704,""))))</f>
        <v/>
      </c>
      <c r="M704" s="91" t="str">
        <f t="shared" si="10"/>
        <v/>
      </c>
      <c r="N704" s="96"/>
      <c r="O704" s="95"/>
      <c r="P704" s="96"/>
      <c r="Q704" s="98"/>
    </row>
    <row r="705" spans="1:17" ht="15.75" x14ac:dyDescent="0.2">
      <c r="A705" s="17"/>
      <c r="B705" s="18"/>
      <c r="C705" s="87" t="str">
        <f>IF(B705="","",
IF(M705=$H$5,IFERROR(VLOOKUP(B705,'Baremos actuales'!A:E,5,FALSE),"No encontrado. Revisar código, fecha ejecución y/o contrato."),
IF(M705=$H$4,IFERROR(VLOOKUP(B705,'Baremos anteriores'!A:E,5,FALSE),"No encontrado. Revisar código, fecha ejecución y/o contrato."),
IF(M705=$H$3,IFERROR(VLOOKUP(B705,#REF!,5,FALSE),"No encontrado. Revisar código, fecha ejecución y/o contrato."),
IF(D705="","Código no encontrado",
IF(D705="ERROR","No encontrado. Revisar Código, fecha de ejecución y/o contrato.",
IF(D705="MATE",
IF(C704="DESCRIPCION","NO SE PUEDE COMENZAR SIN CÓDIGO DE TAREA",
IF(C704="","FALTA CÓDIGO DE TAREA",
CONCATENATE("          ",VLOOKUP(B705,'Maestro Materiales'!A:C,3,FALSE)))),IFERROR(VLOOKUP(B705,#REF!,5,FALSE),"No encontrado. Revisar código, fecha ejecución y/o contrato."))))))))</f>
        <v/>
      </c>
      <c r="D705" s="88" t="str">
        <f>IF(B705="","",
IFERROR(VLOOKUP(B705,'Maestro Materiales'!A:C,2,FALSE),
IFERROR(VLOOKUP(B705,'Baremos actuales'!A:B,2,FALSE),
IFERROR(VLOOKUP(B705,'Baremos anteriores'!A:B,2,FALSE),
""))))</f>
        <v/>
      </c>
      <c r="E705" s="9"/>
      <c r="F705" s="89" t="str">
        <f>IF(D705="MATE",
IF(E705="","¿Unidades?",""),
IF(D705="",IF(E705="","","¿Código?"),
IF(E705="","¿Unidades?",
IF(D705="TARE",
IF(M705=$H$3,IFERROR(VLOOKUP(B705,'Baremos actuales'!A:C,3,FALSE),0),
IF(M705=$H$4,IFERROR(VLOOKUP(B705,'Baremos anteriores'!A:C,3,FALSE),0),0))))))</f>
        <v/>
      </c>
      <c r="G705" s="7"/>
      <c r="H705" s="8"/>
      <c r="I705" s="8"/>
      <c r="J705" s="78" t="str">
        <f>IF($D705="","",
IF($E705="","",
IF($D705="MATE","",
IF(VLOOKUP($B705,'Baremos actuales'!A:D,4,FALSE)=J$9,$E705*$F705,IF(VLOOKUP($B705,'Baremos anteriores'!A:D,4,FALSE)="Sin Definir",$E705*$F705,"")))))</f>
        <v/>
      </c>
      <c r="K705" s="79" t="str">
        <f>IF($D705="","",
IF($E705="","",
IF($D705="MATE","",
IF(VLOOKUP($B705,'Baremos actuales'!$A:$D,4,FALSE)=K$9,$E705*$F705,IF(VLOOKUP($B705,'Baremos anteriores'!$A:$D,4,FALSE)="Desmonte",$E705*$F705,"")))))</f>
        <v/>
      </c>
      <c r="L705" s="80" t="str">
        <f>IF($D705="","",
IF($E705="","",
IF($D705="MATE","",
IF(VLOOKUP($B705,'Baremos actuales'!$A:$D,4,FALSE)=L$9,$E705*$F705,""))))</f>
        <v/>
      </c>
      <c r="M705" s="91" t="str">
        <f t="shared" si="10"/>
        <v/>
      </c>
      <c r="N705" s="96"/>
      <c r="O705" s="95"/>
      <c r="P705" s="96"/>
      <c r="Q705" s="98"/>
    </row>
    <row r="706" spans="1:17" ht="15.75" x14ac:dyDescent="0.2">
      <c r="A706" s="17"/>
      <c r="B706" s="18"/>
      <c r="C706" s="87" t="str">
        <f>IF(B706="","",
IF(M706=$H$5,IFERROR(VLOOKUP(B706,'Baremos actuales'!A:E,5,FALSE),"No encontrado. Revisar código, fecha ejecución y/o contrato."),
IF(M706=$H$4,IFERROR(VLOOKUP(B706,'Baremos anteriores'!A:E,5,FALSE),"No encontrado. Revisar código, fecha ejecución y/o contrato."),
IF(M706=$H$3,IFERROR(VLOOKUP(B706,#REF!,5,FALSE),"No encontrado. Revisar código, fecha ejecución y/o contrato."),
IF(D706="","Código no encontrado",
IF(D706="ERROR","No encontrado. Revisar Código, fecha de ejecución y/o contrato.",
IF(D706="MATE",
IF(C705="DESCRIPCION","NO SE PUEDE COMENZAR SIN CÓDIGO DE TAREA",
IF(C705="","FALTA CÓDIGO DE TAREA",
CONCATENATE("          ",VLOOKUP(B706,'Maestro Materiales'!A:C,3,FALSE)))),IFERROR(VLOOKUP(B706,#REF!,5,FALSE),"No encontrado. Revisar código, fecha ejecución y/o contrato."))))))))</f>
        <v/>
      </c>
      <c r="D706" s="88" t="str">
        <f>IF(B706="","",
IFERROR(VLOOKUP(B706,'Maestro Materiales'!A:C,2,FALSE),
IFERROR(VLOOKUP(B706,'Baremos actuales'!A:B,2,FALSE),
IFERROR(VLOOKUP(B706,'Baremos anteriores'!A:B,2,FALSE),
""))))</f>
        <v/>
      </c>
      <c r="E706" s="9"/>
      <c r="F706" s="89" t="str">
        <f>IF(D706="MATE",
IF(E706="","¿Unidades?",""),
IF(D706="",IF(E706="","","¿Código?"),
IF(E706="","¿Unidades?",
IF(D706="TARE",
IF(M706=$H$3,IFERROR(VLOOKUP(B706,'Baremos actuales'!A:C,3,FALSE),0),
IF(M706=$H$4,IFERROR(VLOOKUP(B706,'Baremos anteriores'!A:C,3,FALSE),0),0))))))</f>
        <v/>
      </c>
      <c r="G706" s="7"/>
      <c r="H706" s="8"/>
      <c r="I706" s="8"/>
      <c r="J706" s="78" t="str">
        <f>IF($D706="","",
IF($E706="","",
IF($D706="MATE","",
IF(VLOOKUP($B706,'Baremos actuales'!A:D,4,FALSE)=J$9,$E706*$F706,IF(VLOOKUP($B706,'Baremos anteriores'!A:D,4,FALSE)="Sin Definir",$E706*$F706,"")))))</f>
        <v/>
      </c>
      <c r="K706" s="79" t="str">
        <f>IF($D706="","",
IF($E706="","",
IF($D706="MATE","",
IF(VLOOKUP($B706,'Baremos actuales'!$A:$D,4,FALSE)=K$9,$E706*$F706,IF(VLOOKUP($B706,'Baremos anteriores'!$A:$D,4,FALSE)="Desmonte",$E706*$F706,"")))))</f>
        <v/>
      </c>
      <c r="L706" s="80" t="str">
        <f>IF($D706="","",
IF($E706="","",
IF($D706="MATE","",
IF(VLOOKUP($B706,'Baremos actuales'!$A:$D,4,FALSE)=L$9,$E706*$F706,""))))</f>
        <v/>
      </c>
      <c r="M706" s="91" t="str">
        <f t="shared" si="10"/>
        <v/>
      </c>
      <c r="N706" s="96"/>
      <c r="O706" s="95"/>
      <c r="P706" s="96"/>
      <c r="Q706" s="98"/>
    </row>
    <row r="707" spans="1:17" ht="15.75" x14ac:dyDescent="0.2">
      <c r="A707" s="17"/>
      <c r="B707" s="18"/>
      <c r="C707" s="87" t="str">
        <f>IF(B707="","",
IF(M707=$H$5,IFERROR(VLOOKUP(B707,'Baremos actuales'!A:E,5,FALSE),"No encontrado. Revisar código, fecha ejecución y/o contrato."),
IF(M707=$H$4,IFERROR(VLOOKUP(B707,'Baremos anteriores'!A:E,5,FALSE),"No encontrado. Revisar código, fecha ejecución y/o contrato."),
IF(M707=$H$3,IFERROR(VLOOKUP(B707,#REF!,5,FALSE),"No encontrado. Revisar código, fecha ejecución y/o contrato."),
IF(D707="","Código no encontrado",
IF(D707="ERROR","No encontrado. Revisar Código, fecha de ejecución y/o contrato.",
IF(D707="MATE",
IF(C706="DESCRIPCION","NO SE PUEDE COMENZAR SIN CÓDIGO DE TAREA",
IF(C706="","FALTA CÓDIGO DE TAREA",
CONCATENATE("          ",VLOOKUP(B707,'Maestro Materiales'!A:C,3,FALSE)))),IFERROR(VLOOKUP(B707,#REF!,5,FALSE),"No encontrado. Revisar código, fecha ejecución y/o contrato."))))))))</f>
        <v/>
      </c>
      <c r="D707" s="88" t="str">
        <f>IF(B707="","",
IFERROR(VLOOKUP(B707,'Maestro Materiales'!A:C,2,FALSE),
IFERROR(VLOOKUP(B707,'Baremos actuales'!A:B,2,FALSE),
IFERROR(VLOOKUP(B707,'Baremos anteriores'!A:B,2,FALSE),
""))))</f>
        <v/>
      </c>
      <c r="E707" s="9"/>
      <c r="F707" s="89" t="str">
        <f>IF(D707="MATE",
IF(E707="","¿Unidades?",""),
IF(D707="",IF(E707="","","¿Código?"),
IF(E707="","¿Unidades?",
IF(D707="TARE",
IF(M707=$H$3,IFERROR(VLOOKUP(B707,'Baremos actuales'!A:C,3,FALSE),0),
IF(M707=$H$4,IFERROR(VLOOKUP(B707,'Baremos anteriores'!A:C,3,FALSE),0),0))))))</f>
        <v/>
      </c>
      <c r="G707" s="7"/>
      <c r="H707" s="8"/>
      <c r="I707" s="8"/>
      <c r="J707" s="78" t="str">
        <f>IF($D707="","",
IF($E707="","",
IF($D707="MATE","",
IF(VLOOKUP($B707,'Baremos actuales'!A:D,4,FALSE)=J$9,$E707*$F707,IF(VLOOKUP($B707,'Baremos anteriores'!A:D,4,FALSE)="Sin Definir",$E707*$F707,"")))))</f>
        <v/>
      </c>
      <c r="K707" s="79" t="str">
        <f>IF($D707="","",
IF($E707="","",
IF($D707="MATE","",
IF(VLOOKUP($B707,'Baremos actuales'!$A:$D,4,FALSE)=K$9,$E707*$F707,IF(VLOOKUP($B707,'Baremos anteriores'!$A:$D,4,FALSE)="Desmonte",$E707*$F707,"")))))</f>
        <v/>
      </c>
      <c r="L707" s="80" t="str">
        <f>IF($D707="","",
IF($E707="","",
IF($D707="MATE","",
IF(VLOOKUP($B707,'Baremos actuales'!$A:$D,4,FALSE)=L$9,$E707*$F707,""))))</f>
        <v/>
      </c>
      <c r="M707" s="91" t="str">
        <f t="shared" si="10"/>
        <v/>
      </c>
      <c r="N707" s="96"/>
      <c r="O707" s="95"/>
      <c r="P707" s="96"/>
      <c r="Q707" s="98"/>
    </row>
    <row r="708" spans="1:17" ht="15.75" x14ac:dyDescent="0.2">
      <c r="A708" s="17"/>
      <c r="B708" s="18"/>
      <c r="C708" s="87" t="str">
        <f>IF(B708="","",
IF(M708=$H$5,IFERROR(VLOOKUP(B708,'Baremos actuales'!A:E,5,FALSE),"No encontrado. Revisar código, fecha ejecución y/o contrato."),
IF(M708=$H$4,IFERROR(VLOOKUP(B708,'Baremos anteriores'!A:E,5,FALSE),"No encontrado. Revisar código, fecha ejecución y/o contrato."),
IF(M708=$H$3,IFERROR(VLOOKUP(B708,#REF!,5,FALSE),"No encontrado. Revisar código, fecha ejecución y/o contrato."),
IF(D708="","Código no encontrado",
IF(D708="ERROR","No encontrado. Revisar Código, fecha de ejecución y/o contrato.",
IF(D708="MATE",
IF(C707="DESCRIPCION","NO SE PUEDE COMENZAR SIN CÓDIGO DE TAREA",
IF(C707="","FALTA CÓDIGO DE TAREA",
CONCATENATE("          ",VLOOKUP(B708,'Maestro Materiales'!A:C,3,FALSE)))),IFERROR(VLOOKUP(B708,#REF!,5,FALSE),"No encontrado. Revisar código, fecha ejecución y/o contrato."))))))))</f>
        <v/>
      </c>
      <c r="D708" s="88" t="str">
        <f>IF(B708="","",
IFERROR(VLOOKUP(B708,'Maestro Materiales'!A:C,2,FALSE),
IFERROR(VLOOKUP(B708,'Baremos actuales'!A:B,2,FALSE),
IFERROR(VLOOKUP(B708,'Baremos anteriores'!A:B,2,FALSE),
""))))</f>
        <v/>
      </c>
      <c r="E708" s="9"/>
      <c r="F708" s="89" t="str">
        <f>IF(D708="MATE",
IF(E708="","¿Unidades?",""),
IF(D708="",IF(E708="","","¿Código?"),
IF(E708="","¿Unidades?",
IF(D708="TARE",
IF(M708=$H$3,IFERROR(VLOOKUP(B708,'Baremos actuales'!A:C,3,FALSE),0),
IF(M708=$H$4,IFERROR(VLOOKUP(B708,'Baremos anteriores'!A:C,3,FALSE),0),0))))))</f>
        <v/>
      </c>
      <c r="G708" s="7"/>
      <c r="H708" s="8"/>
      <c r="I708" s="8"/>
      <c r="J708" s="78" t="str">
        <f>IF($D708="","",
IF($E708="","",
IF($D708="MATE","",
IF(VLOOKUP($B708,'Baremos actuales'!A:D,4,FALSE)=J$9,$E708*$F708,IF(VLOOKUP($B708,'Baremos anteriores'!A:D,4,FALSE)="Sin Definir",$E708*$F708,"")))))</f>
        <v/>
      </c>
      <c r="K708" s="79" t="str">
        <f>IF($D708="","",
IF($E708="","",
IF($D708="MATE","",
IF(VLOOKUP($B708,'Baremos actuales'!$A:$D,4,FALSE)=K$9,$E708*$F708,IF(VLOOKUP($B708,'Baremos anteriores'!$A:$D,4,FALSE)="Desmonte",$E708*$F708,"")))))</f>
        <v/>
      </c>
      <c r="L708" s="80" t="str">
        <f>IF($D708="","",
IF($E708="","",
IF($D708="MATE","",
IF(VLOOKUP($B708,'Baremos actuales'!$A:$D,4,FALSE)=L$9,$E708*$F708,""))))</f>
        <v/>
      </c>
      <c r="M708" s="91" t="str">
        <f t="shared" si="10"/>
        <v/>
      </c>
      <c r="N708" s="96"/>
      <c r="O708" s="95"/>
      <c r="P708" s="96"/>
      <c r="Q708" s="98"/>
    </row>
    <row r="709" spans="1:17" ht="15.75" x14ac:dyDescent="0.2">
      <c r="A709" s="17"/>
      <c r="B709" s="18"/>
      <c r="C709" s="87" t="str">
        <f>IF(B709="","",
IF(M709=$H$5,IFERROR(VLOOKUP(B709,'Baremos actuales'!A:E,5,FALSE),"No encontrado. Revisar código, fecha ejecución y/o contrato."),
IF(M709=$H$4,IFERROR(VLOOKUP(B709,'Baremos anteriores'!A:E,5,FALSE),"No encontrado. Revisar código, fecha ejecución y/o contrato."),
IF(M709=$H$3,IFERROR(VLOOKUP(B709,#REF!,5,FALSE),"No encontrado. Revisar código, fecha ejecución y/o contrato."),
IF(D709="","Código no encontrado",
IF(D709="ERROR","No encontrado. Revisar Código, fecha de ejecución y/o contrato.",
IF(D709="MATE",
IF(C708="DESCRIPCION","NO SE PUEDE COMENZAR SIN CÓDIGO DE TAREA",
IF(C708="","FALTA CÓDIGO DE TAREA",
CONCATENATE("          ",VLOOKUP(B709,'Maestro Materiales'!A:C,3,FALSE)))),IFERROR(VLOOKUP(B709,#REF!,5,FALSE),"No encontrado. Revisar código, fecha ejecución y/o contrato."))))))))</f>
        <v/>
      </c>
      <c r="D709" s="88" t="str">
        <f>IF(B709="","",
IFERROR(VLOOKUP(B709,'Maestro Materiales'!A:C,2,FALSE),
IFERROR(VLOOKUP(B709,'Baremos actuales'!A:B,2,FALSE),
IFERROR(VLOOKUP(B709,'Baremos anteriores'!A:B,2,FALSE),
""))))</f>
        <v/>
      </c>
      <c r="E709" s="9"/>
      <c r="F709" s="89" t="str">
        <f>IF(D709="MATE",
IF(E709="","¿Unidades?",""),
IF(D709="",IF(E709="","","¿Código?"),
IF(E709="","¿Unidades?",
IF(D709="TARE",
IF(M709=$H$3,IFERROR(VLOOKUP(B709,'Baremos actuales'!A:C,3,FALSE),0),
IF(M709=$H$4,IFERROR(VLOOKUP(B709,'Baremos anteriores'!A:C,3,FALSE),0),0))))))</f>
        <v/>
      </c>
      <c r="G709" s="7"/>
      <c r="H709" s="8"/>
      <c r="I709" s="8"/>
      <c r="J709" s="78" t="str">
        <f>IF($D709="","",
IF($E709="","",
IF($D709="MATE","",
IF(VLOOKUP($B709,'Baremos actuales'!A:D,4,FALSE)=J$9,$E709*$F709,IF(VLOOKUP($B709,'Baremos anteriores'!A:D,4,FALSE)="Sin Definir",$E709*$F709,"")))))</f>
        <v/>
      </c>
      <c r="K709" s="79" t="str">
        <f>IF($D709="","",
IF($E709="","",
IF($D709="MATE","",
IF(VLOOKUP($B709,'Baremos actuales'!$A:$D,4,FALSE)=K$9,$E709*$F709,IF(VLOOKUP($B709,'Baremos anteriores'!$A:$D,4,FALSE)="Desmonte",$E709*$F709,"")))))</f>
        <v/>
      </c>
      <c r="L709" s="80" t="str">
        <f>IF($D709="","",
IF($E709="","",
IF($D709="MATE","",
IF(VLOOKUP($B709,'Baremos actuales'!$A:$D,4,FALSE)=L$9,$E709*$F709,""))))</f>
        <v/>
      </c>
      <c r="M709" s="91" t="str">
        <f t="shared" si="10"/>
        <v/>
      </c>
      <c r="N709" s="96"/>
      <c r="O709" s="95"/>
      <c r="P709" s="96"/>
      <c r="Q709" s="98"/>
    </row>
    <row r="710" spans="1:17" ht="15.75" x14ac:dyDescent="0.2">
      <c r="A710" s="17"/>
      <c r="B710" s="18"/>
      <c r="C710" s="87" t="str">
        <f>IF(B710="","",
IF(M710=$H$5,IFERROR(VLOOKUP(B710,'Baremos actuales'!A:E,5,FALSE),"No encontrado. Revisar código, fecha ejecución y/o contrato."),
IF(M710=$H$4,IFERROR(VLOOKUP(B710,'Baremos anteriores'!A:E,5,FALSE),"No encontrado. Revisar código, fecha ejecución y/o contrato."),
IF(M710=$H$3,IFERROR(VLOOKUP(B710,#REF!,5,FALSE),"No encontrado. Revisar código, fecha ejecución y/o contrato."),
IF(D710="","Código no encontrado",
IF(D710="ERROR","No encontrado. Revisar Código, fecha de ejecución y/o contrato.",
IF(D710="MATE",
IF(C709="DESCRIPCION","NO SE PUEDE COMENZAR SIN CÓDIGO DE TAREA",
IF(C709="","FALTA CÓDIGO DE TAREA",
CONCATENATE("          ",VLOOKUP(B710,'Maestro Materiales'!A:C,3,FALSE)))),IFERROR(VLOOKUP(B710,#REF!,5,FALSE),"No encontrado. Revisar código, fecha ejecución y/o contrato."))))))))</f>
        <v/>
      </c>
      <c r="D710" s="88" t="str">
        <f>IF(B710="","",
IFERROR(VLOOKUP(B710,'Maestro Materiales'!A:C,2,FALSE),
IFERROR(VLOOKUP(B710,'Baremos actuales'!A:B,2,FALSE),
IFERROR(VLOOKUP(B710,'Baremos anteriores'!A:B,2,FALSE),
""))))</f>
        <v/>
      </c>
      <c r="E710" s="9"/>
      <c r="F710" s="89" t="str">
        <f>IF(D710="MATE",
IF(E710="","¿Unidades?",""),
IF(D710="",IF(E710="","","¿Código?"),
IF(E710="","¿Unidades?",
IF(D710="TARE",
IF(M710=$H$3,IFERROR(VLOOKUP(B710,'Baremos actuales'!A:C,3,FALSE),0),
IF(M710=$H$4,IFERROR(VLOOKUP(B710,'Baremos anteriores'!A:C,3,FALSE),0),0))))))</f>
        <v/>
      </c>
      <c r="G710" s="7"/>
      <c r="H710" s="8"/>
      <c r="I710" s="8"/>
      <c r="J710" s="78" t="str">
        <f>IF($D710="","",
IF($E710="","",
IF($D710="MATE","",
IF(VLOOKUP($B710,'Baremos actuales'!A:D,4,FALSE)=J$9,$E710*$F710,IF(VLOOKUP($B710,'Baremos anteriores'!A:D,4,FALSE)="Sin Definir",$E710*$F710,"")))))</f>
        <v/>
      </c>
      <c r="K710" s="79" t="str">
        <f>IF($D710="","",
IF($E710="","",
IF($D710="MATE","",
IF(VLOOKUP($B710,'Baremos actuales'!$A:$D,4,FALSE)=K$9,$E710*$F710,IF(VLOOKUP($B710,'Baremos anteriores'!$A:$D,4,FALSE)="Desmonte",$E710*$F710,"")))))</f>
        <v/>
      </c>
      <c r="L710" s="80" t="str">
        <f>IF($D710="","",
IF($E710="","",
IF($D710="MATE","",
IF(VLOOKUP($B710,'Baremos actuales'!$A:$D,4,FALSE)=L$9,$E710*$F710,""))))</f>
        <v/>
      </c>
      <c r="M710" s="91" t="str">
        <f t="shared" si="10"/>
        <v/>
      </c>
      <c r="N710" s="96"/>
      <c r="O710" s="95"/>
      <c r="P710" s="96"/>
      <c r="Q710" s="98"/>
    </row>
    <row r="711" spans="1:17" ht="15.75" x14ac:dyDescent="0.2">
      <c r="A711" s="17"/>
      <c r="B711" s="18"/>
      <c r="C711" s="87" t="str">
        <f>IF(B711="","",
IF(M711=$H$5,IFERROR(VLOOKUP(B711,'Baremos actuales'!A:E,5,FALSE),"No encontrado. Revisar código, fecha ejecución y/o contrato."),
IF(M711=$H$4,IFERROR(VLOOKUP(B711,'Baremos anteriores'!A:E,5,FALSE),"No encontrado. Revisar código, fecha ejecución y/o contrato."),
IF(M711=$H$3,IFERROR(VLOOKUP(B711,#REF!,5,FALSE),"No encontrado. Revisar código, fecha ejecución y/o contrato."),
IF(D711="","Código no encontrado",
IF(D711="ERROR","No encontrado. Revisar Código, fecha de ejecución y/o contrato.",
IF(D711="MATE",
IF(C710="DESCRIPCION","NO SE PUEDE COMENZAR SIN CÓDIGO DE TAREA",
IF(C710="","FALTA CÓDIGO DE TAREA",
CONCATENATE("          ",VLOOKUP(B711,'Maestro Materiales'!A:C,3,FALSE)))),IFERROR(VLOOKUP(B711,#REF!,5,FALSE),"No encontrado. Revisar código, fecha ejecución y/o contrato."))))))))</f>
        <v/>
      </c>
      <c r="D711" s="88" t="str">
        <f>IF(B711="","",
IFERROR(VLOOKUP(B711,'Maestro Materiales'!A:C,2,FALSE),
IFERROR(VLOOKUP(B711,'Baremos actuales'!A:B,2,FALSE),
IFERROR(VLOOKUP(B711,'Baremos anteriores'!A:B,2,FALSE),
""))))</f>
        <v/>
      </c>
      <c r="E711" s="9"/>
      <c r="F711" s="89" t="str">
        <f>IF(D711="MATE",
IF(E711="","¿Unidades?",""),
IF(D711="",IF(E711="","","¿Código?"),
IF(E711="","¿Unidades?",
IF(D711="TARE",
IF(M711=$H$3,IFERROR(VLOOKUP(B711,'Baremos actuales'!A:C,3,FALSE),0),
IF(M711=$H$4,IFERROR(VLOOKUP(B711,'Baremos anteriores'!A:C,3,FALSE),0),0))))))</f>
        <v/>
      </c>
      <c r="G711" s="7"/>
      <c r="H711" s="8"/>
      <c r="I711" s="8"/>
      <c r="J711" s="78" t="str">
        <f>IF($D711="","",
IF($E711="","",
IF($D711="MATE","",
IF(VLOOKUP($B711,'Baremos actuales'!A:D,4,FALSE)=J$9,$E711*$F711,IF(VLOOKUP($B711,'Baremos anteriores'!A:D,4,FALSE)="Sin Definir",$E711*$F711,"")))))</f>
        <v/>
      </c>
      <c r="K711" s="79" t="str">
        <f>IF($D711="","",
IF($E711="","",
IF($D711="MATE","",
IF(VLOOKUP($B711,'Baremos actuales'!$A:$D,4,FALSE)=K$9,$E711*$F711,IF(VLOOKUP($B711,'Baremos anteriores'!$A:$D,4,FALSE)="Desmonte",$E711*$F711,"")))))</f>
        <v/>
      </c>
      <c r="L711" s="80" t="str">
        <f>IF($D711="","",
IF($E711="","",
IF($D711="MATE","",
IF(VLOOKUP($B711,'Baremos actuales'!$A:$D,4,FALSE)=L$9,$E711*$F711,""))))</f>
        <v/>
      </c>
      <c r="M711" s="91" t="str">
        <f t="shared" si="10"/>
        <v/>
      </c>
      <c r="N711" s="96"/>
      <c r="O711" s="95"/>
      <c r="P711" s="96"/>
      <c r="Q711" s="98"/>
    </row>
    <row r="712" spans="1:17" ht="15.75" x14ac:dyDescent="0.2">
      <c r="A712" s="17"/>
      <c r="B712" s="18"/>
      <c r="C712" s="87" t="str">
        <f>IF(B712="","",
IF(M712=$H$5,IFERROR(VLOOKUP(B712,'Baremos actuales'!A:E,5,FALSE),"No encontrado. Revisar código, fecha ejecución y/o contrato."),
IF(M712=$H$4,IFERROR(VLOOKUP(B712,'Baremos anteriores'!A:E,5,FALSE),"No encontrado. Revisar código, fecha ejecución y/o contrato."),
IF(M712=$H$3,IFERROR(VLOOKUP(B712,#REF!,5,FALSE),"No encontrado. Revisar código, fecha ejecución y/o contrato."),
IF(D712="","Código no encontrado",
IF(D712="ERROR","No encontrado. Revisar Código, fecha de ejecución y/o contrato.",
IF(D712="MATE",
IF(C711="DESCRIPCION","NO SE PUEDE COMENZAR SIN CÓDIGO DE TAREA",
IF(C711="","FALTA CÓDIGO DE TAREA",
CONCATENATE("          ",VLOOKUP(B712,'Maestro Materiales'!A:C,3,FALSE)))),IFERROR(VLOOKUP(B712,#REF!,5,FALSE),"No encontrado. Revisar código, fecha ejecución y/o contrato."))))))))</f>
        <v/>
      </c>
      <c r="D712" s="88" t="str">
        <f>IF(B712="","",
IFERROR(VLOOKUP(B712,'Maestro Materiales'!A:C,2,FALSE),
IFERROR(VLOOKUP(B712,'Baremos actuales'!A:B,2,FALSE),
IFERROR(VLOOKUP(B712,'Baremos anteriores'!A:B,2,FALSE),
""))))</f>
        <v/>
      </c>
      <c r="E712" s="9"/>
      <c r="F712" s="89" t="str">
        <f>IF(D712="MATE",
IF(E712="","¿Unidades?",""),
IF(D712="",IF(E712="","","¿Código?"),
IF(E712="","¿Unidades?",
IF(D712="TARE",
IF(M712=$H$3,IFERROR(VLOOKUP(B712,'Baremos actuales'!A:C,3,FALSE),0),
IF(M712=$H$4,IFERROR(VLOOKUP(B712,'Baremos anteriores'!A:C,3,FALSE),0),0))))))</f>
        <v/>
      </c>
      <c r="G712" s="7"/>
      <c r="H712" s="8"/>
      <c r="I712" s="8"/>
      <c r="J712" s="78" t="str">
        <f>IF($D712="","",
IF($E712="","",
IF($D712="MATE","",
IF(VLOOKUP($B712,'Baremos actuales'!A:D,4,FALSE)=J$9,$E712*$F712,IF(VLOOKUP($B712,'Baremos anteriores'!A:D,4,FALSE)="Sin Definir",$E712*$F712,"")))))</f>
        <v/>
      </c>
      <c r="K712" s="79" t="str">
        <f>IF($D712="","",
IF($E712="","",
IF($D712="MATE","",
IF(VLOOKUP($B712,'Baremos actuales'!$A:$D,4,FALSE)=K$9,$E712*$F712,IF(VLOOKUP($B712,'Baremos anteriores'!$A:$D,4,FALSE)="Desmonte",$E712*$F712,"")))))</f>
        <v/>
      </c>
      <c r="L712" s="80" t="str">
        <f>IF($D712="","",
IF($E712="","",
IF($D712="MATE","",
IF(VLOOKUP($B712,'Baremos actuales'!$A:$D,4,FALSE)=L$9,$E712*$F712,""))))</f>
        <v/>
      </c>
      <c r="M712" s="91" t="str">
        <f t="shared" si="10"/>
        <v/>
      </c>
      <c r="N712" s="96"/>
      <c r="O712" s="95"/>
      <c r="P712" s="96"/>
      <c r="Q712" s="98"/>
    </row>
    <row r="713" spans="1:17" ht="15.75" x14ac:dyDescent="0.2">
      <c r="A713" s="17"/>
      <c r="B713" s="18"/>
      <c r="C713" s="87" t="str">
        <f>IF(B713="","",
IF(M713=$H$5,IFERROR(VLOOKUP(B713,'Baremos actuales'!A:E,5,FALSE),"No encontrado. Revisar código, fecha ejecución y/o contrato."),
IF(M713=$H$4,IFERROR(VLOOKUP(B713,'Baremos anteriores'!A:E,5,FALSE),"No encontrado. Revisar código, fecha ejecución y/o contrato."),
IF(M713=$H$3,IFERROR(VLOOKUP(B713,#REF!,5,FALSE),"No encontrado. Revisar código, fecha ejecución y/o contrato."),
IF(D713="","Código no encontrado",
IF(D713="ERROR","No encontrado. Revisar Código, fecha de ejecución y/o contrato.",
IF(D713="MATE",
IF(C712="DESCRIPCION","NO SE PUEDE COMENZAR SIN CÓDIGO DE TAREA",
IF(C712="","FALTA CÓDIGO DE TAREA",
CONCATENATE("          ",VLOOKUP(B713,'Maestro Materiales'!A:C,3,FALSE)))),IFERROR(VLOOKUP(B713,#REF!,5,FALSE),"No encontrado. Revisar código, fecha ejecución y/o contrato."))))))))</f>
        <v/>
      </c>
      <c r="D713" s="88" t="str">
        <f>IF(B713="","",
IFERROR(VLOOKUP(B713,'Maestro Materiales'!A:C,2,FALSE),
IFERROR(VLOOKUP(B713,'Baremos actuales'!A:B,2,FALSE),
IFERROR(VLOOKUP(B713,'Baremos anteriores'!A:B,2,FALSE),
""))))</f>
        <v/>
      </c>
      <c r="E713" s="9"/>
      <c r="F713" s="89" t="str">
        <f>IF(D713="MATE",
IF(E713="","¿Unidades?",""),
IF(D713="",IF(E713="","","¿Código?"),
IF(E713="","¿Unidades?",
IF(D713="TARE",
IF(M713=$H$3,IFERROR(VLOOKUP(B713,'Baremos actuales'!A:C,3,FALSE),0),
IF(M713=$H$4,IFERROR(VLOOKUP(B713,'Baremos anteriores'!A:C,3,FALSE),0),0))))))</f>
        <v/>
      </c>
      <c r="G713" s="7"/>
      <c r="H713" s="8"/>
      <c r="I713" s="8"/>
      <c r="J713" s="78" t="str">
        <f>IF($D713="","",
IF($E713="","",
IF($D713="MATE","",
IF(VLOOKUP($B713,'Baremos actuales'!A:D,4,FALSE)=J$9,$E713*$F713,IF(VLOOKUP($B713,'Baremos anteriores'!A:D,4,FALSE)="Sin Definir",$E713*$F713,"")))))</f>
        <v/>
      </c>
      <c r="K713" s="79" t="str">
        <f>IF($D713="","",
IF($E713="","",
IF($D713="MATE","",
IF(VLOOKUP($B713,'Baremos actuales'!$A:$D,4,FALSE)=K$9,$E713*$F713,IF(VLOOKUP($B713,'Baremos anteriores'!$A:$D,4,FALSE)="Desmonte",$E713*$F713,"")))))</f>
        <v/>
      </c>
      <c r="L713" s="80" t="str">
        <f>IF($D713="","",
IF($E713="","",
IF($D713="MATE","",
IF(VLOOKUP($B713,'Baremos actuales'!$A:$D,4,FALSE)=L$9,$E713*$F713,""))))</f>
        <v/>
      </c>
      <c r="M713" s="91" t="str">
        <f t="shared" si="10"/>
        <v/>
      </c>
      <c r="N713" s="96"/>
      <c r="O713" s="95"/>
      <c r="P713" s="96"/>
      <c r="Q713" s="98"/>
    </row>
    <row r="714" spans="1:17" ht="15.75" x14ac:dyDescent="0.2">
      <c r="A714" s="17"/>
      <c r="B714" s="18"/>
      <c r="C714" s="87" t="str">
        <f>IF(B714="","",
IF(M714=$H$5,IFERROR(VLOOKUP(B714,'Baremos actuales'!A:E,5,FALSE),"No encontrado. Revisar código, fecha ejecución y/o contrato."),
IF(M714=$H$4,IFERROR(VLOOKUP(B714,'Baremos anteriores'!A:E,5,FALSE),"No encontrado. Revisar código, fecha ejecución y/o contrato."),
IF(M714=$H$3,IFERROR(VLOOKUP(B714,#REF!,5,FALSE),"No encontrado. Revisar código, fecha ejecución y/o contrato."),
IF(D714="","Código no encontrado",
IF(D714="ERROR","No encontrado. Revisar Código, fecha de ejecución y/o contrato.",
IF(D714="MATE",
IF(C713="DESCRIPCION","NO SE PUEDE COMENZAR SIN CÓDIGO DE TAREA",
IF(C713="","FALTA CÓDIGO DE TAREA",
CONCATENATE("          ",VLOOKUP(B714,'Maestro Materiales'!A:C,3,FALSE)))),IFERROR(VLOOKUP(B714,#REF!,5,FALSE),"No encontrado. Revisar código, fecha ejecución y/o contrato."))))))))</f>
        <v/>
      </c>
      <c r="D714" s="88" t="str">
        <f>IF(B714="","",
IFERROR(VLOOKUP(B714,'Maestro Materiales'!A:C,2,FALSE),
IFERROR(VLOOKUP(B714,'Baremos actuales'!A:B,2,FALSE),
IFERROR(VLOOKUP(B714,'Baremos anteriores'!A:B,2,FALSE),
""))))</f>
        <v/>
      </c>
      <c r="E714" s="9"/>
      <c r="F714" s="89" t="str">
        <f>IF(D714="MATE",
IF(E714="","¿Unidades?",""),
IF(D714="",IF(E714="","","¿Código?"),
IF(E714="","¿Unidades?",
IF(D714="TARE",
IF(M714=$H$3,IFERROR(VLOOKUP(B714,'Baremos actuales'!A:C,3,FALSE),0),
IF(M714=$H$4,IFERROR(VLOOKUP(B714,'Baremos anteriores'!A:C,3,FALSE),0),0))))))</f>
        <v/>
      </c>
      <c r="G714" s="7"/>
      <c r="H714" s="8"/>
      <c r="I714" s="8"/>
      <c r="J714" s="78" t="str">
        <f>IF($D714="","",
IF($E714="","",
IF($D714="MATE","",
IF(VLOOKUP($B714,'Baremos actuales'!A:D,4,FALSE)=J$9,$E714*$F714,IF(VLOOKUP($B714,'Baremos anteriores'!A:D,4,FALSE)="Sin Definir",$E714*$F714,"")))))</f>
        <v/>
      </c>
      <c r="K714" s="79" t="str">
        <f>IF($D714="","",
IF($E714="","",
IF($D714="MATE","",
IF(VLOOKUP($B714,'Baremos actuales'!$A:$D,4,FALSE)=K$9,$E714*$F714,IF(VLOOKUP($B714,'Baremos anteriores'!$A:$D,4,FALSE)="Desmonte",$E714*$F714,"")))))</f>
        <v/>
      </c>
      <c r="L714" s="80" t="str">
        <f>IF($D714="","",
IF($E714="","",
IF($D714="MATE","",
IF(VLOOKUP($B714,'Baremos actuales'!$A:$D,4,FALSE)=L$9,$E714*$F714,""))))</f>
        <v/>
      </c>
      <c r="M714" s="91" t="str">
        <f t="shared" si="10"/>
        <v/>
      </c>
      <c r="N714" s="96"/>
      <c r="O714" s="95"/>
      <c r="P714" s="96"/>
      <c r="Q714" s="98"/>
    </row>
    <row r="715" spans="1:17" ht="15.75" x14ac:dyDescent="0.2">
      <c r="A715" s="17"/>
      <c r="B715" s="18"/>
      <c r="C715" s="87" t="str">
        <f>IF(B715="","",
IF(M715=$H$5,IFERROR(VLOOKUP(B715,'Baremos actuales'!A:E,5,FALSE),"No encontrado. Revisar código, fecha ejecución y/o contrato."),
IF(M715=$H$4,IFERROR(VLOOKUP(B715,'Baremos anteriores'!A:E,5,FALSE),"No encontrado. Revisar código, fecha ejecución y/o contrato."),
IF(M715=$H$3,IFERROR(VLOOKUP(B715,#REF!,5,FALSE),"No encontrado. Revisar código, fecha ejecución y/o contrato."),
IF(D715="","Código no encontrado",
IF(D715="ERROR","No encontrado. Revisar Código, fecha de ejecución y/o contrato.",
IF(D715="MATE",
IF(C714="DESCRIPCION","NO SE PUEDE COMENZAR SIN CÓDIGO DE TAREA",
IF(C714="","FALTA CÓDIGO DE TAREA",
CONCATENATE("          ",VLOOKUP(B715,'Maestro Materiales'!A:C,3,FALSE)))),IFERROR(VLOOKUP(B715,#REF!,5,FALSE),"No encontrado. Revisar código, fecha ejecución y/o contrato."))))))))</f>
        <v/>
      </c>
      <c r="D715" s="88" t="str">
        <f>IF(B715="","",
IFERROR(VLOOKUP(B715,'Maestro Materiales'!A:C,2,FALSE),
IFERROR(VLOOKUP(B715,'Baremos actuales'!A:B,2,FALSE),
IFERROR(VLOOKUP(B715,'Baremos anteriores'!A:B,2,FALSE),
""))))</f>
        <v/>
      </c>
      <c r="E715" s="9"/>
      <c r="F715" s="89" t="str">
        <f>IF(D715="MATE",
IF(E715="","¿Unidades?",""),
IF(D715="",IF(E715="","","¿Código?"),
IF(E715="","¿Unidades?",
IF(D715="TARE",
IF(M715=$H$3,IFERROR(VLOOKUP(B715,'Baremos actuales'!A:C,3,FALSE),0),
IF(M715=$H$4,IFERROR(VLOOKUP(B715,'Baremos anteriores'!A:C,3,FALSE),0),0))))))</f>
        <v/>
      </c>
      <c r="G715" s="7"/>
      <c r="H715" s="8"/>
      <c r="I715" s="8"/>
      <c r="J715" s="78" t="str">
        <f>IF($D715="","",
IF($E715="","",
IF($D715="MATE","",
IF(VLOOKUP($B715,'Baremos actuales'!A:D,4,FALSE)=J$9,$E715*$F715,IF(VLOOKUP($B715,'Baremos anteriores'!A:D,4,FALSE)="Sin Definir",$E715*$F715,"")))))</f>
        <v/>
      </c>
      <c r="K715" s="79" t="str">
        <f>IF($D715="","",
IF($E715="","",
IF($D715="MATE","",
IF(VLOOKUP($B715,'Baremos actuales'!$A:$D,4,FALSE)=K$9,$E715*$F715,IF(VLOOKUP($B715,'Baremos anteriores'!$A:$D,4,FALSE)="Desmonte",$E715*$F715,"")))))</f>
        <v/>
      </c>
      <c r="L715" s="80" t="str">
        <f>IF($D715="","",
IF($E715="","",
IF($D715="MATE","",
IF(VLOOKUP($B715,'Baremos actuales'!$A:$D,4,FALSE)=L$9,$E715*$F715,""))))</f>
        <v/>
      </c>
      <c r="M715" s="91" t="str">
        <f t="shared" ref="M715:M778" si="11">IF(D715="MATE","Materiales",IF(B715="","",
IF($Q$1="O","Obsoleto",$F$2)))</f>
        <v/>
      </c>
      <c r="N715" s="96"/>
      <c r="O715" s="95"/>
      <c r="P715" s="96"/>
      <c r="Q715" s="98"/>
    </row>
    <row r="716" spans="1:17" ht="15.75" x14ac:dyDescent="0.2">
      <c r="A716" s="17"/>
      <c r="B716" s="18"/>
      <c r="C716" s="87" t="str">
        <f>IF(B716="","",
IF(M716=$H$5,IFERROR(VLOOKUP(B716,'Baremos actuales'!A:E,5,FALSE),"No encontrado. Revisar código, fecha ejecución y/o contrato."),
IF(M716=$H$4,IFERROR(VLOOKUP(B716,'Baremos anteriores'!A:E,5,FALSE),"No encontrado. Revisar código, fecha ejecución y/o contrato."),
IF(M716=$H$3,IFERROR(VLOOKUP(B716,#REF!,5,FALSE),"No encontrado. Revisar código, fecha ejecución y/o contrato."),
IF(D716="","Código no encontrado",
IF(D716="ERROR","No encontrado. Revisar Código, fecha de ejecución y/o contrato.",
IF(D716="MATE",
IF(C715="DESCRIPCION","NO SE PUEDE COMENZAR SIN CÓDIGO DE TAREA",
IF(C715="","FALTA CÓDIGO DE TAREA",
CONCATENATE("          ",VLOOKUP(B716,'Maestro Materiales'!A:C,3,FALSE)))),IFERROR(VLOOKUP(B716,#REF!,5,FALSE),"No encontrado. Revisar código, fecha ejecución y/o contrato."))))))))</f>
        <v/>
      </c>
      <c r="D716" s="88" t="str">
        <f>IF(B716="","",
IFERROR(VLOOKUP(B716,'Maestro Materiales'!A:C,2,FALSE),
IFERROR(VLOOKUP(B716,'Baremos actuales'!A:B,2,FALSE),
IFERROR(VLOOKUP(B716,'Baremos anteriores'!A:B,2,FALSE),
""))))</f>
        <v/>
      </c>
      <c r="E716" s="9"/>
      <c r="F716" s="89" t="str">
        <f>IF(D716="MATE",
IF(E716="","¿Unidades?",""),
IF(D716="",IF(E716="","","¿Código?"),
IF(E716="","¿Unidades?",
IF(D716="TARE",
IF(M716=$H$3,IFERROR(VLOOKUP(B716,'Baremos actuales'!A:C,3,FALSE),0),
IF(M716=$H$4,IFERROR(VLOOKUP(B716,'Baremos anteriores'!A:C,3,FALSE),0),0))))))</f>
        <v/>
      </c>
      <c r="G716" s="7"/>
      <c r="H716" s="8"/>
      <c r="I716" s="8"/>
      <c r="J716" s="78" t="str">
        <f>IF($D716="","",
IF($E716="","",
IF($D716="MATE","",
IF(VLOOKUP($B716,'Baremos actuales'!A:D,4,FALSE)=J$9,$E716*$F716,IF(VLOOKUP($B716,'Baremos anteriores'!A:D,4,FALSE)="Sin Definir",$E716*$F716,"")))))</f>
        <v/>
      </c>
      <c r="K716" s="79" t="str">
        <f>IF($D716="","",
IF($E716="","",
IF($D716="MATE","",
IF(VLOOKUP($B716,'Baremos actuales'!$A:$D,4,FALSE)=K$9,$E716*$F716,IF(VLOOKUP($B716,'Baremos anteriores'!$A:$D,4,FALSE)="Desmonte",$E716*$F716,"")))))</f>
        <v/>
      </c>
      <c r="L716" s="80" t="str">
        <f>IF($D716="","",
IF($E716="","",
IF($D716="MATE","",
IF(VLOOKUP($B716,'Baremos actuales'!$A:$D,4,FALSE)=L$9,$E716*$F716,""))))</f>
        <v/>
      </c>
      <c r="M716" s="91" t="str">
        <f t="shared" si="11"/>
        <v/>
      </c>
      <c r="N716" s="96"/>
      <c r="O716" s="95"/>
      <c r="P716" s="96"/>
      <c r="Q716" s="98"/>
    </row>
    <row r="717" spans="1:17" ht="15.75" x14ac:dyDescent="0.2">
      <c r="A717" s="17"/>
      <c r="B717" s="18"/>
      <c r="C717" s="87" t="str">
        <f>IF(B717="","",
IF(M717=$H$5,IFERROR(VLOOKUP(B717,'Baremos actuales'!A:E,5,FALSE),"No encontrado. Revisar código, fecha ejecución y/o contrato."),
IF(M717=$H$4,IFERROR(VLOOKUP(B717,'Baremos anteriores'!A:E,5,FALSE),"No encontrado. Revisar código, fecha ejecución y/o contrato."),
IF(M717=$H$3,IFERROR(VLOOKUP(B717,#REF!,5,FALSE),"No encontrado. Revisar código, fecha ejecución y/o contrato."),
IF(D717="","Código no encontrado",
IF(D717="ERROR","No encontrado. Revisar Código, fecha de ejecución y/o contrato.",
IF(D717="MATE",
IF(C716="DESCRIPCION","NO SE PUEDE COMENZAR SIN CÓDIGO DE TAREA",
IF(C716="","FALTA CÓDIGO DE TAREA",
CONCATENATE("          ",VLOOKUP(B717,'Maestro Materiales'!A:C,3,FALSE)))),IFERROR(VLOOKUP(B717,#REF!,5,FALSE),"No encontrado. Revisar código, fecha ejecución y/o contrato."))))))))</f>
        <v/>
      </c>
      <c r="D717" s="88" t="str">
        <f>IF(B717="","",
IFERROR(VLOOKUP(B717,'Maestro Materiales'!A:C,2,FALSE),
IFERROR(VLOOKUP(B717,'Baremos actuales'!A:B,2,FALSE),
IFERROR(VLOOKUP(B717,'Baremos anteriores'!A:B,2,FALSE),
""))))</f>
        <v/>
      </c>
      <c r="E717" s="9"/>
      <c r="F717" s="89" t="str">
        <f>IF(D717="MATE",
IF(E717="","¿Unidades?",""),
IF(D717="",IF(E717="","","¿Código?"),
IF(E717="","¿Unidades?",
IF(D717="TARE",
IF(M717=$H$3,IFERROR(VLOOKUP(B717,'Baremos actuales'!A:C,3,FALSE),0),
IF(M717=$H$4,IFERROR(VLOOKUP(B717,'Baremos anteriores'!A:C,3,FALSE),0),0))))))</f>
        <v/>
      </c>
      <c r="G717" s="7"/>
      <c r="H717" s="8"/>
      <c r="I717" s="8"/>
      <c r="J717" s="78" t="str">
        <f>IF($D717="","",
IF($E717="","",
IF($D717="MATE","",
IF(VLOOKUP($B717,'Baremos actuales'!A:D,4,FALSE)=J$9,$E717*$F717,IF(VLOOKUP($B717,'Baremos anteriores'!A:D,4,FALSE)="Sin Definir",$E717*$F717,"")))))</f>
        <v/>
      </c>
      <c r="K717" s="79" t="str">
        <f>IF($D717="","",
IF($E717="","",
IF($D717="MATE","",
IF(VLOOKUP($B717,'Baremos actuales'!$A:$D,4,FALSE)=K$9,$E717*$F717,IF(VLOOKUP($B717,'Baremos anteriores'!$A:$D,4,FALSE)="Desmonte",$E717*$F717,"")))))</f>
        <v/>
      </c>
      <c r="L717" s="80" t="str">
        <f>IF($D717="","",
IF($E717="","",
IF($D717="MATE","",
IF(VLOOKUP($B717,'Baremos actuales'!$A:$D,4,FALSE)=L$9,$E717*$F717,""))))</f>
        <v/>
      </c>
      <c r="M717" s="91" t="str">
        <f t="shared" si="11"/>
        <v/>
      </c>
      <c r="N717" s="96"/>
      <c r="O717" s="95"/>
      <c r="P717" s="96"/>
      <c r="Q717" s="98"/>
    </row>
    <row r="718" spans="1:17" ht="15.75" x14ac:dyDescent="0.2">
      <c r="A718" s="17"/>
      <c r="B718" s="18"/>
      <c r="C718" s="87" t="str">
        <f>IF(B718="","",
IF(M718=$H$5,IFERROR(VLOOKUP(B718,'Baremos actuales'!A:E,5,FALSE),"No encontrado. Revisar código, fecha ejecución y/o contrato."),
IF(M718=$H$4,IFERROR(VLOOKUP(B718,'Baremos anteriores'!A:E,5,FALSE),"No encontrado. Revisar código, fecha ejecución y/o contrato."),
IF(M718=$H$3,IFERROR(VLOOKUP(B718,#REF!,5,FALSE),"No encontrado. Revisar código, fecha ejecución y/o contrato."),
IF(D718="","Código no encontrado",
IF(D718="ERROR","No encontrado. Revisar Código, fecha de ejecución y/o contrato.",
IF(D718="MATE",
IF(C717="DESCRIPCION","NO SE PUEDE COMENZAR SIN CÓDIGO DE TAREA",
IF(C717="","FALTA CÓDIGO DE TAREA",
CONCATENATE("          ",VLOOKUP(B718,'Maestro Materiales'!A:C,3,FALSE)))),IFERROR(VLOOKUP(B718,#REF!,5,FALSE),"No encontrado. Revisar código, fecha ejecución y/o contrato."))))))))</f>
        <v/>
      </c>
      <c r="D718" s="88" t="str">
        <f>IF(B718="","",
IFERROR(VLOOKUP(B718,'Maestro Materiales'!A:C,2,FALSE),
IFERROR(VLOOKUP(B718,'Baremos actuales'!A:B,2,FALSE),
IFERROR(VLOOKUP(B718,'Baremos anteriores'!A:B,2,FALSE),
""))))</f>
        <v/>
      </c>
      <c r="E718" s="9"/>
      <c r="F718" s="89" t="str">
        <f>IF(D718="MATE",
IF(E718="","¿Unidades?",""),
IF(D718="",IF(E718="","","¿Código?"),
IF(E718="","¿Unidades?",
IF(D718="TARE",
IF(M718=$H$3,IFERROR(VLOOKUP(B718,'Baremos actuales'!A:C,3,FALSE),0),
IF(M718=$H$4,IFERROR(VLOOKUP(B718,'Baremos anteriores'!A:C,3,FALSE),0),0))))))</f>
        <v/>
      </c>
      <c r="G718" s="7"/>
      <c r="H718" s="8"/>
      <c r="I718" s="8"/>
      <c r="J718" s="78" t="str">
        <f>IF($D718="","",
IF($E718="","",
IF($D718="MATE","",
IF(VLOOKUP($B718,'Baremos actuales'!A:D,4,FALSE)=J$9,$E718*$F718,IF(VLOOKUP($B718,'Baremos anteriores'!A:D,4,FALSE)="Sin Definir",$E718*$F718,"")))))</f>
        <v/>
      </c>
      <c r="K718" s="79" t="str">
        <f>IF($D718="","",
IF($E718="","",
IF($D718="MATE","",
IF(VLOOKUP($B718,'Baremos actuales'!$A:$D,4,FALSE)=K$9,$E718*$F718,IF(VLOOKUP($B718,'Baremos anteriores'!$A:$D,4,FALSE)="Desmonte",$E718*$F718,"")))))</f>
        <v/>
      </c>
      <c r="L718" s="80" t="str">
        <f>IF($D718="","",
IF($E718="","",
IF($D718="MATE","",
IF(VLOOKUP($B718,'Baremos actuales'!$A:$D,4,FALSE)=L$9,$E718*$F718,""))))</f>
        <v/>
      </c>
      <c r="M718" s="91" t="str">
        <f t="shared" si="11"/>
        <v/>
      </c>
      <c r="N718" s="96"/>
      <c r="O718" s="95"/>
      <c r="P718" s="96"/>
      <c r="Q718" s="98"/>
    </row>
    <row r="719" spans="1:17" ht="15.75" x14ac:dyDescent="0.2">
      <c r="A719" s="17"/>
      <c r="B719" s="18"/>
      <c r="C719" s="87" t="str">
        <f>IF(B719="","",
IF(M719=$H$5,IFERROR(VLOOKUP(B719,'Baremos actuales'!A:E,5,FALSE),"No encontrado. Revisar código, fecha ejecución y/o contrato."),
IF(M719=$H$4,IFERROR(VLOOKUP(B719,'Baremos anteriores'!A:E,5,FALSE),"No encontrado. Revisar código, fecha ejecución y/o contrato."),
IF(M719=$H$3,IFERROR(VLOOKUP(B719,#REF!,5,FALSE),"No encontrado. Revisar código, fecha ejecución y/o contrato."),
IF(D719="","Código no encontrado",
IF(D719="ERROR","No encontrado. Revisar Código, fecha de ejecución y/o contrato.",
IF(D719="MATE",
IF(C718="DESCRIPCION","NO SE PUEDE COMENZAR SIN CÓDIGO DE TAREA",
IF(C718="","FALTA CÓDIGO DE TAREA",
CONCATENATE("          ",VLOOKUP(B719,'Maestro Materiales'!A:C,3,FALSE)))),IFERROR(VLOOKUP(B719,#REF!,5,FALSE),"No encontrado. Revisar código, fecha ejecución y/o contrato."))))))))</f>
        <v/>
      </c>
      <c r="D719" s="88" t="str">
        <f>IF(B719="","",
IFERROR(VLOOKUP(B719,'Maestro Materiales'!A:C,2,FALSE),
IFERROR(VLOOKUP(B719,'Baremos actuales'!A:B,2,FALSE),
IFERROR(VLOOKUP(B719,'Baremos anteriores'!A:B,2,FALSE),
""))))</f>
        <v/>
      </c>
      <c r="E719" s="9"/>
      <c r="F719" s="89" t="str">
        <f>IF(D719="MATE",
IF(E719="","¿Unidades?",""),
IF(D719="",IF(E719="","","¿Código?"),
IF(E719="","¿Unidades?",
IF(D719="TARE",
IF(M719=$H$3,IFERROR(VLOOKUP(B719,'Baremos actuales'!A:C,3,FALSE),0),
IF(M719=$H$4,IFERROR(VLOOKUP(B719,'Baremos anteriores'!A:C,3,FALSE),0),0))))))</f>
        <v/>
      </c>
      <c r="G719" s="7"/>
      <c r="H719" s="8"/>
      <c r="I719" s="8"/>
      <c r="J719" s="78" t="str">
        <f>IF($D719="","",
IF($E719="","",
IF($D719="MATE","",
IF(VLOOKUP($B719,'Baremos actuales'!A:D,4,FALSE)=J$9,$E719*$F719,IF(VLOOKUP($B719,'Baremos anteriores'!A:D,4,FALSE)="Sin Definir",$E719*$F719,"")))))</f>
        <v/>
      </c>
      <c r="K719" s="79" t="str">
        <f>IF($D719="","",
IF($E719="","",
IF($D719="MATE","",
IF(VLOOKUP($B719,'Baremos actuales'!$A:$D,4,FALSE)=K$9,$E719*$F719,IF(VLOOKUP($B719,'Baremos anteriores'!$A:$D,4,FALSE)="Desmonte",$E719*$F719,"")))))</f>
        <v/>
      </c>
      <c r="L719" s="80" t="str">
        <f>IF($D719="","",
IF($E719="","",
IF($D719="MATE","",
IF(VLOOKUP($B719,'Baremos actuales'!$A:$D,4,FALSE)=L$9,$E719*$F719,""))))</f>
        <v/>
      </c>
      <c r="M719" s="91" t="str">
        <f t="shared" si="11"/>
        <v/>
      </c>
      <c r="N719" s="96"/>
      <c r="O719" s="95"/>
      <c r="P719" s="96"/>
      <c r="Q719" s="98"/>
    </row>
    <row r="720" spans="1:17" ht="15.75" x14ac:dyDescent="0.2">
      <c r="A720" s="17"/>
      <c r="B720" s="18"/>
      <c r="C720" s="87" t="str">
        <f>IF(B720="","",
IF(M720=$H$5,IFERROR(VLOOKUP(B720,'Baremos actuales'!A:E,5,FALSE),"No encontrado. Revisar código, fecha ejecución y/o contrato."),
IF(M720=$H$4,IFERROR(VLOOKUP(B720,'Baremos anteriores'!A:E,5,FALSE),"No encontrado. Revisar código, fecha ejecución y/o contrato."),
IF(M720=$H$3,IFERROR(VLOOKUP(B720,#REF!,5,FALSE),"No encontrado. Revisar código, fecha ejecución y/o contrato."),
IF(D720="","Código no encontrado",
IF(D720="ERROR","No encontrado. Revisar Código, fecha de ejecución y/o contrato.",
IF(D720="MATE",
IF(C719="DESCRIPCION","NO SE PUEDE COMENZAR SIN CÓDIGO DE TAREA",
IF(C719="","FALTA CÓDIGO DE TAREA",
CONCATENATE("          ",VLOOKUP(B720,'Maestro Materiales'!A:C,3,FALSE)))),IFERROR(VLOOKUP(B720,#REF!,5,FALSE),"No encontrado. Revisar código, fecha ejecución y/o contrato."))))))))</f>
        <v/>
      </c>
      <c r="D720" s="88" t="str">
        <f>IF(B720="","",
IFERROR(VLOOKUP(B720,'Maestro Materiales'!A:C,2,FALSE),
IFERROR(VLOOKUP(B720,'Baremos actuales'!A:B,2,FALSE),
IFERROR(VLOOKUP(B720,'Baremos anteriores'!A:B,2,FALSE),
""))))</f>
        <v/>
      </c>
      <c r="E720" s="9"/>
      <c r="F720" s="89" t="str">
        <f>IF(D720="MATE",
IF(E720="","¿Unidades?",""),
IF(D720="",IF(E720="","","¿Código?"),
IF(E720="","¿Unidades?",
IF(D720="TARE",
IF(M720=$H$3,IFERROR(VLOOKUP(B720,'Baremos actuales'!A:C,3,FALSE),0),
IF(M720=$H$4,IFERROR(VLOOKUP(B720,'Baremos anteriores'!A:C,3,FALSE),0),0))))))</f>
        <v/>
      </c>
      <c r="G720" s="7"/>
      <c r="H720" s="8"/>
      <c r="I720" s="8"/>
      <c r="J720" s="78" t="str">
        <f>IF($D720="","",
IF($E720="","",
IF($D720="MATE","",
IF(VLOOKUP($B720,'Baremos actuales'!A:D,4,FALSE)=J$9,$E720*$F720,IF(VLOOKUP($B720,'Baremos anteriores'!A:D,4,FALSE)="Sin Definir",$E720*$F720,"")))))</f>
        <v/>
      </c>
      <c r="K720" s="79" t="str">
        <f>IF($D720="","",
IF($E720="","",
IF($D720="MATE","",
IF(VLOOKUP($B720,'Baremos actuales'!$A:$D,4,FALSE)=K$9,$E720*$F720,IF(VLOOKUP($B720,'Baremos anteriores'!$A:$D,4,FALSE)="Desmonte",$E720*$F720,"")))))</f>
        <v/>
      </c>
      <c r="L720" s="80" t="str">
        <f>IF($D720="","",
IF($E720="","",
IF($D720="MATE","",
IF(VLOOKUP($B720,'Baremos actuales'!$A:$D,4,FALSE)=L$9,$E720*$F720,""))))</f>
        <v/>
      </c>
      <c r="M720" s="91" t="str">
        <f t="shared" si="11"/>
        <v/>
      </c>
      <c r="N720" s="96"/>
      <c r="O720" s="95"/>
      <c r="P720" s="96"/>
      <c r="Q720" s="98"/>
    </row>
    <row r="721" spans="1:17" ht="15.75" x14ac:dyDescent="0.2">
      <c r="A721" s="17"/>
      <c r="B721" s="18"/>
      <c r="C721" s="87" t="str">
        <f>IF(B721="","",
IF(M721=$H$5,IFERROR(VLOOKUP(B721,'Baremos actuales'!A:E,5,FALSE),"No encontrado. Revisar código, fecha ejecución y/o contrato."),
IF(M721=$H$4,IFERROR(VLOOKUP(B721,'Baremos anteriores'!A:E,5,FALSE),"No encontrado. Revisar código, fecha ejecución y/o contrato."),
IF(M721=$H$3,IFERROR(VLOOKUP(B721,#REF!,5,FALSE),"No encontrado. Revisar código, fecha ejecución y/o contrato."),
IF(D721="","Código no encontrado",
IF(D721="ERROR","No encontrado. Revisar Código, fecha de ejecución y/o contrato.",
IF(D721="MATE",
IF(C720="DESCRIPCION","NO SE PUEDE COMENZAR SIN CÓDIGO DE TAREA",
IF(C720="","FALTA CÓDIGO DE TAREA",
CONCATENATE("          ",VLOOKUP(B721,'Maestro Materiales'!A:C,3,FALSE)))),IFERROR(VLOOKUP(B721,#REF!,5,FALSE),"No encontrado. Revisar código, fecha ejecución y/o contrato."))))))))</f>
        <v/>
      </c>
      <c r="D721" s="88" t="str">
        <f>IF(B721="","",
IFERROR(VLOOKUP(B721,'Maestro Materiales'!A:C,2,FALSE),
IFERROR(VLOOKUP(B721,'Baremos actuales'!A:B,2,FALSE),
IFERROR(VLOOKUP(B721,'Baremos anteriores'!A:B,2,FALSE),
""))))</f>
        <v/>
      </c>
      <c r="E721" s="9"/>
      <c r="F721" s="89" t="str">
        <f>IF(D721="MATE",
IF(E721="","¿Unidades?",""),
IF(D721="",IF(E721="","","¿Código?"),
IF(E721="","¿Unidades?",
IF(D721="TARE",
IF(M721=$H$3,IFERROR(VLOOKUP(B721,'Baremos actuales'!A:C,3,FALSE),0),
IF(M721=$H$4,IFERROR(VLOOKUP(B721,'Baremos anteriores'!A:C,3,FALSE),0),0))))))</f>
        <v/>
      </c>
      <c r="G721" s="7"/>
      <c r="H721" s="8"/>
      <c r="I721" s="8"/>
      <c r="J721" s="78" t="str">
        <f>IF($D721="","",
IF($E721="","",
IF($D721="MATE","",
IF(VLOOKUP($B721,'Baremos actuales'!A:D,4,FALSE)=J$9,$E721*$F721,IF(VLOOKUP($B721,'Baremos anteriores'!A:D,4,FALSE)="Sin Definir",$E721*$F721,"")))))</f>
        <v/>
      </c>
      <c r="K721" s="79" t="str">
        <f>IF($D721="","",
IF($E721="","",
IF($D721="MATE","",
IF(VLOOKUP($B721,'Baremos actuales'!$A:$D,4,FALSE)=K$9,$E721*$F721,IF(VLOOKUP($B721,'Baremos anteriores'!$A:$D,4,FALSE)="Desmonte",$E721*$F721,"")))))</f>
        <v/>
      </c>
      <c r="L721" s="80" t="str">
        <f>IF($D721="","",
IF($E721="","",
IF($D721="MATE","",
IF(VLOOKUP($B721,'Baremos actuales'!$A:$D,4,FALSE)=L$9,$E721*$F721,""))))</f>
        <v/>
      </c>
      <c r="M721" s="91" t="str">
        <f t="shared" si="11"/>
        <v/>
      </c>
      <c r="N721" s="96"/>
      <c r="O721" s="95"/>
      <c r="P721" s="96"/>
      <c r="Q721" s="98"/>
    </row>
    <row r="722" spans="1:17" ht="15.75" x14ac:dyDescent="0.2">
      <c r="A722" s="17"/>
      <c r="B722" s="18"/>
      <c r="C722" s="87" t="str">
        <f>IF(B722="","",
IF(M722=$H$5,IFERROR(VLOOKUP(B722,'Baremos actuales'!A:E,5,FALSE),"No encontrado. Revisar código, fecha ejecución y/o contrato."),
IF(M722=$H$4,IFERROR(VLOOKUP(B722,'Baremos anteriores'!A:E,5,FALSE),"No encontrado. Revisar código, fecha ejecución y/o contrato."),
IF(M722=$H$3,IFERROR(VLOOKUP(B722,#REF!,5,FALSE),"No encontrado. Revisar código, fecha ejecución y/o contrato."),
IF(D722="","Código no encontrado",
IF(D722="ERROR","No encontrado. Revisar Código, fecha de ejecución y/o contrato.",
IF(D722="MATE",
IF(C721="DESCRIPCION","NO SE PUEDE COMENZAR SIN CÓDIGO DE TAREA",
IF(C721="","FALTA CÓDIGO DE TAREA",
CONCATENATE("          ",VLOOKUP(B722,'Maestro Materiales'!A:C,3,FALSE)))),IFERROR(VLOOKUP(B722,#REF!,5,FALSE),"No encontrado. Revisar código, fecha ejecución y/o contrato."))))))))</f>
        <v/>
      </c>
      <c r="D722" s="88" t="str">
        <f>IF(B722="","",
IFERROR(VLOOKUP(B722,'Maestro Materiales'!A:C,2,FALSE),
IFERROR(VLOOKUP(B722,'Baremos actuales'!A:B,2,FALSE),
IFERROR(VLOOKUP(B722,'Baremos anteriores'!A:B,2,FALSE),
""))))</f>
        <v/>
      </c>
      <c r="E722" s="9"/>
      <c r="F722" s="89" t="str">
        <f>IF(D722="MATE",
IF(E722="","¿Unidades?",""),
IF(D722="",IF(E722="","","¿Código?"),
IF(E722="","¿Unidades?",
IF(D722="TARE",
IF(M722=$H$3,IFERROR(VLOOKUP(B722,'Baremos actuales'!A:C,3,FALSE),0),
IF(M722=$H$4,IFERROR(VLOOKUP(B722,'Baremos anteriores'!A:C,3,FALSE),0),0))))))</f>
        <v/>
      </c>
      <c r="G722" s="7"/>
      <c r="H722" s="8"/>
      <c r="I722" s="8"/>
      <c r="J722" s="78" t="str">
        <f>IF($D722="","",
IF($E722="","",
IF($D722="MATE","",
IF(VLOOKUP($B722,'Baremos actuales'!A:D,4,FALSE)=J$9,$E722*$F722,IF(VLOOKUP($B722,'Baremos anteriores'!A:D,4,FALSE)="Sin Definir",$E722*$F722,"")))))</f>
        <v/>
      </c>
      <c r="K722" s="79" t="str">
        <f>IF($D722="","",
IF($E722="","",
IF($D722="MATE","",
IF(VLOOKUP($B722,'Baremos actuales'!$A:$D,4,FALSE)=K$9,$E722*$F722,IF(VLOOKUP($B722,'Baremos anteriores'!$A:$D,4,FALSE)="Desmonte",$E722*$F722,"")))))</f>
        <v/>
      </c>
      <c r="L722" s="80" t="str">
        <f>IF($D722="","",
IF($E722="","",
IF($D722="MATE","",
IF(VLOOKUP($B722,'Baremos actuales'!$A:$D,4,FALSE)=L$9,$E722*$F722,""))))</f>
        <v/>
      </c>
      <c r="M722" s="91" t="str">
        <f t="shared" si="11"/>
        <v/>
      </c>
      <c r="N722" s="96"/>
      <c r="O722" s="95"/>
      <c r="P722" s="96"/>
      <c r="Q722" s="98"/>
    </row>
    <row r="723" spans="1:17" ht="15.75" x14ac:dyDescent="0.2">
      <c r="A723" s="17"/>
      <c r="B723" s="18"/>
      <c r="C723" s="87" t="str">
        <f>IF(B723="","",
IF(M723=$H$5,IFERROR(VLOOKUP(B723,'Baremos actuales'!A:E,5,FALSE),"No encontrado. Revisar código, fecha ejecución y/o contrato."),
IF(M723=$H$4,IFERROR(VLOOKUP(B723,'Baremos anteriores'!A:E,5,FALSE),"No encontrado. Revisar código, fecha ejecución y/o contrato."),
IF(M723=$H$3,IFERROR(VLOOKUP(B723,#REF!,5,FALSE),"No encontrado. Revisar código, fecha ejecución y/o contrato."),
IF(D723="","Código no encontrado",
IF(D723="ERROR","No encontrado. Revisar Código, fecha de ejecución y/o contrato.",
IF(D723="MATE",
IF(C722="DESCRIPCION","NO SE PUEDE COMENZAR SIN CÓDIGO DE TAREA",
IF(C722="","FALTA CÓDIGO DE TAREA",
CONCATENATE("          ",VLOOKUP(B723,'Maestro Materiales'!A:C,3,FALSE)))),IFERROR(VLOOKUP(B723,#REF!,5,FALSE),"No encontrado. Revisar código, fecha ejecución y/o contrato."))))))))</f>
        <v/>
      </c>
      <c r="D723" s="88" t="str">
        <f>IF(B723="","",
IFERROR(VLOOKUP(B723,'Maestro Materiales'!A:C,2,FALSE),
IFERROR(VLOOKUP(B723,'Baremos actuales'!A:B,2,FALSE),
IFERROR(VLOOKUP(B723,'Baremos anteriores'!A:B,2,FALSE),
""))))</f>
        <v/>
      </c>
      <c r="E723" s="9"/>
      <c r="F723" s="89" t="str">
        <f>IF(D723="MATE",
IF(E723="","¿Unidades?",""),
IF(D723="",IF(E723="","","¿Código?"),
IF(E723="","¿Unidades?",
IF(D723="TARE",
IF(M723=$H$3,IFERROR(VLOOKUP(B723,'Baremos actuales'!A:C,3,FALSE),0),
IF(M723=$H$4,IFERROR(VLOOKUP(B723,'Baremos anteriores'!A:C,3,FALSE),0),0))))))</f>
        <v/>
      </c>
      <c r="G723" s="7"/>
      <c r="H723" s="8"/>
      <c r="I723" s="8"/>
      <c r="J723" s="78" t="str">
        <f>IF($D723="","",
IF($E723="","",
IF($D723="MATE","",
IF(VLOOKUP($B723,'Baremos actuales'!A:D,4,FALSE)=J$9,$E723*$F723,IF(VLOOKUP($B723,'Baremos anteriores'!A:D,4,FALSE)="Sin Definir",$E723*$F723,"")))))</f>
        <v/>
      </c>
      <c r="K723" s="79" t="str">
        <f>IF($D723="","",
IF($E723="","",
IF($D723="MATE","",
IF(VLOOKUP($B723,'Baremos actuales'!$A:$D,4,FALSE)=K$9,$E723*$F723,IF(VLOOKUP($B723,'Baremos anteriores'!$A:$D,4,FALSE)="Desmonte",$E723*$F723,"")))))</f>
        <v/>
      </c>
      <c r="L723" s="80" t="str">
        <f>IF($D723="","",
IF($E723="","",
IF($D723="MATE","",
IF(VLOOKUP($B723,'Baremos actuales'!$A:$D,4,FALSE)=L$9,$E723*$F723,""))))</f>
        <v/>
      </c>
      <c r="M723" s="91" t="str">
        <f t="shared" si="11"/>
        <v/>
      </c>
      <c r="N723" s="96"/>
      <c r="O723" s="95"/>
      <c r="P723" s="96"/>
      <c r="Q723" s="98"/>
    </row>
    <row r="724" spans="1:17" ht="15.75" x14ac:dyDescent="0.2">
      <c r="A724" s="17"/>
      <c r="B724" s="18"/>
      <c r="C724" s="87" t="str">
        <f>IF(B724="","",
IF(M724=$H$5,IFERROR(VLOOKUP(B724,'Baremos actuales'!A:E,5,FALSE),"No encontrado. Revisar código, fecha ejecución y/o contrato."),
IF(M724=$H$4,IFERROR(VLOOKUP(B724,'Baremos anteriores'!A:E,5,FALSE),"No encontrado. Revisar código, fecha ejecución y/o contrato."),
IF(M724=$H$3,IFERROR(VLOOKUP(B724,#REF!,5,FALSE),"No encontrado. Revisar código, fecha ejecución y/o contrato."),
IF(D724="","Código no encontrado",
IF(D724="ERROR","No encontrado. Revisar Código, fecha de ejecución y/o contrato.",
IF(D724="MATE",
IF(C723="DESCRIPCION","NO SE PUEDE COMENZAR SIN CÓDIGO DE TAREA",
IF(C723="","FALTA CÓDIGO DE TAREA",
CONCATENATE("          ",VLOOKUP(B724,'Maestro Materiales'!A:C,3,FALSE)))),IFERROR(VLOOKUP(B724,#REF!,5,FALSE),"No encontrado. Revisar código, fecha ejecución y/o contrato."))))))))</f>
        <v/>
      </c>
      <c r="D724" s="88" t="str">
        <f>IF(B724="","",
IFERROR(VLOOKUP(B724,'Maestro Materiales'!A:C,2,FALSE),
IFERROR(VLOOKUP(B724,'Baremos actuales'!A:B,2,FALSE),
IFERROR(VLOOKUP(B724,'Baremos anteriores'!A:B,2,FALSE),
""))))</f>
        <v/>
      </c>
      <c r="E724" s="9"/>
      <c r="F724" s="89" t="str">
        <f>IF(D724="MATE",
IF(E724="","¿Unidades?",""),
IF(D724="",IF(E724="","","¿Código?"),
IF(E724="","¿Unidades?",
IF(D724="TARE",
IF(M724=$H$3,IFERROR(VLOOKUP(B724,'Baremos actuales'!A:C,3,FALSE),0),
IF(M724=$H$4,IFERROR(VLOOKUP(B724,'Baremos anteriores'!A:C,3,FALSE),0),0))))))</f>
        <v/>
      </c>
      <c r="G724" s="7"/>
      <c r="H724" s="8"/>
      <c r="I724" s="8"/>
      <c r="J724" s="78" t="str">
        <f>IF($D724="","",
IF($E724="","",
IF($D724="MATE","",
IF(VLOOKUP($B724,'Baremos actuales'!A:D,4,FALSE)=J$9,$E724*$F724,IF(VLOOKUP($B724,'Baremos anteriores'!A:D,4,FALSE)="Sin Definir",$E724*$F724,"")))))</f>
        <v/>
      </c>
      <c r="K724" s="79" t="str">
        <f>IF($D724="","",
IF($E724="","",
IF($D724="MATE","",
IF(VLOOKUP($B724,'Baremos actuales'!$A:$D,4,FALSE)=K$9,$E724*$F724,IF(VLOOKUP($B724,'Baremos anteriores'!$A:$D,4,FALSE)="Desmonte",$E724*$F724,"")))))</f>
        <v/>
      </c>
      <c r="L724" s="80" t="str">
        <f>IF($D724="","",
IF($E724="","",
IF($D724="MATE","",
IF(VLOOKUP($B724,'Baremos actuales'!$A:$D,4,FALSE)=L$9,$E724*$F724,""))))</f>
        <v/>
      </c>
      <c r="M724" s="91" t="str">
        <f t="shared" si="11"/>
        <v/>
      </c>
      <c r="N724" s="96"/>
      <c r="O724" s="95"/>
      <c r="P724" s="96"/>
      <c r="Q724" s="98"/>
    </row>
    <row r="725" spans="1:17" ht="15.75" x14ac:dyDescent="0.2">
      <c r="A725" s="17"/>
      <c r="B725" s="18"/>
      <c r="C725" s="87" t="str">
        <f>IF(B725="","",
IF(M725=$H$5,IFERROR(VLOOKUP(B725,'Baremos actuales'!A:E,5,FALSE),"No encontrado. Revisar código, fecha ejecución y/o contrato."),
IF(M725=$H$4,IFERROR(VLOOKUP(B725,'Baremos anteriores'!A:E,5,FALSE),"No encontrado. Revisar código, fecha ejecución y/o contrato."),
IF(M725=$H$3,IFERROR(VLOOKUP(B725,#REF!,5,FALSE),"No encontrado. Revisar código, fecha ejecución y/o contrato."),
IF(D725="","Código no encontrado",
IF(D725="ERROR","No encontrado. Revisar Código, fecha de ejecución y/o contrato.",
IF(D725="MATE",
IF(C724="DESCRIPCION","NO SE PUEDE COMENZAR SIN CÓDIGO DE TAREA",
IF(C724="","FALTA CÓDIGO DE TAREA",
CONCATENATE("          ",VLOOKUP(B725,'Maestro Materiales'!A:C,3,FALSE)))),IFERROR(VLOOKUP(B725,#REF!,5,FALSE),"No encontrado. Revisar código, fecha ejecución y/o contrato."))))))))</f>
        <v/>
      </c>
      <c r="D725" s="88" t="str">
        <f>IF(B725="","",
IFERROR(VLOOKUP(B725,'Maestro Materiales'!A:C,2,FALSE),
IFERROR(VLOOKUP(B725,'Baremos actuales'!A:B,2,FALSE),
IFERROR(VLOOKUP(B725,'Baremos anteriores'!A:B,2,FALSE),
""))))</f>
        <v/>
      </c>
      <c r="E725" s="9"/>
      <c r="F725" s="89" t="str">
        <f>IF(D725="MATE",
IF(E725="","¿Unidades?",""),
IF(D725="",IF(E725="","","¿Código?"),
IF(E725="","¿Unidades?",
IF(D725="TARE",
IF(M725=$H$3,IFERROR(VLOOKUP(B725,'Baremos actuales'!A:C,3,FALSE),0),
IF(M725=$H$4,IFERROR(VLOOKUP(B725,'Baremos anteriores'!A:C,3,FALSE),0),0))))))</f>
        <v/>
      </c>
      <c r="G725" s="7"/>
      <c r="H725" s="8"/>
      <c r="I725" s="8"/>
      <c r="J725" s="78" t="str">
        <f>IF($D725="","",
IF($E725="","",
IF($D725="MATE","",
IF(VLOOKUP($B725,'Baremos actuales'!A:D,4,FALSE)=J$9,$E725*$F725,IF(VLOOKUP($B725,'Baremos anteriores'!A:D,4,FALSE)="Sin Definir",$E725*$F725,"")))))</f>
        <v/>
      </c>
      <c r="K725" s="79" t="str">
        <f>IF($D725="","",
IF($E725="","",
IF($D725="MATE","",
IF(VLOOKUP($B725,'Baremos actuales'!$A:$D,4,FALSE)=K$9,$E725*$F725,IF(VLOOKUP($B725,'Baremos anteriores'!$A:$D,4,FALSE)="Desmonte",$E725*$F725,"")))))</f>
        <v/>
      </c>
      <c r="L725" s="80" t="str">
        <f>IF($D725="","",
IF($E725="","",
IF($D725="MATE","",
IF(VLOOKUP($B725,'Baremos actuales'!$A:$D,4,FALSE)=L$9,$E725*$F725,""))))</f>
        <v/>
      </c>
      <c r="M725" s="91" t="str">
        <f t="shared" si="11"/>
        <v/>
      </c>
      <c r="N725" s="96"/>
      <c r="O725" s="95"/>
      <c r="P725" s="96"/>
      <c r="Q725" s="98"/>
    </row>
    <row r="726" spans="1:17" ht="15.75" x14ac:dyDescent="0.2">
      <c r="A726" s="17"/>
      <c r="B726" s="18"/>
      <c r="C726" s="87" t="str">
        <f>IF(B726="","",
IF(M726=$H$5,IFERROR(VLOOKUP(B726,'Baremos actuales'!A:E,5,FALSE),"No encontrado. Revisar código, fecha ejecución y/o contrato."),
IF(M726=$H$4,IFERROR(VLOOKUP(B726,'Baremos anteriores'!A:E,5,FALSE),"No encontrado. Revisar código, fecha ejecución y/o contrato."),
IF(M726=$H$3,IFERROR(VLOOKUP(B726,#REF!,5,FALSE),"No encontrado. Revisar código, fecha ejecución y/o contrato."),
IF(D726="","Código no encontrado",
IF(D726="ERROR","No encontrado. Revisar Código, fecha de ejecución y/o contrato.",
IF(D726="MATE",
IF(C725="DESCRIPCION","NO SE PUEDE COMENZAR SIN CÓDIGO DE TAREA",
IF(C725="","FALTA CÓDIGO DE TAREA",
CONCATENATE("          ",VLOOKUP(B726,'Maestro Materiales'!A:C,3,FALSE)))),IFERROR(VLOOKUP(B726,#REF!,5,FALSE),"No encontrado. Revisar código, fecha ejecución y/o contrato."))))))))</f>
        <v/>
      </c>
      <c r="D726" s="88" t="str">
        <f>IF(B726="","",
IFERROR(VLOOKUP(B726,'Maestro Materiales'!A:C,2,FALSE),
IFERROR(VLOOKUP(B726,'Baremos actuales'!A:B,2,FALSE),
IFERROR(VLOOKUP(B726,'Baremos anteriores'!A:B,2,FALSE),
""))))</f>
        <v/>
      </c>
      <c r="E726" s="9"/>
      <c r="F726" s="89" t="str">
        <f>IF(D726="MATE",
IF(E726="","¿Unidades?",""),
IF(D726="",IF(E726="","","¿Código?"),
IF(E726="","¿Unidades?",
IF(D726="TARE",
IF(M726=$H$3,IFERROR(VLOOKUP(B726,'Baremos actuales'!A:C,3,FALSE),0),
IF(M726=$H$4,IFERROR(VLOOKUP(B726,'Baremos anteriores'!A:C,3,FALSE),0),0))))))</f>
        <v/>
      </c>
      <c r="G726" s="7"/>
      <c r="H726" s="8"/>
      <c r="I726" s="8"/>
      <c r="J726" s="78" t="str">
        <f>IF($D726="","",
IF($E726="","",
IF($D726="MATE","",
IF(VLOOKUP($B726,'Baremos actuales'!A:D,4,FALSE)=J$9,$E726*$F726,IF(VLOOKUP($B726,'Baremos anteriores'!A:D,4,FALSE)="Sin Definir",$E726*$F726,"")))))</f>
        <v/>
      </c>
      <c r="K726" s="79" t="str">
        <f>IF($D726="","",
IF($E726="","",
IF($D726="MATE","",
IF(VLOOKUP($B726,'Baremos actuales'!$A:$D,4,FALSE)=K$9,$E726*$F726,IF(VLOOKUP($B726,'Baremos anteriores'!$A:$D,4,FALSE)="Desmonte",$E726*$F726,"")))))</f>
        <v/>
      </c>
      <c r="L726" s="80" t="str">
        <f>IF($D726="","",
IF($E726="","",
IF($D726="MATE","",
IF(VLOOKUP($B726,'Baremos actuales'!$A:$D,4,FALSE)=L$9,$E726*$F726,""))))</f>
        <v/>
      </c>
      <c r="M726" s="91" t="str">
        <f t="shared" si="11"/>
        <v/>
      </c>
      <c r="N726" s="96"/>
      <c r="O726" s="95"/>
      <c r="P726" s="96"/>
      <c r="Q726" s="98"/>
    </row>
    <row r="727" spans="1:17" ht="15.75" x14ac:dyDescent="0.2">
      <c r="A727" s="17"/>
      <c r="B727" s="18"/>
      <c r="C727" s="87" t="str">
        <f>IF(B727="","",
IF(M727=$H$5,IFERROR(VLOOKUP(B727,'Baremos actuales'!A:E,5,FALSE),"No encontrado. Revisar código, fecha ejecución y/o contrato."),
IF(M727=$H$4,IFERROR(VLOOKUP(B727,'Baremos anteriores'!A:E,5,FALSE),"No encontrado. Revisar código, fecha ejecución y/o contrato."),
IF(M727=$H$3,IFERROR(VLOOKUP(B727,#REF!,5,FALSE),"No encontrado. Revisar código, fecha ejecución y/o contrato."),
IF(D727="","Código no encontrado",
IF(D727="ERROR","No encontrado. Revisar Código, fecha de ejecución y/o contrato.",
IF(D727="MATE",
IF(C726="DESCRIPCION","NO SE PUEDE COMENZAR SIN CÓDIGO DE TAREA",
IF(C726="","FALTA CÓDIGO DE TAREA",
CONCATENATE("          ",VLOOKUP(B727,'Maestro Materiales'!A:C,3,FALSE)))),IFERROR(VLOOKUP(B727,#REF!,5,FALSE),"No encontrado. Revisar código, fecha ejecución y/o contrato."))))))))</f>
        <v/>
      </c>
      <c r="D727" s="88" t="str">
        <f>IF(B727="","",
IFERROR(VLOOKUP(B727,'Maestro Materiales'!A:C,2,FALSE),
IFERROR(VLOOKUP(B727,'Baremos actuales'!A:B,2,FALSE),
IFERROR(VLOOKUP(B727,'Baremos anteriores'!A:B,2,FALSE),
""))))</f>
        <v/>
      </c>
      <c r="E727" s="9"/>
      <c r="F727" s="89" t="str">
        <f>IF(D727="MATE",
IF(E727="","¿Unidades?",""),
IF(D727="",IF(E727="","","¿Código?"),
IF(E727="","¿Unidades?",
IF(D727="TARE",
IF(M727=$H$3,IFERROR(VLOOKUP(B727,'Baremos actuales'!A:C,3,FALSE),0),
IF(M727=$H$4,IFERROR(VLOOKUP(B727,'Baremos anteriores'!A:C,3,FALSE),0),0))))))</f>
        <v/>
      </c>
      <c r="G727" s="7"/>
      <c r="H727" s="8"/>
      <c r="I727" s="8"/>
      <c r="J727" s="78" t="str">
        <f>IF($D727="","",
IF($E727="","",
IF($D727="MATE","",
IF(VLOOKUP($B727,'Baremos actuales'!A:D,4,FALSE)=J$9,$E727*$F727,IF(VLOOKUP($B727,'Baremos anteriores'!A:D,4,FALSE)="Sin Definir",$E727*$F727,"")))))</f>
        <v/>
      </c>
      <c r="K727" s="79" t="str">
        <f>IF($D727="","",
IF($E727="","",
IF($D727="MATE","",
IF(VLOOKUP($B727,'Baremos actuales'!$A:$D,4,FALSE)=K$9,$E727*$F727,IF(VLOOKUP($B727,'Baremos anteriores'!$A:$D,4,FALSE)="Desmonte",$E727*$F727,"")))))</f>
        <v/>
      </c>
      <c r="L727" s="80" t="str">
        <f>IF($D727="","",
IF($E727="","",
IF($D727="MATE","",
IF(VLOOKUP($B727,'Baremos actuales'!$A:$D,4,FALSE)=L$9,$E727*$F727,""))))</f>
        <v/>
      </c>
      <c r="M727" s="91" t="str">
        <f t="shared" si="11"/>
        <v/>
      </c>
      <c r="N727" s="96"/>
      <c r="O727" s="95"/>
      <c r="P727" s="96"/>
      <c r="Q727" s="98"/>
    </row>
    <row r="728" spans="1:17" ht="15.75" x14ac:dyDescent="0.2">
      <c r="A728" s="17"/>
      <c r="B728" s="18"/>
      <c r="C728" s="87" t="str">
        <f>IF(B728="","",
IF(M728=$H$5,IFERROR(VLOOKUP(B728,'Baremos actuales'!A:E,5,FALSE),"No encontrado. Revisar código, fecha ejecución y/o contrato."),
IF(M728=$H$4,IFERROR(VLOOKUP(B728,'Baremos anteriores'!A:E,5,FALSE),"No encontrado. Revisar código, fecha ejecución y/o contrato."),
IF(M728=$H$3,IFERROR(VLOOKUP(B728,#REF!,5,FALSE),"No encontrado. Revisar código, fecha ejecución y/o contrato."),
IF(D728="","Código no encontrado",
IF(D728="ERROR","No encontrado. Revisar Código, fecha de ejecución y/o contrato.",
IF(D728="MATE",
IF(C727="DESCRIPCION","NO SE PUEDE COMENZAR SIN CÓDIGO DE TAREA",
IF(C727="","FALTA CÓDIGO DE TAREA",
CONCATENATE("          ",VLOOKUP(B728,'Maestro Materiales'!A:C,3,FALSE)))),IFERROR(VLOOKUP(B728,#REF!,5,FALSE),"No encontrado. Revisar código, fecha ejecución y/o contrato."))))))))</f>
        <v/>
      </c>
      <c r="D728" s="88" t="str">
        <f>IF(B728="","",
IFERROR(VLOOKUP(B728,'Maestro Materiales'!A:C,2,FALSE),
IFERROR(VLOOKUP(B728,'Baremos actuales'!A:B,2,FALSE),
IFERROR(VLOOKUP(B728,'Baremos anteriores'!A:B,2,FALSE),
""))))</f>
        <v/>
      </c>
      <c r="E728" s="9"/>
      <c r="F728" s="89" t="str">
        <f>IF(D728="MATE",
IF(E728="","¿Unidades?",""),
IF(D728="",IF(E728="","","¿Código?"),
IF(E728="","¿Unidades?",
IF(D728="TARE",
IF(M728=$H$3,IFERROR(VLOOKUP(B728,'Baremos actuales'!A:C,3,FALSE),0),
IF(M728=$H$4,IFERROR(VLOOKUP(B728,'Baremos anteriores'!A:C,3,FALSE),0),0))))))</f>
        <v/>
      </c>
      <c r="G728" s="7"/>
      <c r="H728" s="8"/>
      <c r="I728" s="8"/>
      <c r="J728" s="78" t="str">
        <f>IF($D728="","",
IF($E728="","",
IF($D728="MATE","",
IF(VLOOKUP($B728,'Baremos actuales'!A:D,4,FALSE)=J$9,$E728*$F728,IF(VLOOKUP($B728,'Baremos anteriores'!A:D,4,FALSE)="Sin Definir",$E728*$F728,"")))))</f>
        <v/>
      </c>
      <c r="K728" s="79" t="str">
        <f>IF($D728="","",
IF($E728="","",
IF($D728="MATE","",
IF(VLOOKUP($B728,'Baremos actuales'!$A:$D,4,FALSE)=K$9,$E728*$F728,IF(VLOOKUP($B728,'Baremos anteriores'!$A:$D,4,FALSE)="Desmonte",$E728*$F728,"")))))</f>
        <v/>
      </c>
      <c r="L728" s="80" t="str">
        <f>IF($D728="","",
IF($E728="","",
IF($D728="MATE","",
IF(VLOOKUP($B728,'Baremos actuales'!$A:$D,4,FALSE)=L$9,$E728*$F728,""))))</f>
        <v/>
      </c>
      <c r="M728" s="91" t="str">
        <f t="shared" si="11"/>
        <v/>
      </c>
      <c r="N728" s="96"/>
      <c r="O728" s="95"/>
      <c r="P728" s="96"/>
      <c r="Q728" s="98"/>
    </row>
    <row r="729" spans="1:17" ht="15.75" x14ac:dyDescent="0.2">
      <c r="A729" s="17"/>
      <c r="B729" s="18"/>
      <c r="C729" s="87" t="str">
        <f>IF(B729="","",
IF(M729=$H$5,IFERROR(VLOOKUP(B729,'Baremos actuales'!A:E,5,FALSE),"No encontrado. Revisar código, fecha ejecución y/o contrato."),
IF(M729=$H$4,IFERROR(VLOOKUP(B729,'Baremos anteriores'!A:E,5,FALSE),"No encontrado. Revisar código, fecha ejecución y/o contrato."),
IF(M729=$H$3,IFERROR(VLOOKUP(B729,#REF!,5,FALSE),"No encontrado. Revisar código, fecha ejecución y/o contrato."),
IF(D729="","Código no encontrado",
IF(D729="ERROR","No encontrado. Revisar Código, fecha de ejecución y/o contrato.",
IF(D729="MATE",
IF(C728="DESCRIPCION","NO SE PUEDE COMENZAR SIN CÓDIGO DE TAREA",
IF(C728="","FALTA CÓDIGO DE TAREA",
CONCATENATE("          ",VLOOKUP(B729,'Maestro Materiales'!A:C,3,FALSE)))),IFERROR(VLOOKUP(B729,#REF!,5,FALSE),"No encontrado. Revisar código, fecha ejecución y/o contrato."))))))))</f>
        <v/>
      </c>
      <c r="D729" s="88" t="str">
        <f>IF(B729="","",
IFERROR(VLOOKUP(B729,'Maestro Materiales'!A:C,2,FALSE),
IFERROR(VLOOKUP(B729,'Baremos actuales'!A:B,2,FALSE),
IFERROR(VLOOKUP(B729,'Baremos anteriores'!A:B,2,FALSE),
""))))</f>
        <v/>
      </c>
      <c r="E729" s="9"/>
      <c r="F729" s="89" t="str">
        <f>IF(D729="MATE",
IF(E729="","¿Unidades?",""),
IF(D729="",IF(E729="","","¿Código?"),
IF(E729="","¿Unidades?",
IF(D729="TARE",
IF(M729=$H$3,IFERROR(VLOOKUP(B729,'Baremos actuales'!A:C,3,FALSE),0),
IF(M729=$H$4,IFERROR(VLOOKUP(B729,'Baremos anteriores'!A:C,3,FALSE),0),0))))))</f>
        <v/>
      </c>
      <c r="G729" s="7"/>
      <c r="H729" s="8"/>
      <c r="I729" s="8"/>
      <c r="J729" s="78" t="str">
        <f>IF($D729="","",
IF($E729="","",
IF($D729="MATE","",
IF(VLOOKUP($B729,'Baremos actuales'!A:D,4,FALSE)=J$9,$E729*$F729,IF(VLOOKUP($B729,'Baremos anteriores'!A:D,4,FALSE)="Sin Definir",$E729*$F729,"")))))</f>
        <v/>
      </c>
      <c r="K729" s="79" t="str">
        <f>IF($D729="","",
IF($E729="","",
IF($D729="MATE","",
IF(VLOOKUP($B729,'Baremos actuales'!$A:$D,4,FALSE)=K$9,$E729*$F729,IF(VLOOKUP($B729,'Baremos anteriores'!$A:$D,4,FALSE)="Desmonte",$E729*$F729,"")))))</f>
        <v/>
      </c>
      <c r="L729" s="80" t="str">
        <f>IF($D729="","",
IF($E729="","",
IF($D729="MATE","",
IF(VLOOKUP($B729,'Baremos actuales'!$A:$D,4,FALSE)=L$9,$E729*$F729,""))))</f>
        <v/>
      </c>
      <c r="M729" s="91" t="str">
        <f t="shared" si="11"/>
        <v/>
      </c>
      <c r="N729" s="96"/>
      <c r="O729" s="95"/>
      <c r="P729" s="96"/>
      <c r="Q729" s="98"/>
    </row>
    <row r="730" spans="1:17" ht="15.75" x14ac:dyDescent="0.2">
      <c r="A730" s="17"/>
      <c r="B730" s="18"/>
      <c r="C730" s="87" t="str">
        <f>IF(B730="","",
IF(M730=$H$5,IFERROR(VLOOKUP(B730,'Baremos actuales'!A:E,5,FALSE),"No encontrado. Revisar código, fecha ejecución y/o contrato."),
IF(M730=$H$4,IFERROR(VLOOKUP(B730,'Baremos anteriores'!A:E,5,FALSE),"No encontrado. Revisar código, fecha ejecución y/o contrato."),
IF(M730=$H$3,IFERROR(VLOOKUP(B730,#REF!,5,FALSE),"No encontrado. Revisar código, fecha ejecución y/o contrato."),
IF(D730="","Código no encontrado",
IF(D730="ERROR","No encontrado. Revisar Código, fecha de ejecución y/o contrato.",
IF(D730="MATE",
IF(C729="DESCRIPCION","NO SE PUEDE COMENZAR SIN CÓDIGO DE TAREA",
IF(C729="","FALTA CÓDIGO DE TAREA",
CONCATENATE("          ",VLOOKUP(B730,'Maestro Materiales'!A:C,3,FALSE)))),IFERROR(VLOOKUP(B730,#REF!,5,FALSE),"No encontrado. Revisar código, fecha ejecución y/o contrato."))))))))</f>
        <v/>
      </c>
      <c r="D730" s="88" t="str">
        <f>IF(B730="","",
IFERROR(VLOOKUP(B730,'Maestro Materiales'!A:C,2,FALSE),
IFERROR(VLOOKUP(B730,'Baremos actuales'!A:B,2,FALSE),
IFERROR(VLOOKUP(B730,'Baremos anteriores'!A:B,2,FALSE),
""))))</f>
        <v/>
      </c>
      <c r="E730" s="9"/>
      <c r="F730" s="89" t="str">
        <f>IF(D730="MATE",
IF(E730="","¿Unidades?",""),
IF(D730="",IF(E730="","","¿Código?"),
IF(E730="","¿Unidades?",
IF(D730="TARE",
IF(M730=$H$3,IFERROR(VLOOKUP(B730,'Baremos actuales'!A:C,3,FALSE),0),
IF(M730=$H$4,IFERROR(VLOOKUP(B730,'Baremos anteriores'!A:C,3,FALSE),0),0))))))</f>
        <v/>
      </c>
      <c r="G730" s="7"/>
      <c r="H730" s="8"/>
      <c r="I730" s="8"/>
      <c r="J730" s="78" t="str">
        <f>IF($D730="","",
IF($E730="","",
IF($D730="MATE","",
IF(VLOOKUP($B730,'Baremos actuales'!A:D,4,FALSE)=J$9,$E730*$F730,IF(VLOOKUP($B730,'Baremos anteriores'!A:D,4,FALSE)="Sin Definir",$E730*$F730,"")))))</f>
        <v/>
      </c>
      <c r="K730" s="79" t="str">
        <f>IF($D730="","",
IF($E730="","",
IF($D730="MATE","",
IF(VLOOKUP($B730,'Baremos actuales'!$A:$D,4,FALSE)=K$9,$E730*$F730,IF(VLOOKUP($B730,'Baremos anteriores'!$A:$D,4,FALSE)="Desmonte",$E730*$F730,"")))))</f>
        <v/>
      </c>
      <c r="L730" s="80" t="str">
        <f>IF($D730="","",
IF($E730="","",
IF($D730="MATE","",
IF(VLOOKUP($B730,'Baremos actuales'!$A:$D,4,FALSE)=L$9,$E730*$F730,""))))</f>
        <v/>
      </c>
      <c r="M730" s="91" t="str">
        <f t="shared" si="11"/>
        <v/>
      </c>
      <c r="N730" s="96"/>
      <c r="O730" s="95"/>
      <c r="P730" s="96"/>
      <c r="Q730" s="98"/>
    </row>
    <row r="731" spans="1:17" ht="15.75" x14ac:dyDescent="0.2">
      <c r="A731" s="17"/>
      <c r="B731" s="18"/>
      <c r="C731" s="87" t="str">
        <f>IF(B731="","",
IF(M731=$H$5,IFERROR(VLOOKUP(B731,'Baremos actuales'!A:E,5,FALSE),"No encontrado. Revisar código, fecha ejecución y/o contrato."),
IF(M731=$H$4,IFERROR(VLOOKUP(B731,'Baremos anteriores'!A:E,5,FALSE),"No encontrado. Revisar código, fecha ejecución y/o contrato."),
IF(M731=$H$3,IFERROR(VLOOKUP(B731,#REF!,5,FALSE),"No encontrado. Revisar código, fecha ejecución y/o contrato."),
IF(D731="","Código no encontrado",
IF(D731="ERROR","No encontrado. Revisar Código, fecha de ejecución y/o contrato.",
IF(D731="MATE",
IF(C730="DESCRIPCION","NO SE PUEDE COMENZAR SIN CÓDIGO DE TAREA",
IF(C730="","FALTA CÓDIGO DE TAREA",
CONCATENATE("          ",VLOOKUP(B731,'Maestro Materiales'!A:C,3,FALSE)))),IFERROR(VLOOKUP(B731,#REF!,5,FALSE),"No encontrado. Revisar código, fecha ejecución y/o contrato."))))))))</f>
        <v/>
      </c>
      <c r="D731" s="88" t="str">
        <f>IF(B731="","",
IFERROR(VLOOKUP(B731,'Maestro Materiales'!A:C,2,FALSE),
IFERROR(VLOOKUP(B731,'Baremos actuales'!A:B,2,FALSE),
IFERROR(VLOOKUP(B731,'Baremos anteriores'!A:B,2,FALSE),
""))))</f>
        <v/>
      </c>
      <c r="E731" s="9"/>
      <c r="F731" s="89" t="str">
        <f>IF(D731="MATE",
IF(E731="","¿Unidades?",""),
IF(D731="",IF(E731="","","¿Código?"),
IF(E731="","¿Unidades?",
IF(D731="TARE",
IF(M731=$H$3,IFERROR(VLOOKUP(B731,'Baremos actuales'!A:C,3,FALSE),0),
IF(M731=$H$4,IFERROR(VLOOKUP(B731,'Baremos anteriores'!A:C,3,FALSE),0),0))))))</f>
        <v/>
      </c>
      <c r="G731" s="7"/>
      <c r="H731" s="8"/>
      <c r="I731" s="8"/>
      <c r="J731" s="78" t="str">
        <f>IF($D731="","",
IF($E731="","",
IF($D731="MATE","",
IF(VLOOKUP($B731,'Baremos actuales'!A:D,4,FALSE)=J$9,$E731*$F731,IF(VLOOKUP($B731,'Baremos anteriores'!A:D,4,FALSE)="Sin Definir",$E731*$F731,"")))))</f>
        <v/>
      </c>
      <c r="K731" s="79" t="str">
        <f>IF($D731="","",
IF($E731="","",
IF($D731="MATE","",
IF(VLOOKUP($B731,'Baremos actuales'!$A:$D,4,FALSE)=K$9,$E731*$F731,IF(VLOOKUP($B731,'Baremos anteriores'!$A:$D,4,FALSE)="Desmonte",$E731*$F731,"")))))</f>
        <v/>
      </c>
      <c r="L731" s="80" t="str">
        <f>IF($D731="","",
IF($E731="","",
IF($D731="MATE","",
IF(VLOOKUP($B731,'Baremos actuales'!$A:$D,4,FALSE)=L$9,$E731*$F731,""))))</f>
        <v/>
      </c>
      <c r="M731" s="91" t="str">
        <f t="shared" si="11"/>
        <v/>
      </c>
      <c r="N731" s="96"/>
      <c r="O731" s="95"/>
      <c r="P731" s="96"/>
      <c r="Q731" s="98"/>
    </row>
    <row r="732" spans="1:17" ht="15.75" x14ac:dyDescent="0.2">
      <c r="A732" s="17"/>
      <c r="B732" s="18"/>
      <c r="C732" s="87" t="str">
        <f>IF(B732="","",
IF(M732=$H$5,IFERROR(VLOOKUP(B732,'Baremos actuales'!A:E,5,FALSE),"No encontrado. Revisar código, fecha ejecución y/o contrato."),
IF(M732=$H$4,IFERROR(VLOOKUP(B732,'Baremos anteriores'!A:E,5,FALSE),"No encontrado. Revisar código, fecha ejecución y/o contrato."),
IF(M732=$H$3,IFERROR(VLOOKUP(B732,#REF!,5,FALSE),"No encontrado. Revisar código, fecha ejecución y/o contrato."),
IF(D732="","Código no encontrado",
IF(D732="ERROR","No encontrado. Revisar Código, fecha de ejecución y/o contrato.",
IF(D732="MATE",
IF(C731="DESCRIPCION","NO SE PUEDE COMENZAR SIN CÓDIGO DE TAREA",
IF(C731="","FALTA CÓDIGO DE TAREA",
CONCATENATE("          ",VLOOKUP(B732,'Maestro Materiales'!A:C,3,FALSE)))),IFERROR(VLOOKUP(B732,#REF!,5,FALSE),"No encontrado. Revisar código, fecha ejecución y/o contrato."))))))))</f>
        <v/>
      </c>
      <c r="D732" s="88" t="str">
        <f>IF(B732="","",
IFERROR(VLOOKUP(B732,'Maestro Materiales'!A:C,2,FALSE),
IFERROR(VLOOKUP(B732,'Baremos actuales'!A:B,2,FALSE),
IFERROR(VLOOKUP(B732,'Baremos anteriores'!A:B,2,FALSE),
""))))</f>
        <v/>
      </c>
      <c r="E732" s="9"/>
      <c r="F732" s="89" t="str">
        <f>IF(D732="MATE",
IF(E732="","¿Unidades?",""),
IF(D732="",IF(E732="","","¿Código?"),
IF(E732="","¿Unidades?",
IF(D732="TARE",
IF(M732=$H$3,IFERROR(VLOOKUP(B732,'Baremos actuales'!A:C,3,FALSE),0),
IF(M732=$H$4,IFERROR(VLOOKUP(B732,'Baremos anteriores'!A:C,3,FALSE),0),0))))))</f>
        <v/>
      </c>
      <c r="G732" s="7"/>
      <c r="H732" s="8"/>
      <c r="I732" s="8"/>
      <c r="J732" s="78" t="str">
        <f>IF($D732="","",
IF($E732="","",
IF($D732="MATE","",
IF(VLOOKUP($B732,'Baremos actuales'!A:D,4,FALSE)=J$9,$E732*$F732,IF(VLOOKUP($B732,'Baremos anteriores'!A:D,4,FALSE)="Sin Definir",$E732*$F732,"")))))</f>
        <v/>
      </c>
      <c r="K732" s="79" t="str">
        <f>IF($D732="","",
IF($E732="","",
IF($D732="MATE","",
IF(VLOOKUP($B732,'Baremos actuales'!$A:$D,4,FALSE)=K$9,$E732*$F732,IF(VLOOKUP($B732,'Baremos anteriores'!$A:$D,4,FALSE)="Desmonte",$E732*$F732,"")))))</f>
        <v/>
      </c>
      <c r="L732" s="80" t="str">
        <f>IF($D732="","",
IF($E732="","",
IF($D732="MATE","",
IF(VLOOKUP($B732,'Baremos actuales'!$A:$D,4,FALSE)=L$9,$E732*$F732,""))))</f>
        <v/>
      </c>
      <c r="M732" s="91" t="str">
        <f t="shared" si="11"/>
        <v/>
      </c>
      <c r="N732" s="96"/>
      <c r="O732" s="95"/>
      <c r="P732" s="96"/>
      <c r="Q732" s="98"/>
    </row>
    <row r="733" spans="1:17" ht="15.75" x14ac:dyDescent="0.2">
      <c r="A733" s="17"/>
      <c r="B733" s="18"/>
      <c r="C733" s="87" t="str">
        <f>IF(B733="","",
IF(M733=$H$5,IFERROR(VLOOKUP(B733,'Baremos actuales'!A:E,5,FALSE),"No encontrado. Revisar código, fecha ejecución y/o contrato."),
IF(M733=$H$4,IFERROR(VLOOKUP(B733,'Baremos anteriores'!A:E,5,FALSE),"No encontrado. Revisar código, fecha ejecución y/o contrato."),
IF(M733=$H$3,IFERROR(VLOOKUP(B733,#REF!,5,FALSE),"No encontrado. Revisar código, fecha ejecución y/o contrato."),
IF(D733="","Código no encontrado",
IF(D733="ERROR","No encontrado. Revisar Código, fecha de ejecución y/o contrato.",
IF(D733="MATE",
IF(C732="DESCRIPCION","NO SE PUEDE COMENZAR SIN CÓDIGO DE TAREA",
IF(C732="","FALTA CÓDIGO DE TAREA",
CONCATENATE("          ",VLOOKUP(B733,'Maestro Materiales'!A:C,3,FALSE)))),IFERROR(VLOOKUP(B733,#REF!,5,FALSE),"No encontrado. Revisar código, fecha ejecución y/o contrato."))))))))</f>
        <v/>
      </c>
      <c r="D733" s="88" t="str">
        <f>IF(B733="","",
IFERROR(VLOOKUP(B733,'Maestro Materiales'!A:C,2,FALSE),
IFERROR(VLOOKUP(B733,'Baremos actuales'!A:B,2,FALSE),
IFERROR(VLOOKUP(B733,'Baremos anteriores'!A:B,2,FALSE),
""))))</f>
        <v/>
      </c>
      <c r="E733" s="9"/>
      <c r="F733" s="89" t="str">
        <f>IF(D733="MATE",
IF(E733="","¿Unidades?",""),
IF(D733="",IF(E733="","","¿Código?"),
IF(E733="","¿Unidades?",
IF(D733="TARE",
IF(M733=$H$3,IFERROR(VLOOKUP(B733,'Baremos actuales'!A:C,3,FALSE),0),
IF(M733=$H$4,IFERROR(VLOOKUP(B733,'Baremos anteriores'!A:C,3,FALSE),0),0))))))</f>
        <v/>
      </c>
      <c r="G733" s="7"/>
      <c r="H733" s="8"/>
      <c r="I733" s="8"/>
      <c r="J733" s="78" t="str">
        <f>IF($D733="","",
IF($E733="","",
IF($D733="MATE","",
IF(VLOOKUP($B733,'Baremos actuales'!A:D,4,FALSE)=J$9,$E733*$F733,IF(VLOOKUP($B733,'Baremos anteriores'!A:D,4,FALSE)="Sin Definir",$E733*$F733,"")))))</f>
        <v/>
      </c>
      <c r="K733" s="79" t="str">
        <f>IF($D733="","",
IF($E733="","",
IF($D733="MATE","",
IF(VLOOKUP($B733,'Baremos actuales'!$A:$D,4,FALSE)=K$9,$E733*$F733,IF(VLOOKUP($B733,'Baremos anteriores'!$A:$D,4,FALSE)="Desmonte",$E733*$F733,"")))))</f>
        <v/>
      </c>
      <c r="L733" s="80" t="str">
        <f>IF($D733="","",
IF($E733="","",
IF($D733="MATE","",
IF(VLOOKUP($B733,'Baremos actuales'!$A:$D,4,FALSE)=L$9,$E733*$F733,""))))</f>
        <v/>
      </c>
      <c r="M733" s="91" t="str">
        <f t="shared" si="11"/>
        <v/>
      </c>
      <c r="N733" s="96"/>
      <c r="O733" s="95"/>
      <c r="P733" s="96"/>
      <c r="Q733" s="98"/>
    </row>
    <row r="734" spans="1:17" ht="15.75" x14ac:dyDescent="0.2">
      <c r="A734" s="17"/>
      <c r="B734" s="18"/>
      <c r="C734" s="87" t="str">
        <f>IF(B734="","",
IF(M734=$H$5,IFERROR(VLOOKUP(B734,'Baremos actuales'!A:E,5,FALSE),"No encontrado. Revisar código, fecha ejecución y/o contrato."),
IF(M734=$H$4,IFERROR(VLOOKUP(B734,'Baremos anteriores'!A:E,5,FALSE),"No encontrado. Revisar código, fecha ejecución y/o contrato."),
IF(M734=$H$3,IFERROR(VLOOKUP(B734,#REF!,5,FALSE),"No encontrado. Revisar código, fecha ejecución y/o contrato."),
IF(D734="","Código no encontrado",
IF(D734="ERROR","No encontrado. Revisar Código, fecha de ejecución y/o contrato.",
IF(D734="MATE",
IF(C733="DESCRIPCION","NO SE PUEDE COMENZAR SIN CÓDIGO DE TAREA",
IF(C733="","FALTA CÓDIGO DE TAREA",
CONCATENATE("          ",VLOOKUP(B734,'Maestro Materiales'!A:C,3,FALSE)))),IFERROR(VLOOKUP(B734,#REF!,5,FALSE),"No encontrado. Revisar código, fecha ejecución y/o contrato."))))))))</f>
        <v/>
      </c>
      <c r="D734" s="88" t="str">
        <f>IF(B734="","",
IFERROR(VLOOKUP(B734,'Maestro Materiales'!A:C,2,FALSE),
IFERROR(VLOOKUP(B734,'Baremos actuales'!A:B,2,FALSE),
IFERROR(VLOOKUP(B734,'Baremos anteriores'!A:B,2,FALSE),
""))))</f>
        <v/>
      </c>
      <c r="E734" s="9"/>
      <c r="F734" s="89" t="str">
        <f>IF(D734="MATE",
IF(E734="","¿Unidades?",""),
IF(D734="",IF(E734="","","¿Código?"),
IF(E734="","¿Unidades?",
IF(D734="TARE",
IF(M734=$H$3,IFERROR(VLOOKUP(B734,'Baremos actuales'!A:C,3,FALSE),0),
IF(M734=$H$4,IFERROR(VLOOKUP(B734,'Baremos anteriores'!A:C,3,FALSE),0),0))))))</f>
        <v/>
      </c>
      <c r="G734" s="7"/>
      <c r="H734" s="8"/>
      <c r="I734" s="8"/>
      <c r="J734" s="78" t="str">
        <f>IF($D734="","",
IF($E734="","",
IF($D734="MATE","",
IF(VLOOKUP($B734,'Baremos actuales'!A:D,4,FALSE)=J$9,$E734*$F734,IF(VLOOKUP($B734,'Baremos anteriores'!A:D,4,FALSE)="Sin Definir",$E734*$F734,"")))))</f>
        <v/>
      </c>
      <c r="K734" s="79" t="str">
        <f>IF($D734="","",
IF($E734="","",
IF($D734="MATE","",
IF(VLOOKUP($B734,'Baremos actuales'!$A:$D,4,FALSE)=K$9,$E734*$F734,IF(VLOOKUP($B734,'Baremos anteriores'!$A:$D,4,FALSE)="Desmonte",$E734*$F734,"")))))</f>
        <v/>
      </c>
      <c r="L734" s="80" t="str">
        <f>IF($D734="","",
IF($E734="","",
IF($D734="MATE","",
IF(VLOOKUP($B734,'Baremos actuales'!$A:$D,4,FALSE)=L$9,$E734*$F734,""))))</f>
        <v/>
      </c>
      <c r="M734" s="91" t="str">
        <f t="shared" si="11"/>
        <v/>
      </c>
      <c r="N734" s="96"/>
      <c r="O734" s="95"/>
      <c r="P734" s="96"/>
      <c r="Q734" s="98"/>
    </row>
    <row r="735" spans="1:17" ht="15.75" x14ac:dyDescent="0.2">
      <c r="A735" s="17"/>
      <c r="B735" s="18"/>
      <c r="C735" s="87" t="str">
        <f>IF(B735="","",
IF(M735=$H$5,IFERROR(VLOOKUP(B735,'Baremos actuales'!A:E,5,FALSE),"No encontrado. Revisar código, fecha ejecución y/o contrato."),
IF(M735=$H$4,IFERROR(VLOOKUP(B735,'Baremos anteriores'!A:E,5,FALSE),"No encontrado. Revisar código, fecha ejecución y/o contrato."),
IF(M735=$H$3,IFERROR(VLOOKUP(B735,#REF!,5,FALSE),"No encontrado. Revisar código, fecha ejecución y/o contrato."),
IF(D735="","Código no encontrado",
IF(D735="ERROR","No encontrado. Revisar Código, fecha de ejecución y/o contrato.",
IF(D735="MATE",
IF(C734="DESCRIPCION","NO SE PUEDE COMENZAR SIN CÓDIGO DE TAREA",
IF(C734="","FALTA CÓDIGO DE TAREA",
CONCATENATE("          ",VLOOKUP(B735,'Maestro Materiales'!A:C,3,FALSE)))),IFERROR(VLOOKUP(B735,#REF!,5,FALSE),"No encontrado. Revisar código, fecha ejecución y/o contrato."))))))))</f>
        <v/>
      </c>
      <c r="D735" s="88" t="str">
        <f>IF(B735="","",
IFERROR(VLOOKUP(B735,'Maestro Materiales'!A:C,2,FALSE),
IFERROR(VLOOKUP(B735,'Baremos actuales'!A:B,2,FALSE),
IFERROR(VLOOKUP(B735,'Baremos anteriores'!A:B,2,FALSE),
""))))</f>
        <v/>
      </c>
      <c r="E735" s="9"/>
      <c r="F735" s="89" t="str">
        <f>IF(D735="MATE",
IF(E735="","¿Unidades?",""),
IF(D735="",IF(E735="","","¿Código?"),
IF(E735="","¿Unidades?",
IF(D735="TARE",
IF(M735=$H$3,IFERROR(VLOOKUP(B735,'Baremos actuales'!A:C,3,FALSE),0),
IF(M735=$H$4,IFERROR(VLOOKUP(B735,'Baremos anteriores'!A:C,3,FALSE),0),0))))))</f>
        <v/>
      </c>
      <c r="G735" s="7"/>
      <c r="H735" s="8"/>
      <c r="I735" s="8"/>
      <c r="J735" s="78" t="str">
        <f>IF($D735="","",
IF($E735="","",
IF($D735="MATE","",
IF(VLOOKUP($B735,'Baremos actuales'!A:D,4,FALSE)=J$9,$E735*$F735,IF(VLOOKUP($B735,'Baremos anteriores'!A:D,4,FALSE)="Sin Definir",$E735*$F735,"")))))</f>
        <v/>
      </c>
      <c r="K735" s="79" t="str">
        <f>IF($D735="","",
IF($E735="","",
IF($D735="MATE","",
IF(VLOOKUP($B735,'Baremos actuales'!$A:$D,4,FALSE)=K$9,$E735*$F735,IF(VLOOKUP($B735,'Baremos anteriores'!$A:$D,4,FALSE)="Desmonte",$E735*$F735,"")))))</f>
        <v/>
      </c>
      <c r="L735" s="80" t="str">
        <f>IF($D735="","",
IF($E735="","",
IF($D735="MATE","",
IF(VLOOKUP($B735,'Baremos actuales'!$A:$D,4,FALSE)=L$9,$E735*$F735,""))))</f>
        <v/>
      </c>
      <c r="M735" s="91" t="str">
        <f t="shared" si="11"/>
        <v/>
      </c>
      <c r="N735" s="96"/>
      <c r="O735" s="95"/>
      <c r="P735" s="96"/>
      <c r="Q735" s="98"/>
    </row>
    <row r="736" spans="1:17" ht="15.75" x14ac:dyDescent="0.2">
      <c r="A736" s="17"/>
      <c r="B736" s="18"/>
      <c r="C736" s="87" t="str">
        <f>IF(B736="","",
IF(M736=$H$5,IFERROR(VLOOKUP(B736,'Baremos actuales'!A:E,5,FALSE),"No encontrado. Revisar código, fecha ejecución y/o contrato."),
IF(M736=$H$4,IFERROR(VLOOKUP(B736,'Baremos anteriores'!A:E,5,FALSE),"No encontrado. Revisar código, fecha ejecución y/o contrato."),
IF(M736=$H$3,IFERROR(VLOOKUP(B736,#REF!,5,FALSE),"No encontrado. Revisar código, fecha ejecución y/o contrato."),
IF(D736="","Código no encontrado",
IF(D736="ERROR","No encontrado. Revisar Código, fecha de ejecución y/o contrato.",
IF(D736="MATE",
IF(C735="DESCRIPCION","NO SE PUEDE COMENZAR SIN CÓDIGO DE TAREA",
IF(C735="","FALTA CÓDIGO DE TAREA",
CONCATENATE("          ",VLOOKUP(B736,'Maestro Materiales'!A:C,3,FALSE)))),IFERROR(VLOOKUP(B736,#REF!,5,FALSE),"No encontrado. Revisar código, fecha ejecución y/o contrato."))))))))</f>
        <v/>
      </c>
      <c r="D736" s="88" t="str">
        <f>IF(B736="","",
IFERROR(VLOOKUP(B736,'Maestro Materiales'!A:C,2,FALSE),
IFERROR(VLOOKUP(B736,'Baremos actuales'!A:B,2,FALSE),
IFERROR(VLOOKUP(B736,'Baremos anteriores'!A:B,2,FALSE),
""))))</f>
        <v/>
      </c>
      <c r="E736" s="9"/>
      <c r="F736" s="89" t="str">
        <f>IF(D736="MATE",
IF(E736="","¿Unidades?",""),
IF(D736="",IF(E736="","","¿Código?"),
IF(E736="","¿Unidades?",
IF(D736="TARE",
IF(M736=$H$3,IFERROR(VLOOKUP(B736,'Baremos actuales'!A:C,3,FALSE),0),
IF(M736=$H$4,IFERROR(VLOOKUP(B736,'Baremos anteriores'!A:C,3,FALSE),0),0))))))</f>
        <v/>
      </c>
      <c r="G736" s="7"/>
      <c r="H736" s="8"/>
      <c r="I736" s="8"/>
      <c r="J736" s="78" t="str">
        <f>IF($D736="","",
IF($E736="","",
IF($D736="MATE","",
IF(VLOOKUP($B736,'Baremos actuales'!A:D,4,FALSE)=J$9,$E736*$F736,IF(VLOOKUP($B736,'Baremos anteriores'!A:D,4,FALSE)="Sin Definir",$E736*$F736,"")))))</f>
        <v/>
      </c>
      <c r="K736" s="79" t="str">
        <f>IF($D736="","",
IF($E736="","",
IF($D736="MATE","",
IF(VLOOKUP($B736,'Baremos actuales'!$A:$D,4,FALSE)=K$9,$E736*$F736,IF(VLOOKUP($B736,'Baremos anteriores'!$A:$D,4,FALSE)="Desmonte",$E736*$F736,"")))))</f>
        <v/>
      </c>
      <c r="L736" s="80" t="str">
        <f>IF($D736="","",
IF($E736="","",
IF($D736="MATE","",
IF(VLOOKUP($B736,'Baremos actuales'!$A:$D,4,FALSE)=L$9,$E736*$F736,""))))</f>
        <v/>
      </c>
      <c r="M736" s="91" t="str">
        <f t="shared" si="11"/>
        <v/>
      </c>
      <c r="N736" s="96"/>
      <c r="O736" s="95"/>
      <c r="P736" s="96"/>
      <c r="Q736" s="98"/>
    </row>
    <row r="737" spans="1:17" ht="15.75" x14ac:dyDescent="0.2">
      <c r="A737" s="17"/>
      <c r="B737" s="18"/>
      <c r="C737" s="87" t="str">
        <f>IF(B737="","",
IF(M737=$H$5,IFERROR(VLOOKUP(B737,'Baremos actuales'!A:E,5,FALSE),"No encontrado. Revisar código, fecha ejecución y/o contrato."),
IF(M737=$H$4,IFERROR(VLOOKUP(B737,'Baremos anteriores'!A:E,5,FALSE),"No encontrado. Revisar código, fecha ejecución y/o contrato."),
IF(M737=$H$3,IFERROR(VLOOKUP(B737,#REF!,5,FALSE),"No encontrado. Revisar código, fecha ejecución y/o contrato."),
IF(D737="","Código no encontrado",
IF(D737="ERROR","No encontrado. Revisar Código, fecha de ejecución y/o contrato.",
IF(D737="MATE",
IF(C736="DESCRIPCION","NO SE PUEDE COMENZAR SIN CÓDIGO DE TAREA",
IF(C736="","FALTA CÓDIGO DE TAREA",
CONCATENATE("          ",VLOOKUP(B737,'Maestro Materiales'!A:C,3,FALSE)))),IFERROR(VLOOKUP(B737,#REF!,5,FALSE),"No encontrado. Revisar código, fecha ejecución y/o contrato."))))))))</f>
        <v/>
      </c>
      <c r="D737" s="88" t="str">
        <f>IF(B737="","",
IFERROR(VLOOKUP(B737,'Maestro Materiales'!A:C,2,FALSE),
IFERROR(VLOOKUP(B737,'Baremos actuales'!A:B,2,FALSE),
IFERROR(VLOOKUP(B737,'Baremos anteriores'!A:B,2,FALSE),
""))))</f>
        <v/>
      </c>
      <c r="E737" s="9"/>
      <c r="F737" s="89" t="str">
        <f>IF(D737="MATE",
IF(E737="","¿Unidades?",""),
IF(D737="",IF(E737="","","¿Código?"),
IF(E737="","¿Unidades?",
IF(D737="TARE",
IF(M737=$H$3,IFERROR(VLOOKUP(B737,'Baremos actuales'!A:C,3,FALSE),0),
IF(M737=$H$4,IFERROR(VLOOKUP(B737,'Baremos anteriores'!A:C,3,FALSE),0),0))))))</f>
        <v/>
      </c>
      <c r="G737" s="7"/>
      <c r="H737" s="8"/>
      <c r="I737" s="8"/>
      <c r="J737" s="78" t="str">
        <f>IF($D737="","",
IF($E737="","",
IF($D737="MATE","",
IF(VLOOKUP($B737,'Baremos actuales'!A:D,4,FALSE)=J$9,$E737*$F737,IF(VLOOKUP($B737,'Baremos anteriores'!A:D,4,FALSE)="Sin Definir",$E737*$F737,"")))))</f>
        <v/>
      </c>
      <c r="K737" s="79" t="str">
        <f>IF($D737="","",
IF($E737="","",
IF($D737="MATE","",
IF(VLOOKUP($B737,'Baremos actuales'!$A:$D,4,FALSE)=K$9,$E737*$F737,IF(VLOOKUP($B737,'Baremos anteriores'!$A:$D,4,FALSE)="Desmonte",$E737*$F737,"")))))</f>
        <v/>
      </c>
      <c r="L737" s="80" t="str">
        <f>IF($D737="","",
IF($E737="","",
IF($D737="MATE","",
IF(VLOOKUP($B737,'Baremos actuales'!$A:$D,4,FALSE)=L$9,$E737*$F737,""))))</f>
        <v/>
      </c>
      <c r="M737" s="91" t="str">
        <f t="shared" si="11"/>
        <v/>
      </c>
      <c r="N737" s="96"/>
      <c r="O737" s="95"/>
      <c r="P737" s="96"/>
      <c r="Q737" s="98"/>
    </row>
    <row r="738" spans="1:17" ht="15.75" x14ac:dyDescent="0.2">
      <c r="A738" s="17"/>
      <c r="B738" s="18"/>
      <c r="C738" s="87" t="str">
        <f>IF(B738="","",
IF(M738=$H$5,IFERROR(VLOOKUP(B738,'Baremos actuales'!A:E,5,FALSE),"No encontrado. Revisar código, fecha ejecución y/o contrato."),
IF(M738=$H$4,IFERROR(VLOOKUP(B738,'Baremos anteriores'!A:E,5,FALSE),"No encontrado. Revisar código, fecha ejecución y/o contrato."),
IF(M738=$H$3,IFERROR(VLOOKUP(B738,#REF!,5,FALSE),"No encontrado. Revisar código, fecha ejecución y/o contrato."),
IF(D738="","Código no encontrado",
IF(D738="ERROR","No encontrado. Revisar Código, fecha de ejecución y/o contrato.",
IF(D738="MATE",
IF(C737="DESCRIPCION","NO SE PUEDE COMENZAR SIN CÓDIGO DE TAREA",
IF(C737="","FALTA CÓDIGO DE TAREA",
CONCATENATE("          ",VLOOKUP(B738,'Maestro Materiales'!A:C,3,FALSE)))),IFERROR(VLOOKUP(B738,#REF!,5,FALSE),"No encontrado. Revisar código, fecha ejecución y/o contrato."))))))))</f>
        <v/>
      </c>
      <c r="D738" s="88" t="str">
        <f>IF(B738="","",
IFERROR(VLOOKUP(B738,'Maestro Materiales'!A:C,2,FALSE),
IFERROR(VLOOKUP(B738,'Baremos actuales'!A:B,2,FALSE),
IFERROR(VLOOKUP(B738,'Baremos anteriores'!A:B,2,FALSE),
""))))</f>
        <v/>
      </c>
      <c r="E738" s="9"/>
      <c r="F738" s="89" t="str">
        <f>IF(D738="MATE",
IF(E738="","¿Unidades?",""),
IF(D738="",IF(E738="","","¿Código?"),
IF(E738="","¿Unidades?",
IF(D738="TARE",
IF(M738=$H$3,IFERROR(VLOOKUP(B738,'Baremos actuales'!A:C,3,FALSE),0),
IF(M738=$H$4,IFERROR(VLOOKUP(B738,'Baremos anteriores'!A:C,3,FALSE),0),0))))))</f>
        <v/>
      </c>
      <c r="G738" s="7"/>
      <c r="H738" s="8"/>
      <c r="I738" s="8"/>
      <c r="J738" s="78" t="str">
        <f>IF($D738="","",
IF($E738="","",
IF($D738="MATE","",
IF(VLOOKUP($B738,'Baremos actuales'!A:D,4,FALSE)=J$9,$E738*$F738,IF(VLOOKUP($B738,'Baremos anteriores'!A:D,4,FALSE)="Sin Definir",$E738*$F738,"")))))</f>
        <v/>
      </c>
      <c r="K738" s="79" t="str">
        <f>IF($D738="","",
IF($E738="","",
IF($D738="MATE","",
IF(VLOOKUP($B738,'Baremos actuales'!$A:$D,4,FALSE)=K$9,$E738*$F738,IF(VLOOKUP($B738,'Baremos anteriores'!$A:$D,4,FALSE)="Desmonte",$E738*$F738,"")))))</f>
        <v/>
      </c>
      <c r="L738" s="80" t="str">
        <f>IF($D738="","",
IF($E738="","",
IF($D738="MATE","",
IF(VLOOKUP($B738,'Baremos actuales'!$A:$D,4,FALSE)=L$9,$E738*$F738,""))))</f>
        <v/>
      </c>
      <c r="M738" s="91" t="str">
        <f t="shared" si="11"/>
        <v/>
      </c>
      <c r="N738" s="96"/>
      <c r="O738" s="95"/>
      <c r="P738" s="96"/>
      <c r="Q738" s="98"/>
    </row>
    <row r="739" spans="1:17" ht="15.75" x14ac:dyDescent="0.2">
      <c r="A739" s="17"/>
      <c r="B739" s="18"/>
      <c r="C739" s="87" t="str">
        <f>IF(B739="","",
IF(M739=$H$5,IFERROR(VLOOKUP(B739,'Baremos actuales'!A:E,5,FALSE),"No encontrado. Revisar código, fecha ejecución y/o contrato."),
IF(M739=$H$4,IFERROR(VLOOKUP(B739,'Baremos anteriores'!A:E,5,FALSE),"No encontrado. Revisar código, fecha ejecución y/o contrato."),
IF(M739=$H$3,IFERROR(VLOOKUP(B739,#REF!,5,FALSE),"No encontrado. Revisar código, fecha ejecución y/o contrato."),
IF(D739="","Código no encontrado",
IF(D739="ERROR","No encontrado. Revisar Código, fecha de ejecución y/o contrato.",
IF(D739="MATE",
IF(C738="DESCRIPCION","NO SE PUEDE COMENZAR SIN CÓDIGO DE TAREA",
IF(C738="","FALTA CÓDIGO DE TAREA",
CONCATENATE("          ",VLOOKUP(B739,'Maestro Materiales'!A:C,3,FALSE)))),IFERROR(VLOOKUP(B739,#REF!,5,FALSE),"No encontrado. Revisar código, fecha ejecución y/o contrato."))))))))</f>
        <v/>
      </c>
      <c r="D739" s="88" t="str">
        <f>IF(B739="","",
IFERROR(VLOOKUP(B739,'Maestro Materiales'!A:C,2,FALSE),
IFERROR(VLOOKUP(B739,'Baremos actuales'!A:B,2,FALSE),
IFERROR(VLOOKUP(B739,'Baremos anteriores'!A:B,2,FALSE),
""))))</f>
        <v/>
      </c>
      <c r="E739" s="9"/>
      <c r="F739" s="89" t="str">
        <f>IF(D739="MATE",
IF(E739="","¿Unidades?",""),
IF(D739="",IF(E739="","","¿Código?"),
IF(E739="","¿Unidades?",
IF(D739="TARE",
IF(M739=$H$3,IFERROR(VLOOKUP(B739,'Baremos actuales'!A:C,3,FALSE),0),
IF(M739=$H$4,IFERROR(VLOOKUP(B739,'Baremos anteriores'!A:C,3,FALSE),0),0))))))</f>
        <v/>
      </c>
      <c r="G739" s="7"/>
      <c r="H739" s="8"/>
      <c r="I739" s="8"/>
      <c r="J739" s="78" t="str">
        <f>IF($D739="","",
IF($E739="","",
IF($D739="MATE","",
IF(VLOOKUP($B739,'Baremos actuales'!A:D,4,FALSE)=J$9,$E739*$F739,IF(VLOOKUP($B739,'Baremos anteriores'!A:D,4,FALSE)="Sin Definir",$E739*$F739,"")))))</f>
        <v/>
      </c>
      <c r="K739" s="79" t="str">
        <f>IF($D739="","",
IF($E739="","",
IF($D739="MATE","",
IF(VLOOKUP($B739,'Baremos actuales'!$A:$D,4,FALSE)=K$9,$E739*$F739,IF(VLOOKUP($B739,'Baremos anteriores'!$A:$D,4,FALSE)="Desmonte",$E739*$F739,"")))))</f>
        <v/>
      </c>
      <c r="L739" s="80" t="str">
        <f>IF($D739="","",
IF($E739="","",
IF($D739="MATE","",
IF(VLOOKUP($B739,'Baremos actuales'!$A:$D,4,FALSE)=L$9,$E739*$F739,""))))</f>
        <v/>
      </c>
      <c r="M739" s="91" t="str">
        <f t="shared" si="11"/>
        <v/>
      </c>
      <c r="N739" s="96"/>
      <c r="O739" s="95"/>
      <c r="P739" s="96"/>
      <c r="Q739" s="98"/>
    </row>
    <row r="740" spans="1:17" ht="15.75" x14ac:dyDescent="0.2">
      <c r="A740" s="17"/>
      <c r="B740" s="18"/>
      <c r="C740" s="87" t="str">
        <f>IF(B740="","",
IF(M740=$H$5,IFERROR(VLOOKUP(B740,'Baremos actuales'!A:E,5,FALSE),"No encontrado. Revisar código, fecha ejecución y/o contrato."),
IF(M740=$H$4,IFERROR(VLOOKUP(B740,'Baremos anteriores'!A:E,5,FALSE),"No encontrado. Revisar código, fecha ejecución y/o contrato."),
IF(M740=$H$3,IFERROR(VLOOKUP(B740,#REF!,5,FALSE),"No encontrado. Revisar código, fecha ejecución y/o contrato."),
IF(D740="","Código no encontrado",
IF(D740="ERROR","No encontrado. Revisar Código, fecha de ejecución y/o contrato.",
IF(D740="MATE",
IF(C739="DESCRIPCION","NO SE PUEDE COMENZAR SIN CÓDIGO DE TAREA",
IF(C739="","FALTA CÓDIGO DE TAREA",
CONCATENATE("          ",VLOOKUP(B740,'Maestro Materiales'!A:C,3,FALSE)))),IFERROR(VLOOKUP(B740,#REF!,5,FALSE),"No encontrado. Revisar código, fecha ejecución y/o contrato."))))))))</f>
        <v/>
      </c>
      <c r="D740" s="88" t="str">
        <f>IF(B740="","",
IFERROR(VLOOKUP(B740,'Maestro Materiales'!A:C,2,FALSE),
IFERROR(VLOOKUP(B740,'Baremos actuales'!A:B,2,FALSE),
IFERROR(VLOOKUP(B740,'Baremos anteriores'!A:B,2,FALSE),
""))))</f>
        <v/>
      </c>
      <c r="E740" s="9"/>
      <c r="F740" s="89" t="str">
        <f>IF(D740="MATE",
IF(E740="","¿Unidades?",""),
IF(D740="",IF(E740="","","¿Código?"),
IF(E740="","¿Unidades?",
IF(D740="TARE",
IF(M740=$H$3,IFERROR(VLOOKUP(B740,'Baremos actuales'!A:C,3,FALSE),0),
IF(M740=$H$4,IFERROR(VLOOKUP(B740,'Baremos anteriores'!A:C,3,FALSE),0),0))))))</f>
        <v/>
      </c>
      <c r="G740" s="7"/>
      <c r="H740" s="8"/>
      <c r="I740" s="8"/>
      <c r="J740" s="78" t="str">
        <f>IF($D740="","",
IF($E740="","",
IF($D740="MATE","",
IF(VLOOKUP($B740,'Baremos actuales'!A:D,4,FALSE)=J$9,$E740*$F740,IF(VLOOKUP($B740,'Baremos anteriores'!A:D,4,FALSE)="Sin Definir",$E740*$F740,"")))))</f>
        <v/>
      </c>
      <c r="K740" s="79" t="str">
        <f>IF($D740="","",
IF($E740="","",
IF($D740="MATE","",
IF(VLOOKUP($B740,'Baremos actuales'!$A:$D,4,FALSE)=K$9,$E740*$F740,IF(VLOOKUP($B740,'Baremos anteriores'!$A:$D,4,FALSE)="Desmonte",$E740*$F740,"")))))</f>
        <v/>
      </c>
      <c r="L740" s="80" t="str">
        <f>IF($D740="","",
IF($E740="","",
IF($D740="MATE","",
IF(VLOOKUP($B740,'Baremos actuales'!$A:$D,4,FALSE)=L$9,$E740*$F740,""))))</f>
        <v/>
      </c>
      <c r="M740" s="91" t="str">
        <f t="shared" si="11"/>
        <v/>
      </c>
      <c r="N740" s="96"/>
      <c r="O740" s="95"/>
      <c r="P740" s="96"/>
      <c r="Q740" s="98"/>
    </row>
    <row r="741" spans="1:17" ht="15.75" x14ac:dyDescent="0.2">
      <c r="A741" s="17"/>
      <c r="B741" s="18"/>
      <c r="C741" s="87" t="str">
        <f>IF(B741="","",
IF(M741=$H$5,IFERROR(VLOOKUP(B741,'Baremos actuales'!A:E,5,FALSE),"No encontrado. Revisar código, fecha ejecución y/o contrato."),
IF(M741=$H$4,IFERROR(VLOOKUP(B741,'Baremos anteriores'!A:E,5,FALSE),"No encontrado. Revisar código, fecha ejecución y/o contrato."),
IF(M741=$H$3,IFERROR(VLOOKUP(B741,#REF!,5,FALSE),"No encontrado. Revisar código, fecha ejecución y/o contrato."),
IF(D741="","Código no encontrado",
IF(D741="ERROR","No encontrado. Revisar Código, fecha de ejecución y/o contrato.",
IF(D741="MATE",
IF(C740="DESCRIPCION","NO SE PUEDE COMENZAR SIN CÓDIGO DE TAREA",
IF(C740="","FALTA CÓDIGO DE TAREA",
CONCATENATE("          ",VLOOKUP(B741,'Maestro Materiales'!A:C,3,FALSE)))),IFERROR(VLOOKUP(B741,#REF!,5,FALSE),"No encontrado. Revisar código, fecha ejecución y/o contrato."))))))))</f>
        <v/>
      </c>
      <c r="D741" s="88" t="str">
        <f>IF(B741="","",
IFERROR(VLOOKUP(B741,'Maestro Materiales'!A:C,2,FALSE),
IFERROR(VLOOKUP(B741,'Baremos actuales'!A:B,2,FALSE),
IFERROR(VLOOKUP(B741,'Baremos anteriores'!A:B,2,FALSE),
""))))</f>
        <v/>
      </c>
      <c r="E741" s="9"/>
      <c r="F741" s="89" t="str">
        <f>IF(D741="MATE",
IF(E741="","¿Unidades?",""),
IF(D741="",IF(E741="","","¿Código?"),
IF(E741="","¿Unidades?",
IF(D741="TARE",
IF(M741=$H$3,IFERROR(VLOOKUP(B741,'Baremos actuales'!A:C,3,FALSE),0),
IF(M741=$H$4,IFERROR(VLOOKUP(B741,'Baremos anteriores'!A:C,3,FALSE),0),0))))))</f>
        <v/>
      </c>
      <c r="G741" s="7"/>
      <c r="H741" s="8"/>
      <c r="I741" s="8"/>
      <c r="J741" s="78" t="str">
        <f>IF($D741="","",
IF($E741="","",
IF($D741="MATE","",
IF(VLOOKUP($B741,'Baremos actuales'!A:D,4,FALSE)=J$9,$E741*$F741,IF(VLOOKUP($B741,'Baremos anteriores'!A:D,4,FALSE)="Sin Definir",$E741*$F741,"")))))</f>
        <v/>
      </c>
      <c r="K741" s="79" t="str">
        <f>IF($D741="","",
IF($E741="","",
IF($D741="MATE","",
IF(VLOOKUP($B741,'Baremos actuales'!$A:$D,4,FALSE)=K$9,$E741*$F741,IF(VLOOKUP($B741,'Baremos anteriores'!$A:$D,4,FALSE)="Desmonte",$E741*$F741,"")))))</f>
        <v/>
      </c>
      <c r="L741" s="80" t="str">
        <f>IF($D741="","",
IF($E741="","",
IF($D741="MATE","",
IF(VLOOKUP($B741,'Baremos actuales'!$A:$D,4,FALSE)=L$9,$E741*$F741,""))))</f>
        <v/>
      </c>
      <c r="M741" s="91" t="str">
        <f t="shared" si="11"/>
        <v/>
      </c>
      <c r="N741" s="96"/>
      <c r="O741" s="95"/>
      <c r="P741" s="96"/>
      <c r="Q741" s="98"/>
    </row>
    <row r="742" spans="1:17" ht="15.75" x14ac:dyDescent="0.2">
      <c r="A742" s="17"/>
      <c r="B742" s="18"/>
      <c r="C742" s="87" t="str">
        <f>IF(B742="","",
IF(M742=$H$5,IFERROR(VLOOKUP(B742,'Baremos actuales'!A:E,5,FALSE),"No encontrado. Revisar código, fecha ejecución y/o contrato."),
IF(M742=$H$4,IFERROR(VLOOKUP(B742,'Baremos anteriores'!A:E,5,FALSE),"No encontrado. Revisar código, fecha ejecución y/o contrato."),
IF(M742=$H$3,IFERROR(VLOOKUP(B742,#REF!,5,FALSE),"No encontrado. Revisar código, fecha ejecución y/o contrato."),
IF(D742="","Código no encontrado",
IF(D742="ERROR","No encontrado. Revisar Código, fecha de ejecución y/o contrato.",
IF(D742="MATE",
IF(C741="DESCRIPCION","NO SE PUEDE COMENZAR SIN CÓDIGO DE TAREA",
IF(C741="","FALTA CÓDIGO DE TAREA",
CONCATENATE("          ",VLOOKUP(B742,'Maestro Materiales'!A:C,3,FALSE)))),IFERROR(VLOOKUP(B742,#REF!,5,FALSE),"No encontrado. Revisar código, fecha ejecución y/o contrato."))))))))</f>
        <v/>
      </c>
      <c r="D742" s="88" t="str">
        <f>IF(B742="","",
IFERROR(VLOOKUP(B742,'Maestro Materiales'!A:C,2,FALSE),
IFERROR(VLOOKUP(B742,'Baremos actuales'!A:B,2,FALSE),
IFERROR(VLOOKUP(B742,'Baremos anteriores'!A:B,2,FALSE),
""))))</f>
        <v/>
      </c>
      <c r="E742" s="9"/>
      <c r="F742" s="89" t="str">
        <f>IF(D742="MATE",
IF(E742="","¿Unidades?",""),
IF(D742="",IF(E742="","","¿Código?"),
IF(E742="","¿Unidades?",
IF(D742="TARE",
IF(M742=$H$3,IFERROR(VLOOKUP(B742,'Baremos actuales'!A:C,3,FALSE),0),
IF(M742=$H$4,IFERROR(VLOOKUP(B742,'Baremos anteriores'!A:C,3,FALSE),0),0))))))</f>
        <v/>
      </c>
      <c r="G742" s="7"/>
      <c r="H742" s="8"/>
      <c r="I742" s="8"/>
      <c r="J742" s="78" t="str">
        <f>IF($D742="","",
IF($E742="","",
IF($D742="MATE","",
IF(VLOOKUP($B742,'Baremos actuales'!A:D,4,FALSE)=J$9,$E742*$F742,IF(VLOOKUP($B742,'Baremos anteriores'!A:D,4,FALSE)="Sin Definir",$E742*$F742,"")))))</f>
        <v/>
      </c>
      <c r="K742" s="79" t="str">
        <f>IF($D742="","",
IF($E742="","",
IF($D742="MATE","",
IF(VLOOKUP($B742,'Baremos actuales'!$A:$D,4,FALSE)=K$9,$E742*$F742,IF(VLOOKUP($B742,'Baremos anteriores'!$A:$D,4,FALSE)="Desmonte",$E742*$F742,"")))))</f>
        <v/>
      </c>
      <c r="L742" s="80" t="str">
        <f>IF($D742="","",
IF($E742="","",
IF($D742="MATE","",
IF(VLOOKUP($B742,'Baremos actuales'!$A:$D,4,FALSE)=L$9,$E742*$F742,""))))</f>
        <v/>
      </c>
      <c r="M742" s="91" t="str">
        <f t="shared" si="11"/>
        <v/>
      </c>
      <c r="N742" s="96"/>
      <c r="O742" s="95"/>
      <c r="P742" s="96"/>
      <c r="Q742" s="98"/>
    </row>
    <row r="743" spans="1:17" ht="15.75" x14ac:dyDescent="0.2">
      <c r="A743" s="17"/>
      <c r="B743" s="18"/>
      <c r="C743" s="87" t="str">
        <f>IF(B743="","",
IF(M743=$H$5,IFERROR(VLOOKUP(B743,'Baremos actuales'!A:E,5,FALSE),"No encontrado. Revisar código, fecha ejecución y/o contrato."),
IF(M743=$H$4,IFERROR(VLOOKUP(B743,'Baremos anteriores'!A:E,5,FALSE),"No encontrado. Revisar código, fecha ejecución y/o contrato."),
IF(M743=$H$3,IFERROR(VLOOKUP(B743,#REF!,5,FALSE),"No encontrado. Revisar código, fecha ejecución y/o contrato."),
IF(D743="","Código no encontrado",
IF(D743="ERROR","No encontrado. Revisar Código, fecha de ejecución y/o contrato.",
IF(D743="MATE",
IF(C742="DESCRIPCION","NO SE PUEDE COMENZAR SIN CÓDIGO DE TAREA",
IF(C742="","FALTA CÓDIGO DE TAREA",
CONCATENATE("          ",VLOOKUP(B743,'Maestro Materiales'!A:C,3,FALSE)))),IFERROR(VLOOKUP(B743,#REF!,5,FALSE),"No encontrado. Revisar código, fecha ejecución y/o contrato."))))))))</f>
        <v/>
      </c>
      <c r="D743" s="88" t="str">
        <f>IF(B743="","",
IFERROR(VLOOKUP(B743,'Maestro Materiales'!A:C,2,FALSE),
IFERROR(VLOOKUP(B743,'Baremos actuales'!A:B,2,FALSE),
IFERROR(VLOOKUP(B743,'Baremos anteriores'!A:B,2,FALSE),
""))))</f>
        <v/>
      </c>
      <c r="E743" s="9"/>
      <c r="F743" s="89" t="str">
        <f>IF(D743="MATE",
IF(E743="","¿Unidades?",""),
IF(D743="",IF(E743="","","¿Código?"),
IF(E743="","¿Unidades?",
IF(D743="TARE",
IF(M743=$H$3,IFERROR(VLOOKUP(B743,'Baremos actuales'!A:C,3,FALSE),0),
IF(M743=$H$4,IFERROR(VLOOKUP(B743,'Baremos anteriores'!A:C,3,FALSE),0),0))))))</f>
        <v/>
      </c>
      <c r="G743" s="7"/>
      <c r="H743" s="8"/>
      <c r="I743" s="8"/>
      <c r="J743" s="78" t="str">
        <f>IF($D743="","",
IF($E743="","",
IF($D743="MATE","",
IF(VLOOKUP($B743,'Baremos actuales'!A:D,4,FALSE)=J$9,$E743*$F743,IF(VLOOKUP($B743,'Baremos anteriores'!A:D,4,FALSE)="Sin Definir",$E743*$F743,"")))))</f>
        <v/>
      </c>
      <c r="K743" s="79" t="str">
        <f>IF($D743="","",
IF($E743="","",
IF($D743="MATE","",
IF(VLOOKUP($B743,'Baremos actuales'!$A:$D,4,FALSE)=K$9,$E743*$F743,IF(VLOOKUP($B743,'Baremos anteriores'!$A:$D,4,FALSE)="Desmonte",$E743*$F743,"")))))</f>
        <v/>
      </c>
      <c r="L743" s="80" t="str">
        <f>IF($D743="","",
IF($E743="","",
IF($D743="MATE","",
IF(VLOOKUP($B743,'Baremos actuales'!$A:$D,4,FALSE)=L$9,$E743*$F743,""))))</f>
        <v/>
      </c>
      <c r="M743" s="91" t="str">
        <f t="shared" si="11"/>
        <v/>
      </c>
      <c r="N743" s="96"/>
      <c r="O743" s="95"/>
      <c r="P743" s="96"/>
      <c r="Q743" s="98"/>
    </row>
    <row r="744" spans="1:17" ht="15.75" x14ac:dyDescent="0.2">
      <c r="A744" s="17"/>
      <c r="B744" s="18"/>
      <c r="C744" s="87" t="str">
        <f>IF(B744="","",
IF(M744=$H$5,IFERROR(VLOOKUP(B744,'Baremos actuales'!A:E,5,FALSE),"No encontrado. Revisar código, fecha ejecución y/o contrato."),
IF(M744=$H$4,IFERROR(VLOOKUP(B744,'Baremos anteriores'!A:E,5,FALSE),"No encontrado. Revisar código, fecha ejecución y/o contrato."),
IF(M744=$H$3,IFERROR(VLOOKUP(B744,#REF!,5,FALSE),"No encontrado. Revisar código, fecha ejecución y/o contrato."),
IF(D744="","Código no encontrado",
IF(D744="ERROR","No encontrado. Revisar Código, fecha de ejecución y/o contrato.",
IF(D744="MATE",
IF(C743="DESCRIPCION","NO SE PUEDE COMENZAR SIN CÓDIGO DE TAREA",
IF(C743="","FALTA CÓDIGO DE TAREA",
CONCATENATE("          ",VLOOKUP(B744,'Maestro Materiales'!A:C,3,FALSE)))),IFERROR(VLOOKUP(B744,#REF!,5,FALSE),"No encontrado. Revisar código, fecha ejecución y/o contrato."))))))))</f>
        <v/>
      </c>
      <c r="D744" s="88" t="str">
        <f>IF(B744="","",
IFERROR(VLOOKUP(B744,'Maestro Materiales'!A:C,2,FALSE),
IFERROR(VLOOKUP(B744,'Baremos actuales'!A:B,2,FALSE),
IFERROR(VLOOKUP(B744,'Baremos anteriores'!A:B,2,FALSE),
""))))</f>
        <v/>
      </c>
      <c r="E744" s="9"/>
      <c r="F744" s="89" t="str">
        <f>IF(D744="MATE",
IF(E744="","¿Unidades?",""),
IF(D744="",IF(E744="","","¿Código?"),
IF(E744="","¿Unidades?",
IF(D744="TARE",
IF(M744=$H$3,IFERROR(VLOOKUP(B744,'Baremos actuales'!A:C,3,FALSE),0),
IF(M744=$H$4,IFERROR(VLOOKUP(B744,'Baremos anteriores'!A:C,3,FALSE),0),0))))))</f>
        <v/>
      </c>
      <c r="G744" s="7"/>
      <c r="H744" s="8"/>
      <c r="I744" s="8"/>
      <c r="J744" s="78" t="str">
        <f>IF($D744="","",
IF($E744="","",
IF($D744="MATE","",
IF(VLOOKUP($B744,'Baremos actuales'!A:D,4,FALSE)=J$9,$E744*$F744,IF(VLOOKUP($B744,'Baremos anteriores'!A:D,4,FALSE)="Sin Definir",$E744*$F744,"")))))</f>
        <v/>
      </c>
      <c r="K744" s="79" t="str">
        <f>IF($D744="","",
IF($E744="","",
IF($D744="MATE","",
IF(VLOOKUP($B744,'Baremos actuales'!$A:$D,4,FALSE)=K$9,$E744*$F744,IF(VLOOKUP($B744,'Baremos anteriores'!$A:$D,4,FALSE)="Desmonte",$E744*$F744,"")))))</f>
        <v/>
      </c>
      <c r="L744" s="80" t="str">
        <f>IF($D744="","",
IF($E744="","",
IF($D744="MATE","",
IF(VLOOKUP($B744,'Baremos actuales'!$A:$D,4,FALSE)=L$9,$E744*$F744,""))))</f>
        <v/>
      </c>
      <c r="M744" s="91" t="str">
        <f t="shared" si="11"/>
        <v/>
      </c>
      <c r="N744" s="96"/>
      <c r="O744" s="95"/>
      <c r="P744" s="96"/>
      <c r="Q744" s="98"/>
    </row>
    <row r="745" spans="1:17" ht="15.75" x14ac:dyDescent="0.2">
      <c r="A745" s="17"/>
      <c r="B745" s="18"/>
      <c r="C745" s="87" t="str">
        <f>IF(B745="","",
IF(M745=$H$5,IFERROR(VLOOKUP(B745,'Baremos actuales'!A:E,5,FALSE),"No encontrado. Revisar código, fecha ejecución y/o contrato."),
IF(M745=$H$4,IFERROR(VLOOKUP(B745,'Baremos anteriores'!A:E,5,FALSE),"No encontrado. Revisar código, fecha ejecución y/o contrato."),
IF(M745=$H$3,IFERROR(VLOOKUP(B745,#REF!,5,FALSE),"No encontrado. Revisar código, fecha ejecución y/o contrato."),
IF(D745="","Código no encontrado",
IF(D745="ERROR","No encontrado. Revisar Código, fecha de ejecución y/o contrato.",
IF(D745="MATE",
IF(C744="DESCRIPCION","NO SE PUEDE COMENZAR SIN CÓDIGO DE TAREA",
IF(C744="","FALTA CÓDIGO DE TAREA",
CONCATENATE("          ",VLOOKUP(B745,'Maestro Materiales'!A:C,3,FALSE)))),IFERROR(VLOOKUP(B745,#REF!,5,FALSE),"No encontrado. Revisar código, fecha ejecución y/o contrato."))))))))</f>
        <v/>
      </c>
      <c r="D745" s="88" t="str">
        <f>IF(B745="","",
IFERROR(VLOOKUP(B745,'Maestro Materiales'!A:C,2,FALSE),
IFERROR(VLOOKUP(B745,'Baremos actuales'!A:B,2,FALSE),
IFERROR(VLOOKUP(B745,'Baremos anteriores'!A:B,2,FALSE),
""))))</f>
        <v/>
      </c>
      <c r="E745" s="9"/>
      <c r="F745" s="89" t="str">
        <f>IF(D745="MATE",
IF(E745="","¿Unidades?",""),
IF(D745="",IF(E745="","","¿Código?"),
IF(E745="","¿Unidades?",
IF(D745="TARE",
IF(M745=$H$3,IFERROR(VLOOKUP(B745,'Baremos actuales'!A:C,3,FALSE),0),
IF(M745=$H$4,IFERROR(VLOOKUP(B745,'Baremos anteriores'!A:C,3,FALSE),0),0))))))</f>
        <v/>
      </c>
      <c r="G745" s="7"/>
      <c r="H745" s="8"/>
      <c r="I745" s="8"/>
      <c r="J745" s="78" t="str">
        <f>IF($D745="","",
IF($E745="","",
IF($D745="MATE","",
IF(VLOOKUP($B745,'Baremos actuales'!A:D,4,FALSE)=J$9,$E745*$F745,IF(VLOOKUP($B745,'Baremos anteriores'!A:D,4,FALSE)="Sin Definir",$E745*$F745,"")))))</f>
        <v/>
      </c>
      <c r="K745" s="79" t="str">
        <f>IF($D745="","",
IF($E745="","",
IF($D745="MATE","",
IF(VLOOKUP($B745,'Baremos actuales'!$A:$D,4,FALSE)=K$9,$E745*$F745,IF(VLOOKUP($B745,'Baremos anteriores'!$A:$D,4,FALSE)="Desmonte",$E745*$F745,"")))))</f>
        <v/>
      </c>
      <c r="L745" s="80" t="str">
        <f>IF($D745="","",
IF($E745="","",
IF($D745="MATE","",
IF(VLOOKUP($B745,'Baremos actuales'!$A:$D,4,FALSE)=L$9,$E745*$F745,""))))</f>
        <v/>
      </c>
      <c r="M745" s="91" t="str">
        <f t="shared" si="11"/>
        <v/>
      </c>
      <c r="N745" s="96"/>
      <c r="O745" s="95"/>
      <c r="P745" s="96"/>
      <c r="Q745" s="98"/>
    </row>
    <row r="746" spans="1:17" ht="15.75" x14ac:dyDescent="0.2">
      <c r="A746" s="17"/>
      <c r="B746" s="18"/>
      <c r="C746" s="87" t="str">
        <f>IF(B746="","",
IF(M746=$H$5,IFERROR(VLOOKUP(B746,'Baremos actuales'!A:E,5,FALSE),"No encontrado. Revisar código, fecha ejecución y/o contrato."),
IF(M746=$H$4,IFERROR(VLOOKUP(B746,'Baremos anteriores'!A:E,5,FALSE),"No encontrado. Revisar código, fecha ejecución y/o contrato."),
IF(M746=$H$3,IFERROR(VLOOKUP(B746,#REF!,5,FALSE),"No encontrado. Revisar código, fecha ejecución y/o contrato."),
IF(D746="","Código no encontrado",
IF(D746="ERROR","No encontrado. Revisar Código, fecha de ejecución y/o contrato.",
IF(D746="MATE",
IF(C745="DESCRIPCION","NO SE PUEDE COMENZAR SIN CÓDIGO DE TAREA",
IF(C745="","FALTA CÓDIGO DE TAREA",
CONCATENATE("          ",VLOOKUP(B746,'Maestro Materiales'!A:C,3,FALSE)))),IFERROR(VLOOKUP(B746,#REF!,5,FALSE),"No encontrado. Revisar código, fecha ejecución y/o contrato."))))))))</f>
        <v/>
      </c>
      <c r="D746" s="88" t="str">
        <f>IF(B746="","",
IFERROR(VLOOKUP(B746,'Maestro Materiales'!A:C,2,FALSE),
IFERROR(VLOOKUP(B746,'Baremos actuales'!A:B,2,FALSE),
IFERROR(VLOOKUP(B746,'Baremos anteriores'!A:B,2,FALSE),
""))))</f>
        <v/>
      </c>
      <c r="E746" s="9"/>
      <c r="F746" s="89" t="str">
        <f>IF(D746="MATE",
IF(E746="","¿Unidades?",""),
IF(D746="",IF(E746="","","¿Código?"),
IF(E746="","¿Unidades?",
IF(D746="TARE",
IF(M746=$H$3,IFERROR(VLOOKUP(B746,'Baremos actuales'!A:C,3,FALSE),0),
IF(M746=$H$4,IFERROR(VLOOKUP(B746,'Baremos anteriores'!A:C,3,FALSE),0),0))))))</f>
        <v/>
      </c>
      <c r="G746" s="7"/>
      <c r="H746" s="8"/>
      <c r="I746" s="8"/>
      <c r="J746" s="78" t="str">
        <f>IF($D746="","",
IF($E746="","",
IF($D746="MATE","",
IF(VLOOKUP($B746,'Baremos actuales'!A:D,4,FALSE)=J$9,$E746*$F746,IF(VLOOKUP($B746,'Baremos anteriores'!A:D,4,FALSE)="Sin Definir",$E746*$F746,"")))))</f>
        <v/>
      </c>
      <c r="K746" s="79" t="str">
        <f>IF($D746="","",
IF($E746="","",
IF($D746="MATE","",
IF(VLOOKUP($B746,'Baremos actuales'!$A:$D,4,FALSE)=K$9,$E746*$F746,IF(VLOOKUP($B746,'Baremos anteriores'!$A:$D,4,FALSE)="Desmonte",$E746*$F746,"")))))</f>
        <v/>
      </c>
      <c r="L746" s="80" t="str">
        <f>IF($D746="","",
IF($E746="","",
IF($D746="MATE","",
IF(VLOOKUP($B746,'Baremos actuales'!$A:$D,4,FALSE)=L$9,$E746*$F746,""))))</f>
        <v/>
      </c>
      <c r="M746" s="91" t="str">
        <f t="shared" si="11"/>
        <v/>
      </c>
      <c r="N746" s="96"/>
      <c r="O746" s="95"/>
      <c r="P746" s="96"/>
      <c r="Q746" s="98"/>
    </row>
    <row r="747" spans="1:17" ht="15.75" x14ac:dyDescent="0.2">
      <c r="A747" s="17"/>
      <c r="B747" s="18"/>
      <c r="C747" s="87" t="str">
        <f>IF(B747="","",
IF(M747=$H$5,IFERROR(VLOOKUP(B747,'Baremos actuales'!A:E,5,FALSE),"No encontrado. Revisar código, fecha ejecución y/o contrato."),
IF(M747=$H$4,IFERROR(VLOOKUP(B747,'Baremos anteriores'!A:E,5,FALSE),"No encontrado. Revisar código, fecha ejecución y/o contrato."),
IF(M747=$H$3,IFERROR(VLOOKUP(B747,#REF!,5,FALSE),"No encontrado. Revisar código, fecha ejecución y/o contrato."),
IF(D747="","Código no encontrado",
IF(D747="ERROR","No encontrado. Revisar Código, fecha de ejecución y/o contrato.",
IF(D747="MATE",
IF(C746="DESCRIPCION","NO SE PUEDE COMENZAR SIN CÓDIGO DE TAREA",
IF(C746="","FALTA CÓDIGO DE TAREA",
CONCATENATE("          ",VLOOKUP(B747,'Maestro Materiales'!A:C,3,FALSE)))),IFERROR(VLOOKUP(B747,#REF!,5,FALSE),"No encontrado. Revisar código, fecha ejecución y/o contrato."))))))))</f>
        <v/>
      </c>
      <c r="D747" s="88" t="str">
        <f>IF(B747="","",
IFERROR(VLOOKUP(B747,'Maestro Materiales'!A:C,2,FALSE),
IFERROR(VLOOKUP(B747,'Baremos actuales'!A:B,2,FALSE),
IFERROR(VLOOKUP(B747,'Baremos anteriores'!A:B,2,FALSE),
""))))</f>
        <v/>
      </c>
      <c r="E747" s="9"/>
      <c r="F747" s="89" t="str">
        <f>IF(D747="MATE",
IF(E747="","¿Unidades?",""),
IF(D747="",IF(E747="","","¿Código?"),
IF(E747="","¿Unidades?",
IF(D747="TARE",
IF(M747=$H$3,IFERROR(VLOOKUP(B747,'Baremos actuales'!A:C,3,FALSE),0),
IF(M747=$H$4,IFERROR(VLOOKUP(B747,'Baremos anteriores'!A:C,3,FALSE),0),0))))))</f>
        <v/>
      </c>
      <c r="G747" s="7"/>
      <c r="H747" s="8"/>
      <c r="I747" s="8"/>
      <c r="J747" s="78" t="str">
        <f>IF($D747="","",
IF($E747="","",
IF($D747="MATE","",
IF(VLOOKUP($B747,'Baremos actuales'!A:D,4,FALSE)=J$9,$E747*$F747,IF(VLOOKUP($B747,'Baremos anteriores'!A:D,4,FALSE)="Sin Definir",$E747*$F747,"")))))</f>
        <v/>
      </c>
      <c r="K747" s="79" t="str">
        <f>IF($D747="","",
IF($E747="","",
IF($D747="MATE","",
IF(VLOOKUP($B747,'Baremos actuales'!$A:$D,4,FALSE)=K$9,$E747*$F747,IF(VLOOKUP($B747,'Baremos anteriores'!$A:$D,4,FALSE)="Desmonte",$E747*$F747,"")))))</f>
        <v/>
      </c>
      <c r="L747" s="80" t="str">
        <f>IF($D747="","",
IF($E747="","",
IF($D747="MATE","",
IF(VLOOKUP($B747,'Baremos actuales'!$A:$D,4,FALSE)=L$9,$E747*$F747,""))))</f>
        <v/>
      </c>
      <c r="M747" s="91" t="str">
        <f t="shared" si="11"/>
        <v/>
      </c>
      <c r="N747" s="96"/>
      <c r="O747" s="95"/>
      <c r="P747" s="96"/>
      <c r="Q747" s="98"/>
    </row>
    <row r="748" spans="1:17" ht="15.75" x14ac:dyDescent="0.2">
      <c r="A748" s="17"/>
      <c r="B748" s="18"/>
      <c r="C748" s="87" t="str">
        <f>IF(B748="","",
IF(M748=$H$5,IFERROR(VLOOKUP(B748,'Baremos actuales'!A:E,5,FALSE),"No encontrado. Revisar código, fecha ejecución y/o contrato."),
IF(M748=$H$4,IFERROR(VLOOKUP(B748,'Baremos anteriores'!A:E,5,FALSE),"No encontrado. Revisar código, fecha ejecución y/o contrato."),
IF(M748=$H$3,IFERROR(VLOOKUP(B748,#REF!,5,FALSE),"No encontrado. Revisar código, fecha ejecución y/o contrato."),
IF(D748="","Código no encontrado",
IF(D748="ERROR","No encontrado. Revisar Código, fecha de ejecución y/o contrato.",
IF(D748="MATE",
IF(C747="DESCRIPCION","NO SE PUEDE COMENZAR SIN CÓDIGO DE TAREA",
IF(C747="","FALTA CÓDIGO DE TAREA",
CONCATENATE("          ",VLOOKUP(B748,'Maestro Materiales'!A:C,3,FALSE)))),IFERROR(VLOOKUP(B748,#REF!,5,FALSE),"No encontrado. Revisar código, fecha ejecución y/o contrato."))))))))</f>
        <v/>
      </c>
      <c r="D748" s="88" t="str">
        <f>IF(B748="","",
IFERROR(VLOOKUP(B748,'Maestro Materiales'!A:C,2,FALSE),
IFERROR(VLOOKUP(B748,'Baremos actuales'!A:B,2,FALSE),
IFERROR(VLOOKUP(B748,'Baremos anteriores'!A:B,2,FALSE),
""))))</f>
        <v/>
      </c>
      <c r="E748" s="9"/>
      <c r="F748" s="89" t="str">
        <f>IF(D748="MATE",
IF(E748="","¿Unidades?",""),
IF(D748="",IF(E748="","","¿Código?"),
IF(E748="","¿Unidades?",
IF(D748="TARE",
IF(M748=$H$3,IFERROR(VLOOKUP(B748,'Baremos actuales'!A:C,3,FALSE),0),
IF(M748=$H$4,IFERROR(VLOOKUP(B748,'Baremos anteriores'!A:C,3,FALSE),0),0))))))</f>
        <v/>
      </c>
      <c r="G748" s="7"/>
      <c r="H748" s="8"/>
      <c r="I748" s="8"/>
      <c r="J748" s="78" t="str">
        <f>IF($D748="","",
IF($E748="","",
IF($D748="MATE","",
IF(VLOOKUP($B748,'Baremos actuales'!A:D,4,FALSE)=J$9,$E748*$F748,IF(VLOOKUP($B748,'Baremos anteriores'!A:D,4,FALSE)="Sin Definir",$E748*$F748,"")))))</f>
        <v/>
      </c>
      <c r="K748" s="79" t="str">
        <f>IF($D748="","",
IF($E748="","",
IF($D748="MATE","",
IF(VLOOKUP($B748,'Baremos actuales'!$A:$D,4,FALSE)=K$9,$E748*$F748,IF(VLOOKUP($B748,'Baremos anteriores'!$A:$D,4,FALSE)="Desmonte",$E748*$F748,"")))))</f>
        <v/>
      </c>
      <c r="L748" s="80" t="str">
        <f>IF($D748="","",
IF($E748="","",
IF($D748="MATE","",
IF(VLOOKUP($B748,'Baremos actuales'!$A:$D,4,FALSE)=L$9,$E748*$F748,""))))</f>
        <v/>
      </c>
      <c r="M748" s="91" t="str">
        <f t="shared" si="11"/>
        <v/>
      </c>
      <c r="N748" s="96"/>
      <c r="O748" s="95"/>
      <c r="P748" s="96"/>
      <c r="Q748" s="98"/>
    </row>
    <row r="749" spans="1:17" ht="15.75" x14ac:dyDescent="0.2">
      <c r="A749" s="17"/>
      <c r="B749" s="18"/>
      <c r="C749" s="87" t="str">
        <f>IF(B749="","",
IF(M749=$H$5,IFERROR(VLOOKUP(B749,'Baremos actuales'!A:E,5,FALSE),"No encontrado. Revisar código, fecha ejecución y/o contrato."),
IF(M749=$H$4,IFERROR(VLOOKUP(B749,'Baremos anteriores'!A:E,5,FALSE),"No encontrado. Revisar código, fecha ejecución y/o contrato."),
IF(M749=$H$3,IFERROR(VLOOKUP(B749,#REF!,5,FALSE),"No encontrado. Revisar código, fecha ejecución y/o contrato."),
IF(D749="","Código no encontrado",
IF(D749="ERROR","No encontrado. Revisar Código, fecha de ejecución y/o contrato.",
IF(D749="MATE",
IF(C748="DESCRIPCION","NO SE PUEDE COMENZAR SIN CÓDIGO DE TAREA",
IF(C748="","FALTA CÓDIGO DE TAREA",
CONCATENATE("          ",VLOOKUP(B749,'Maestro Materiales'!A:C,3,FALSE)))),IFERROR(VLOOKUP(B749,#REF!,5,FALSE),"No encontrado. Revisar código, fecha ejecución y/o contrato."))))))))</f>
        <v/>
      </c>
      <c r="D749" s="88" t="str">
        <f>IF(B749="","",
IFERROR(VLOOKUP(B749,'Maestro Materiales'!A:C,2,FALSE),
IFERROR(VLOOKUP(B749,'Baremos actuales'!A:B,2,FALSE),
IFERROR(VLOOKUP(B749,'Baremos anteriores'!A:B,2,FALSE),
""))))</f>
        <v/>
      </c>
      <c r="E749" s="9"/>
      <c r="F749" s="89" t="str">
        <f>IF(D749="MATE",
IF(E749="","¿Unidades?",""),
IF(D749="",IF(E749="","","¿Código?"),
IF(E749="","¿Unidades?",
IF(D749="TARE",
IF(M749=$H$3,IFERROR(VLOOKUP(B749,'Baremos actuales'!A:C,3,FALSE),0),
IF(M749=$H$4,IFERROR(VLOOKUP(B749,'Baremos anteriores'!A:C,3,FALSE),0),0))))))</f>
        <v/>
      </c>
      <c r="G749" s="7"/>
      <c r="H749" s="8"/>
      <c r="I749" s="8"/>
      <c r="J749" s="78" t="str">
        <f>IF($D749="","",
IF($E749="","",
IF($D749="MATE","",
IF(VLOOKUP($B749,'Baremos actuales'!A:D,4,FALSE)=J$9,$E749*$F749,IF(VLOOKUP($B749,'Baremos anteriores'!A:D,4,FALSE)="Sin Definir",$E749*$F749,"")))))</f>
        <v/>
      </c>
      <c r="K749" s="79" t="str">
        <f>IF($D749="","",
IF($E749="","",
IF($D749="MATE","",
IF(VLOOKUP($B749,'Baremos actuales'!$A:$D,4,FALSE)=K$9,$E749*$F749,IF(VLOOKUP($B749,'Baremos anteriores'!$A:$D,4,FALSE)="Desmonte",$E749*$F749,"")))))</f>
        <v/>
      </c>
      <c r="L749" s="80" t="str">
        <f>IF($D749="","",
IF($E749="","",
IF($D749="MATE","",
IF(VLOOKUP($B749,'Baremos actuales'!$A:$D,4,FALSE)=L$9,$E749*$F749,""))))</f>
        <v/>
      </c>
      <c r="M749" s="91" t="str">
        <f t="shared" si="11"/>
        <v/>
      </c>
      <c r="N749" s="96"/>
      <c r="O749" s="95"/>
      <c r="P749" s="96"/>
      <c r="Q749" s="98"/>
    </row>
    <row r="750" spans="1:17" ht="15.75" x14ac:dyDescent="0.2">
      <c r="A750" s="17"/>
      <c r="B750" s="18"/>
      <c r="C750" s="87" t="str">
        <f>IF(B750="","",
IF(M750=$H$5,IFERROR(VLOOKUP(B750,'Baremos actuales'!A:E,5,FALSE),"No encontrado. Revisar código, fecha ejecución y/o contrato."),
IF(M750=$H$4,IFERROR(VLOOKUP(B750,'Baremos anteriores'!A:E,5,FALSE),"No encontrado. Revisar código, fecha ejecución y/o contrato."),
IF(M750=$H$3,IFERROR(VLOOKUP(B750,#REF!,5,FALSE),"No encontrado. Revisar código, fecha ejecución y/o contrato."),
IF(D750="","Código no encontrado",
IF(D750="ERROR","No encontrado. Revisar Código, fecha de ejecución y/o contrato.",
IF(D750="MATE",
IF(C749="DESCRIPCION","NO SE PUEDE COMENZAR SIN CÓDIGO DE TAREA",
IF(C749="","FALTA CÓDIGO DE TAREA",
CONCATENATE("          ",VLOOKUP(B750,'Maestro Materiales'!A:C,3,FALSE)))),IFERROR(VLOOKUP(B750,#REF!,5,FALSE),"No encontrado. Revisar código, fecha ejecución y/o contrato."))))))))</f>
        <v/>
      </c>
      <c r="D750" s="88" t="str">
        <f>IF(B750="","",
IFERROR(VLOOKUP(B750,'Maestro Materiales'!A:C,2,FALSE),
IFERROR(VLOOKUP(B750,'Baremos actuales'!A:B,2,FALSE),
IFERROR(VLOOKUP(B750,'Baremos anteriores'!A:B,2,FALSE),
""))))</f>
        <v/>
      </c>
      <c r="E750" s="9"/>
      <c r="F750" s="89" t="str">
        <f>IF(D750="MATE",
IF(E750="","¿Unidades?",""),
IF(D750="",IF(E750="","","¿Código?"),
IF(E750="","¿Unidades?",
IF(D750="TARE",
IF(M750=$H$3,IFERROR(VLOOKUP(B750,'Baremos actuales'!A:C,3,FALSE),0),
IF(M750=$H$4,IFERROR(VLOOKUP(B750,'Baremos anteriores'!A:C,3,FALSE),0),0))))))</f>
        <v/>
      </c>
      <c r="G750" s="7"/>
      <c r="H750" s="8"/>
      <c r="I750" s="8"/>
      <c r="J750" s="78" t="str">
        <f>IF($D750="","",
IF($E750="","",
IF($D750="MATE","",
IF(VLOOKUP($B750,'Baremos actuales'!A:D,4,FALSE)=J$9,$E750*$F750,IF(VLOOKUP($B750,'Baremos anteriores'!A:D,4,FALSE)="Sin Definir",$E750*$F750,"")))))</f>
        <v/>
      </c>
      <c r="K750" s="79" t="str">
        <f>IF($D750="","",
IF($E750="","",
IF($D750="MATE","",
IF(VLOOKUP($B750,'Baremos actuales'!$A:$D,4,FALSE)=K$9,$E750*$F750,IF(VLOOKUP($B750,'Baremos anteriores'!$A:$D,4,FALSE)="Desmonte",$E750*$F750,"")))))</f>
        <v/>
      </c>
      <c r="L750" s="80" t="str">
        <f>IF($D750="","",
IF($E750="","",
IF($D750="MATE","",
IF(VLOOKUP($B750,'Baremos actuales'!$A:$D,4,FALSE)=L$9,$E750*$F750,""))))</f>
        <v/>
      </c>
      <c r="M750" s="91" t="str">
        <f t="shared" si="11"/>
        <v/>
      </c>
      <c r="N750" s="96"/>
      <c r="O750" s="95"/>
      <c r="P750" s="96"/>
      <c r="Q750" s="98"/>
    </row>
    <row r="751" spans="1:17" ht="15.75" x14ac:dyDescent="0.2">
      <c r="A751" s="17"/>
      <c r="B751" s="18"/>
      <c r="C751" s="87" t="str">
        <f>IF(B751="","",
IF(M751=$H$5,IFERROR(VLOOKUP(B751,'Baremos actuales'!A:E,5,FALSE),"No encontrado. Revisar código, fecha ejecución y/o contrato."),
IF(M751=$H$4,IFERROR(VLOOKUP(B751,'Baremos anteriores'!A:E,5,FALSE),"No encontrado. Revisar código, fecha ejecución y/o contrato."),
IF(M751=$H$3,IFERROR(VLOOKUP(B751,#REF!,5,FALSE),"No encontrado. Revisar código, fecha ejecución y/o contrato."),
IF(D751="","Código no encontrado",
IF(D751="ERROR","No encontrado. Revisar Código, fecha de ejecución y/o contrato.",
IF(D751="MATE",
IF(C750="DESCRIPCION","NO SE PUEDE COMENZAR SIN CÓDIGO DE TAREA",
IF(C750="","FALTA CÓDIGO DE TAREA",
CONCATENATE("          ",VLOOKUP(B751,'Maestro Materiales'!A:C,3,FALSE)))),IFERROR(VLOOKUP(B751,#REF!,5,FALSE),"No encontrado. Revisar código, fecha ejecución y/o contrato."))))))))</f>
        <v/>
      </c>
      <c r="D751" s="88" t="str">
        <f>IF(B751="","",
IFERROR(VLOOKUP(B751,'Maestro Materiales'!A:C,2,FALSE),
IFERROR(VLOOKUP(B751,'Baremos actuales'!A:B,2,FALSE),
IFERROR(VLOOKUP(B751,'Baremos anteriores'!A:B,2,FALSE),
""))))</f>
        <v/>
      </c>
      <c r="E751" s="9"/>
      <c r="F751" s="89" t="str">
        <f>IF(D751="MATE",
IF(E751="","¿Unidades?",""),
IF(D751="",IF(E751="","","¿Código?"),
IF(E751="","¿Unidades?",
IF(D751="TARE",
IF(M751=$H$3,IFERROR(VLOOKUP(B751,'Baremos actuales'!A:C,3,FALSE),0),
IF(M751=$H$4,IFERROR(VLOOKUP(B751,'Baremos anteriores'!A:C,3,FALSE),0),0))))))</f>
        <v/>
      </c>
      <c r="G751" s="7"/>
      <c r="H751" s="8"/>
      <c r="I751" s="8"/>
      <c r="J751" s="78" t="str">
        <f>IF($D751="","",
IF($E751="","",
IF($D751="MATE","",
IF(VLOOKUP($B751,'Baremos actuales'!A:D,4,FALSE)=J$9,$E751*$F751,IF(VLOOKUP($B751,'Baremos anteriores'!A:D,4,FALSE)="Sin Definir",$E751*$F751,"")))))</f>
        <v/>
      </c>
      <c r="K751" s="79" t="str">
        <f>IF($D751="","",
IF($E751="","",
IF($D751="MATE","",
IF(VLOOKUP($B751,'Baremos actuales'!$A:$D,4,FALSE)=K$9,$E751*$F751,IF(VLOOKUP($B751,'Baremos anteriores'!$A:$D,4,FALSE)="Desmonte",$E751*$F751,"")))))</f>
        <v/>
      </c>
      <c r="L751" s="80" t="str">
        <f>IF($D751="","",
IF($E751="","",
IF($D751="MATE","",
IF(VLOOKUP($B751,'Baremos actuales'!$A:$D,4,FALSE)=L$9,$E751*$F751,""))))</f>
        <v/>
      </c>
      <c r="M751" s="91" t="str">
        <f t="shared" si="11"/>
        <v/>
      </c>
      <c r="N751" s="96"/>
      <c r="O751" s="95"/>
      <c r="P751" s="96"/>
      <c r="Q751" s="98"/>
    </row>
    <row r="752" spans="1:17" ht="15.75" x14ac:dyDescent="0.2">
      <c r="A752" s="17"/>
      <c r="B752" s="18"/>
      <c r="C752" s="87" t="str">
        <f>IF(B752="","",
IF(M752=$H$5,IFERROR(VLOOKUP(B752,'Baremos actuales'!A:E,5,FALSE),"No encontrado. Revisar código, fecha ejecución y/o contrato."),
IF(M752=$H$4,IFERROR(VLOOKUP(B752,'Baremos anteriores'!A:E,5,FALSE),"No encontrado. Revisar código, fecha ejecución y/o contrato."),
IF(M752=$H$3,IFERROR(VLOOKUP(B752,#REF!,5,FALSE),"No encontrado. Revisar código, fecha ejecución y/o contrato."),
IF(D752="","Código no encontrado",
IF(D752="ERROR","No encontrado. Revisar Código, fecha de ejecución y/o contrato.",
IF(D752="MATE",
IF(C751="DESCRIPCION","NO SE PUEDE COMENZAR SIN CÓDIGO DE TAREA",
IF(C751="","FALTA CÓDIGO DE TAREA",
CONCATENATE("          ",VLOOKUP(B752,'Maestro Materiales'!A:C,3,FALSE)))),IFERROR(VLOOKUP(B752,#REF!,5,FALSE),"No encontrado. Revisar código, fecha ejecución y/o contrato."))))))))</f>
        <v/>
      </c>
      <c r="D752" s="88" t="str">
        <f>IF(B752="","",
IFERROR(VLOOKUP(B752,'Maestro Materiales'!A:C,2,FALSE),
IFERROR(VLOOKUP(B752,'Baremos actuales'!A:B,2,FALSE),
IFERROR(VLOOKUP(B752,'Baremos anteriores'!A:B,2,FALSE),
""))))</f>
        <v/>
      </c>
      <c r="E752" s="9"/>
      <c r="F752" s="89" t="str">
        <f>IF(D752="MATE",
IF(E752="","¿Unidades?",""),
IF(D752="",IF(E752="","","¿Código?"),
IF(E752="","¿Unidades?",
IF(D752="TARE",
IF(M752=$H$3,IFERROR(VLOOKUP(B752,'Baremos actuales'!A:C,3,FALSE),0),
IF(M752=$H$4,IFERROR(VLOOKUP(B752,'Baremos anteriores'!A:C,3,FALSE),0),0))))))</f>
        <v/>
      </c>
      <c r="G752" s="7"/>
      <c r="H752" s="8"/>
      <c r="I752" s="8"/>
      <c r="J752" s="78" t="str">
        <f>IF($D752="","",
IF($E752="","",
IF($D752="MATE","",
IF(VLOOKUP($B752,'Baremos actuales'!A:D,4,FALSE)=J$9,$E752*$F752,IF(VLOOKUP($B752,'Baremos anteriores'!A:D,4,FALSE)="Sin Definir",$E752*$F752,"")))))</f>
        <v/>
      </c>
      <c r="K752" s="79" t="str">
        <f>IF($D752="","",
IF($E752="","",
IF($D752="MATE","",
IF(VLOOKUP($B752,'Baremos actuales'!$A:$D,4,FALSE)=K$9,$E752*$F752,IF(VLOOKUP($B752,'Baremos anteriores'!$A:$D,4,FALSE)="Desmonte",$E752*$F752,"")))))</f>
        <v/>
      </c>
      <c r="L752" s="80" t="str">
        <f>IF($D752="","",
IF($E752="","",
IF($D752="MATE","",
IF(VLOOKUP($B752,'Baremos actuales'!$A:$D,4,FALSE)=L$9,$E752*$F752,""))))</f>
        <v/>
      </c>
      <c r="M752" s="91" t="str">
        <f t="shared" si="11"/>
        <v/>
      </c>
      <c r="N752" s="96"/>
      <c r="O752" s="95"/>
      <c r="P752" s="96"/>
      <c r="Q752" s="98"/>
    </row>
    <row r="753" spans="1:17" ht="15.75" x14ac:dyDescent="0.2">
      <c r="A753" s="17"/>
      <c r="B753" s="18"/>
      <c r="C753" s="87" t="str">
        <f>IF(B753="","",
IF(M753=$H$5,IFERROR(VLOOKUP(B753,'Baremos actuales'!A:E,5,FALSE),"No encontrado. Revisar código, fecha ejecución y/o contrato."),
IF(M753=$H$4,IFERROR(VLOOKUP(B753,'Baremos anteriores'!A:E,5,FALSE),"No encontrado. Revisar código, fecha ejecución y/o contrato."),
IF(M753=$H$3,IFERROR(VLOOKUP(B753,#REF!,5,FALSE),"No encontrado. Revisar código, fecha ejecución y/o contrato."),
IF(D753="","Código no encontrado",
IF(D753="ERROR","No encontrado. Revisar Código, fecha de ejecución y/o contrato.",
IF(D753="MATE",
IF(C752="DESCRIPCION","NO SE PUEDE COMENZAR SIN CÓDIGO DE TAREA",
IF(C752="","FALTA CÓDIGO DE TAREA",
CONCATENATE("          ",VLOOKUP(B753,'Maestro Materiales'!A:C,3,FALSE)))),IFERROR(VLOOKUP(B753,#REF!,5,FALSE),"No encontrado. Revisar código, fecha ejecución y/o contrato."))))))))</f>
        <v/>
      </c>
      <c r="D753" s="88" t="str">
        <f>IF(B753="","",
IFERROR(VLOOKUP(B753,'Maestro Materiales'!A:C,2,FALSE),
IFERROR(VLOOKUP(B753,'Baremos actuales'!A:B,2,FALSE),
IFERROR(VLOOKUP(B753,'Baremos anteriores'!A:B,2,FALSE),
""))))</f>
        <v/>
      </c>
      <c r="E753" s="9"/>
      <c r="F753" s="89" t="str">
        <f>IF(D753="MATE",
IF(E753="","¿Unidades?",""),
IF(D753="",IF(E753="","","¿Código?"),
IF(E753="","¿Unidades?",
IF(D753="TARE",
IF(M753=$H$3,IFERROR(VLOOKUP(B753,'Baremos actuales'!A:C,3,FALSE),0),
IF(M753=$H$4,IFERROR(VLOOKUP(B753,'Baremos anteriores'!A:C,3,FALSE),0),0))))))</f>
        <v/>
      </c>
      <c r="G753" s="7"/>
      <c r="H753" s="8"/>
      <c r="I753" s="8"/>
      <c r="J753" s="78" t="str">
        <f>IF($D753="","",
IF($E753="","",
IF($D753="MATE","",
IF(VLOOKUP($B753,'Baremos actuales'!A:D,4,FALSE)=J$9,$E753*$F753,IF(VLOOKUP($B753,'Baremos anteriores'!A:D,4,FALSE)="Sin Definir",$E753*$F753,"")))))</f>
        <v/>
      </c>
      <c r="K753" s="79" t="str">
        <f>IF($D753="","",
IF($E753="","",
IF($D753="MATE","",
IF(VLOOKUP($B753,'Baremos actuales'!$A:$D,4,FALSE)=K$9,$E753*$F753,IF(VLOOKUP($B753,'Baremos anteriores'!$A:$D,4,FALSE)="Desmonte",$E753*$F753,"")))))</f>
        <v/>
      </c>
      <c r="L753" s="80" t="str">
        <f>IF($D753="","",
IF($E753="","",
IF($D753="MATE","",
IF(VLOOKUP($B753,'Baremos actuales'!$A:$D,4,FALSE)=L$9,$E753*$F753,""))))</f>
        <v/>
      </c>
      <c r="M753" s="91" t="str">
        <f t="shared" si="11"/>
        <v/>
      </c>
      <c r="N753" s="96"/>
      <c r="O753" s="95"/>
      <c r="P753" s="96"/>
      <c r="Q753" s="98"/>
    </row>
    <row r="754" spans="1:17" ht="15.75" x14ac:dyDescent="0.2">
      <c r="A754" s="17"/>
      <c r="B754" s="18"/>
      <c r="C754" s="87" t="str">
        <f>IF(B754="","",
IF(M754=$H$5,IFERROR(VLOOKUP(B754,'Baremos actuales'!A:E,5,FALSE),"No encontrado. Revisar código, fecha ejecución y/o contrato."),
IF(M754=$H$4,IFERROR(VLOOKUP(B754,'Baremos anteriores'!A:E,5,FALSE),"No encontrado. Revisar código, fecha ejecución y/o contrato."),
IF(M754=$H$3,IFERROR(VLOOKUP(B754,#REF!,5,FALSE),"No encontrado. Revisar código, fecha ejecución y/o contrato."),
IF(D754="","Código no encontrado",
IF(D754="ERROR","No encontrado. Revisar Código, fecha de ejecución y/o contrato.",
IF(D754="MATE",
IF(C753="DESCRIPCION","NO SE PUEDE COMENZAR SIN CÓDIGO DE TAREA",
IF(C753="","FALTA CÓDIGO DE TAREA",
CONCATENATE("          ",VLOOKUP(B754,'Maestro Materiales'!A:C,3,FALSE)))),IFERROR(VLOOKUP(B754,#REF!,5,FALSE),"No encontrado. Revisar código, fecha ejecución y/o contrato."))))))))</f>
        <v/>
      </c>
      <c r="D754" s="88" t="str">
        <f>IF(B754="","",
IFERROR(VLOOKUP(B754,'Maestro Materiales'!A:C,2,FALSE),
IFERROR(VLOOKUP(B754,'Baremos actuales'!A:B,2,FALSE),
IFERROR(VLOOKUP(B754,'Baremos anteriores'!A:B,2,FALSE),
""))))</f>
        <v/>
      </c>
      <c r="E754" s="9"/>
      <c r="F754" s="89" t="str">
        <f>IF(D754="MATE",
IF(E754="","¿Unidades?",""),
IF(D754="",IF(E754="","","¿Código?"),
IF(E754="","¿Unidades?",
IF(D754="TARE",
IF(M754=$H$3,IFERROR(VLOOKUP(B754,'Baremos actuales'!A:C,3,FALSE),0),
IF(M754=$H$4,IFERROR(VLOOKUP(B754,'Baremos anteriores'!A:C,3,FALSE),0),0))))))</f>
        <v/>
      </c>
      <c r="G754" s="7"/>
      <c r="H754" s="8"/>
      <c r="I754" s="8"/>
      <c r="J754" s="78" t="str">
        <f>IF($D754="","",
IF($E754="","",
IF($D754="MATE","",
IF(VLOOKUP($B754,'Baremos actuales'!A:D,4,FALSE)=J$9,$E754*$F754,IF(VLOOKUP($B754,'Baremos anteriores'!A:D,4,FALSE)="Sin Definir",$E754*$F754,"")))))</f>
        <v/>
      </c>
      <c r="K754" s="79" t="str">
        <f>IF($D754="","",
IF($E754="","",
IF($D754="MATE","",
IF(VLOOKUP($B754,'Baremos actuales'!$A:$D,4,FALSE)=K$9,$E754*$F754,IF(VLOOKUP($B754,'Baremos anteriores'!$A:$D,4,FALSE)="Desmonte",$E754*$F754,"")))))</f>
        <v/>
      </c>
      <c r="L754" s="80" t="str">
        <f>IF($D754="","",
IF($E754="","",
IF($D754="MATE","",
IF(VLOOKUP($B754,'Baremos actuales'!$A:$D,4,FALSE)=L$9,$E754*$F754,""))))</f>
        <v/>
      </c>
      <c r="M754" s="91" t="str">
        <f t="shared" si="11"/>
        <v/>
      </c>
      <c r="N754" s="96"/>
      <c r="O754" s="95"/>
      <c r="P754" s="96"/>
      <c r="Q754" s="98"/>
    </row>
    <row r="755" spans="1:17" ht="15.75" x14ac:dyDescent="0.2">
      <c r="A755" s="17"/>
      <c r="B755" s="18"/>
      <c r="C755" s="87" t="str">
        <f>IF(B755="","",
IF(M755=$H$5,IFERROR(VLOOKUP(B755,'Baremos actuales'!A:E,5,FALSE),"No encontrado. Revisar código, fecha ejecución y/o contrato."),
IF(M755=$H$4,IFERROR(VLOOKUP(B755,'Baremos anteriores'!A:E,5,FALSE),"No encontrado. Revisar código, fecha ejecución y/o contrato."),
IF(M755=$H$3,IFERROR(VLOOKUP(B755,#REF!,5,FALSE),"No encontrado. Revisar código, fecha ejecución y/o contrato."),
IF(D755="","Código no encontrado",
IF(D755="ERROR","No encontrado. Revisar Código, fecha de ejecución y/o contrato.",
IF(D755="MATE",
IF(C754="DESCRIPCION","NO SE PUEDE COMENZAR SIN CÓDIGO DE TAREA",
IF(C754="","FALTA CÓDIGO DE TAREA",
CONCATENATE("          ",VLOOKUP(B755,'Maestro Materiales'!A:C,3,FALSE)))),IFERROR(VLOOKUP(B755,#REF!,5,FALSE),"No encontrado. Revisar código, fecha ejecución y/o contrato."))))))))</f>
        <v/>
      </c>
      <c r="D755" s="88" t="str">
        <f>IF(B755="","",
IFERROR(VLOOKUP(B755,'Maestro Materiales'!A:C,2,FALSE),
IFERROR(VLOOKUP(B755,'Baremos actuales'!A:B,2,FALSE),
IFERROR(VLOOKUP(B755,'Baremos anteriores'!A:B,2,FALSE),
""))))</f>
        <v/>
      </c>
      <c r="E755" s="9"/>
      <c r="F755" s="89" t="str">
        <f>IF(D755="MATE",
IF(E755="","¿Unidades?",""),
IF(D755="",IF(E755="","","¿Código?"),
IF(E755="","¿Unidades?",
IF(D755="TARE",
IF(M755=$H$3,IFERROR(VLOOKUP(B755,'Baremos actuales'!A:C,3,FALSE),0),
IF(M755=$H$4,IFERROR(VLOOKUP(B755,'Baremos anteriores'!A:C,3,FALSE),0),0))))))</f>
        <v/>
      </c>
      <c r="G755" s="7"/>
      <c r="H755" s="8"/>
      <c r="I755" s="8"/>
      <c r="J755" s="78" t="str">
        <f>IF($D755="","",
IF($E755="","",
IF($D755="MATE","",
IF(VLOOKUP($B755,'Baremos actuales'!A:D,4,FALSE)=J$9,$E755*$F755,IF(VLOOKUP($B755,'Baremos anteriores'!A:D,4,FALSE)="Sin Definir",$E755*$F755,"")))))</f>
        <v/>
      </c>
      <c r="K755" s="79" t="str">
        <f>IF($D755="","",
IF($E755="","",
IF($D755="MATE","",
IF(VLOOKUP($B755,'Baremos actuales'!$A:$D,4,FALSE)=K$9,$E755*$F755,IF(VLOOKUP($B755,'Baremos anteriores'!$A:$D,4,FALSE)="Desmonte",$E755*$F755,"")))))</f>
        <v/>
      </c>
      <c r="L755" s="80" t="str">
        <f>IF($D755="","",
IF($E755="","",
IF($D755="MATE","",
IF(VLOOKUP($B755,'Baremos actuales'!$A:$D,4,FALSE)=L$9,$E755*$F755,""))))</f>
        <v/>
      </c>
      <c r="M755" s="91" t="str">
        <f t="shared" si="11"/>
        <v/>
      </c>
      <c r="N755" s="96"/>
      <c r="O755" s="95"/>
      <c r="P755" s="96"/>
      <c r="Q755" s="98"/>
    </row>
    <row r="756" spans="1:17" ht="15.75" x14ac:dyDescent="0.2">
      <c r="A756" s="17"/>
      <c r="B756" s="18"/>
      <c r="C756" s="87" t="str">
        <f>IF(B756="","",
IF(M756=$H$5,IFERROR(VLOOKUP(B756,'Baremos actuales'!A:E,5,FALSE),"No encontrado. Revisar código, fecha ejecución y/o contrato."),
IF(M756=$H$4,IFERROR(VLOOKUP(B756,'Baremos anteriores'!A:E,5,FALSE),"No encontrado. Revisar código, fecha ejecución y/o contrato."),
IF(M756=$H$3,IFERROR(VLOOKUP(B756,#REF!,5,FALSE),"No encontrado. Revisar código, fecha ejecución y/o contrato."),
IF(D756="","Código no encontrado",
IF(D756="ERROR","No encontrado. Revisar Código, fecha de ejecución y/o contrato.",
IF(D756="MATE",
IF(C755="DESCRIPCION","NO SE PUEDE COMENZAR SIN CÓDIGO DE TAREA",
IF(C755="","FALTA CÓDIGO DE TAREA",
CONCATENATE("          ",VLOOKUP(B756,'Maestro Materiales'!A:C,3,FALSE)))),IFERROR(VLOOKUP(B756,#REF!,5,FALSE),"No encontrado. Revisar código, fecha ejecución y/o contrato."))))))))</f>
        <v/>
      </c>
      <c r="D756" s="88" t="str">
        <f>IF(B756="","",
IFERROR(VLOOKUP(B756,'Maestro Materiales'!A:C,2,FALSE),
IFERROR(VLOOKUP(B756,'Baremos actuales'!A:B,2,FALSE),
IFERROR(VLOOKUP(B756,'Baremos anteriores'!A:B,2,FALSE),
""))))</f>
        <v/>
      </c>
      <c r="E756" s="9"/>
      <c r="F756" s="89" t="str">
        <f>IF(D756="MATE",
IF(E756="","¿Unidades?",""),
IF(D756="",IF(E756="","","¿Código?"),
IF(E756="","¿Unidades?",
IF(D756="TARE",
IF(M756=$H$3,IFERROR(VLOOKUP(B756,'Baremos actuales'!A:C,3,FALSE),0),
IF(M756=$H$4,IFERROR(VLOOKUP(B756,'Baremos anteriores'!A:C,3,FALSE),0),0))))))</f>
        <v/>
      </c>
      <c r="G756" s="7"/>
      <c r="H756" s="8"/>
      <c r="I756" s="8"/>
      <c r="J756" s="78" t="str">
        <f>IF($D756="","",
IF($E756="","",
IF($D756="MATE","",
IF(VLOOKUP($B756,'Baremos actuales'!A:D,4,FALSE)=J$9,$E756*$F756,IF(VLOOKUP($B756,'Baremos anteriores'!A:D,4,FALSE)="Sin Definir",$E756*$F756,"")))))</f>
        <v/>
      </c>
      <c r="K756" s="79" t="str">
        <f>IF($D756="","",
IF($E756="","",
IF($D756="MATE","",
IF(VLOOKUP($B756,'Baremos actuales'!$A:$D,4,FALSE)=K$9,$E756*$F756,IF(VLOOKUP($B756,'Baremos anteriores'!$A:$D,4,FALSE)="Desmonte",$E756*$F756,"")))))</f>
        <v/>
      </c>
      <c r="L756" s="80" t="str">
        <f>IF($D756="","",
IF($E756="","",
IF($D756="MATE","",
IF(VLOOKUP($B756,'Baremos actuales'!$A:$D,4,FALSE)=L$9,$E756*$F756,""))))</f>
        <v/>
      </c>
      <c r="M756" s="91" t="str">
        <f t="shared" si="11"/>
        <v/>
      </c>
      <c r="N756" s="96"/>
      <c r="O756" s="95"/>
      <c r="P756" s="96"/>
      <c r="Q756" s="98"/>
    </row>
    <row r="757" spans="1:17" ht="15.75" x14ac:dyDescent="0.2">
      <c r="A757" s="17"/>
      <c r="B757" s="18"/>
      <c r="C757" s="87" t="str">
        <f>IF(B757="","",
IF(M757=$H$5,IFERROR(VLOOKUP(B757,'Baremos actuales'!A:E,5,FALSE),"No encontrado. Revisar código, fecha ejecución y/o contrato."),
IF(M757=$H$4,IFERROR(VLOOKUP(B757,'Baremos anteriores'!A:E,5,FALSE),"No encontrado. Revisar código, fecha ejecución y/o contrato."),
IF(M757=$H$3,IFERROR(VLOOKUP(B757,#REF!,5,FALSE),"No encontrado. Revisar código, fecha ejecución y/o contrato."),
IF(D757="","Código no encontrado",
IF(D757="ERROR","No encontrado. Revisar Código, fecha de ejecución y/o contrato.",
IF(D757="MATE",
IF(C756="DESCRIPCION","NO SE PUEDE COMENZAR SIN CÓDIGO DE TAREA",
IF(C756="","FALTA CÓDIGO DE TAREA",
CONCATENATE("          ",VLOOKUP(B757,'Maestro Materiales'!A:C,3,FALSE)))),IFERROR(VLOOKUP(B757,#REF!,5,FALSE),"No encontrado. Revisar código, fecha ejecución y/o contrato."))))))))</f>
        <v/>
      </c>
      <c r="D757" s="88" t="str">
        <f>IF(B757="","",
IFERROR(VLOOKUP(B757,'Maestro Materiales'!A:C,2,FALSE),
IFERROR(VLOOKUP(B757,'Baremos actuales'!A:B,2,FALSE),
IFERROR(VLOOKUP(B757,'Baremos anteriores'!A:B,2,FALSE),
""))))</f>
        <v/>
      </c>
      <c r="E757" s="9"/>
      <c r="F757" s="89" t="str">
        <f>IF(D757="MATE",
IF(E757="","¿Unidades?",""),
IF(D757="",IF(E757="","","¿Código?"),
IF(E757="","¿Unidades?",
IF(D757="TARE",
IF(M757=$H$3,IFERROR(VLOOKUP(B757,'Baremos actuales'!A:C,3,FALSE),0),
IF(M757=$H$4,IFERROR(VLOOKUP(B757,'Baremos anteriores'!A:C,3,FALSE),0),0))))))</f>
        <v/>
      </c>
      <c r="G757" s="7"/>
      <c r="H757" s="8"/>
      <c r="I757" s="8"/>
      <c r="J757" s="78" t="str">
        <f>IF($D757="","",
IF($E757="","",
IF($D757="MATE","",
IF(VLOOKUP($B757,'Baremos actuales'!A:D,4,FALSE)=J$9,$E757*$F757,IF(VLOOKUP($B757,'Baremos anteriores'!A:D,4,FALSE)="Sin Definir",$E757*$F757,"")))))</f>
        <v/>
      </c>
      <c r="K757" s="79" t="str">
        <f>IF($D757="","",
IF($E757="","",
IF($D757="MATE","",
IF(VLOOKUP($B757,'Baremos actuales'!$A:$D,4,FALSE)=K$9,$E757*$F757,IF(VLOOKUP($B757,'Baremos anteriores'!$A:$D,4,FALSE)="Desmonte",$E757*$F757,"")))))</f>
        <v/>
      </c>
      <c r="L757" s="80" t="str">
        <f>IF($D757="","",
IF($E757="","",
IF($D757="MATE","",
IF(VLOOKUP($B757,'Baremos actuales'!$A:$D,4,FALSE)=L$9,$E757*$F757,""))))</f>
        <v/>
      </c>
      <c r="M757" s="91" t="str">
        <f t="shared" si="11"/>
        <v/>
      </c>
      <c r="N757" s="96"/>
      <c r="O757" s="95"/>
      <c r="P757" s="96"/>
      <c r="Q757" s="98"/>
    </row>
    <row r="758" spans="1:17" ht="15.75" x14ac:dyDescent="0.2">
      <c r="A758" s="17"/>
      <c r="B758" s="18"/>
      <c r="C758" s="87" t="str">
        <f>IF(B758="","",
IF(M758=$H$5,IFERROR(VLOOKUP(B758,'Baremos actuales'!A:E,5,FALSE),"No encontrado. Revisar código, fecha ejecución y/o contrato."),
IF(M758=$H$4,IFERROR(VLOOKUP(B758,'Baremos anteriores'!A:E,5,FALSE),"No encontrado. Revisar código, fecha ejecución y/o contrato."),
IF(M758=$H$3,IFERROR(VLOOKUP(B758,#REF!,5,FALSE),"No encontrado. Revisar código, fecha ejecución y/o contrato."),
IF(D758="","Código no encontrado",
IF(D758="ERROR","No encontrado. Revisar Código, fecha de ejecución y/o contrato.",
IF(D758="MATE",
IF(C757="DESCRIPCION","NO SE PUEDE COMENZAR SIN CÓDIGO DE TAREA",
IF(C757="","FALTA CÓDIGO DE TAREA",
CONCATENATE("          ",VLOOKUP(B758,'Maestro Materiales'!A:C,3,FALSE)))),IFERROR(VLOOKUP(B758,#REF!,5,FALSE),"No encontrado. Revisar código, fecha ejecución y/o contrato."))))))))</f>
        <v/>
      </c>
      <c r="D758" s="88" t="str">
        <f>IF(B758="","",
IFERROR(VLOOKUP(B758,'Maestro Materiales'!A:C,2,FALSE),
IFERROR(VLOOKUP(B758,'Baremos actuales'!A:B,2,FALSE),
IFERROR(VLOOKUP(B758,'Baremos anteriores'!A:B,2,FALSE),
""))))</f>
        <v/>
      </c>
      <c r="E758" s="9"/>
      <c r="F758" s="89" t="str">
        <f>IF(D758="MATE",
IF(E758="","¿Unidades?",""),
IF(D758="",IF(E758="","","¿Código?"),
IF(E758="","¿Unidades?",
IF(D758="TARE",
IF(M758=$H$3,IFERROR(VLOOKUP(B758,'Baremos actuales'!A:C,3,FALSE),0),
IF(M758=$H$4,IFERROR(VLOOKUP(B758,'Baremos anteriores'!A:C,3,FALSE),0),0))))))</f>
        <v/>
      </c>
      <c r="G758" s="7"/>
      <c r="H758" s="8"/>
      <c r="I758" s="8"/>
      <c r="J758" s="78" t="str">
        <f>IF($D758="","",
IF($E758="","",
IF($D758="MATE","",
IF(VLOOKUP($B758,'Baremos actuales'!A:D,4,FALSE)=J$9,$E758*$F758,IF(VLOOKUP($B758,'Baremos anteriores'!A:D,4,FALSE)="Sin Definir",$E758*$F758,"")))))</f>
        <v/>
      </c>
      <c r="K758" s="79" t="str">
        <f>IF($D758="","",
IF($E758="","",
IF($D758="MATE","",
IF(VLOOKUP($B758,'Baremos actuales'!$A:$D,4,FALSE)=K$9,$E758*$F758,IF(VLOOKUP($B758,'Baremos anteriores'!$A:$D,4,FALSE)="Desmonte",$E758*$F758,"")))))</f>
        <v/>
      </c>
      <c r="L758" s="80" t="str">
        <f>IF($D758="","",
IF($E758="","",
IF($D758="MATE","",
IF(VLOOKUP($B758,'Baremos actuales'!$A:$D,4,FALSE)=L$9,$E758*$F758,""))))</f>
        <v/>
      </c>
      <c r="M758" s="91" t="str">
        <f t="shared" si="11"/>
        <v/>
      </c>
      <c r="N758" s="96"/>
      <c r="O758" s="95"/>
      <c r="P758" s="96"/>
      <c r="Q758" s="98"/>
    </row>
    <row r="759" spans="1:17" ht="15.75" x14ac:dyDescent="0.2">
      <c r="A759" s="17"/>
      <c r="B759" s="18"/>
      <c r="C759" s="87" t="str">
        <f>IF(B759="","",
IF(M759=$H$5,IFERROR(VLOOKUP(B759,'Baremos actuales'!A:E,5,FALSE),"No encontrado. Revisar código, fecha ejecución y/o contrato."),
IF(M759=$H$4,IFERROR(VLOOKUP(B759,'Baremos anteriores'!A:E,5,FALSE),"No encontrado. Revisar código, fecha ejecución y/o contrato."),
IF(M759=$H$3,IFERROR(VLOOKUP(B759,#REF!,5,FALSE),"No encontrado. Revisar código, fecha ejecución y/o contrato."),
IF(D759="","Código no encontrado",
IF(D759="ERROR","No encontrado. Revisar Código, fecha de ejecución y/o contrato.",
IF(D759="MATE",
IF(C758="DESCRIPCION","NO SE PUEDE COMENZAR SIN CÓDIGO DE TAREA",
IF(C758="","FALTA CÓDIGO DE TAREA",
CONCATENATE("          ",VLOOKUP(B759,'Maestro Materiales'!A:C,3,FALSE)))),IFERROR(VLOOKUP(B759,#REF!,5,FALSE),"No encontrado. Revisar código, fecha ejecución y/o contrato."))))))))</f>
        <v/>
      </c>
      <c r="D759" s="88" t="str">
        <f>IF(B759="","",
IFERROR(VLOOKUP(B759,'Maestro Materiales'!A:C,2,FALSE),
IFERROR(VLOOKUP(B759,'Baremos actuales'!A:B,2,FALSE),
IFERROR(VLOOKUP(B759,'Baremos anteriores'!A:B,2,FALSE),
""))))</f>
        <v/>
      </c>
      <c r="E759" s="9"/>
      <c r="F759" s="89" t="str">
        <f>IF(D759="MATE",
IF(E759="","¿Unidades?",""),
IF(D759="",IF(E759="","","¿Código?"),
IF(E759="","¿Unidades?",
IF(D759="TARE",
IF(M759=$H$3,IFERROR(VLOOKUP(B759,'Baremos actuales'!A:C,3,FALSE),0),
IF(M759=$H$4,IFERROR(VLOOKUP(B759,'Baremos anteriores'!A:C,3,FALSE),0),0))))))</f>
        <v/>
      </c>
      <c r="G759" s="7"/>
      <c r="H759" s="8"/>
      <c r="I759" s="8"/>
      <c r="J759" s="78" t="str">
        <f>IF($D759="","",
IF($E759="","",
IF($D759="MATE","",
IF(VLOOKUP($B759,'Baremos actuales'!A:D,4,FALSE)=J$9,$E759*$F759,IF(VLOOKUP($B759,'Baremos anteriores'!A:D,4,FALSE)="Sin Definir",$E759*$F759,"")))))</f>
        <v/>
      </c>
      <c r="K759" s="79" t="str">
        <f>IF($D759="","",
IF($E759="","",
IF($D759="MATE","",
IF(VLOOKUP($B759,'Baremos actuales'!$A:$D,4,FALSE)=K$9,$E759*$F759,IF(VLOOKUP($B759,'Baremos anteriores'!$A:$D,4,FALSE)="Desmonte",$E759*$F759,"")))))</f>
        <v/>
      </c>
      <c r="L759" s="80" t="str">
        <f>IF($D759="","",
IF($E759="","",
IF($D759="MATE","",
IF(VLOOKUP($B759,'Baremos actuales'!$A:$D,4,FALSE)=L$9,$E759*$F759,""))))</f>
        <v/>
      </c>
      <c r="M759" s="91" t="str">
        <f t="shared" si="11"/>
        <v/>
      </c>
      <c r="N759" s="96"/>
      <c r="O759" s="95"/>
      <c r="P759" s="96"/>
      <c r="Q759" s="98"/>
    </row>
    <row r="760" spans="1:17" ht="15.75" x14ac:dyDescent="0.2">
      <c r="A760" s="17"/>
      <c r="B760" s="18"/>
      <c r="C760" s="87" t="str">
        <f>IF(B760="","",
IF(M760=$H$5,IFERROR(VLOOKUP(B760,'Baremos actuales'!A:E,5,FALSE),"No encontrado. Revisar código, fecha ejecución y/o contrato."),
IF(M760=$H$4,IFERROR(VLOOKUP(B760,'Baremos anteriores'!A:E,5,FALSE),"No encontrado. Revisar código, fecha ejecución y/o contrato."),
IF(M760=$H$3,IFERROR(VLOOKUP(B760,#REF!,5,FALSE),"No encontrado. Revisar código, fecha ejecución y/o contrato."),
IF(D760="","Código no encontrado",
IF(D760="ERROR","No encontrado. Revisar Código, fecha de ejecución y/o contrato.",
IF(D760="MATE",
IF(C759="DESCRIPCION","NO SE PUEDE COMENZAR SIN CÓDIGO DE TAREA",
IF(C759="","FALTA CÓDIGO DE TAREA",
CONCATENATE("          ",VLOOKUP(B760,'Maestro Materiales'!A:C,3,FALSE)))),IFERROR(VLOOKUP(B760,#REF!,5,FALSE),"No encontrado. Revisar código, fecha ejecución y/o contrato."))))))))</f>
        <v/>
      </c>
      <c r="D760" s="88" t="str">
        <f>IF(B760="","",
IFERROR(VLOOKUP(B760,'Maestro Materiales'!A:C,2,FALSE),
IFERROR(VLOOKUP(B760,'Baremos actuales'!A:B,2,FALSE),
IFERROR(VLOOKUP(B760,'Baremos anteriores'!A:B,2,FALSE),
""))))</f>
        <v/>
      </c>
      <c r="E760" s="9"/>
      <c r="F760" s="89" t="str">
        <f>IF(D760="MATE",
IF(E760="","¿Unidades?",""),
IF(D760="",IF(E760="","","¿Código?"),
IF(E760="","¿Unidades?",
IF(D760="TARE",
IF(M760=$H$3,IFERROR(VLOOKUP(B760,'Baremos actuales'!A:C,3,FALSE),0),
IF(M760=$H$4,IFERROR(VLOOKUP(B760,'Baremos anteriores'!A:C,3,FALSE),0),0))))))</f>
        <v/>
      </c>
      <c r="G760" s="7"/>
      <c r="H760" s="8"/>
      <c r="I760" s="8"/>
      <c r="J760" s="78" t="str">
        <f>IF($D760="","",
IF($E760="","",
IF($D760="MATE","",
IF(VLOOKUP($B760,'Baremos actuales'!A:D,4,FALSE)=J$9,$E760*$F760,IF(VLOOKUP($B760,'Baremos anteriores'!A:D,4,FALSE)="Sin Definir",$E760*$F760,"")))))</f>
        <v/>
      </c>
      <c r="K760" s="79" t="str">
        <f>IF($D760="","",
IF($E760="","",
IF($D760="MATE","",
IF(VLOOKUP($B760,'Baremos actuales'!$A:$D,4,FALSE)=K$9,$E760*$F760,IF(VLOOKUP($B760,'Baremos anteriores'!$A:$D,4,FALSE)="Desmonte",$E760*$F760,"")))))</f>
        <v/>
      </c>
      <c r="L760" s="80" t="str">
        <f>IF($D760="","",
IF($E760="","",
IF($D760="MATE","",
IF(VLOOKUP($B760,'Baremos actuales'!$A:$D,4,FALSE)=L$9,$E760*$F760,""))))</f>
        <v/>
      </c>
      <c r="M760" s="91" t="str">
        <f t="shared" si="11"/>
        <v/>
      </c>
      <c r="N760" s="96"/>
      <c r="O760" s="95"/>
      <c r="P760" s="96"/>
      <c r="Q760" s="98"/>
    </row>
    <row r="761" spans="1:17" ht="15.75" x14ac:dyDescent="0.2">
      <c r="A761" s="17"/>
      <c r="B761" s="18"/>
      <c r="C761" s="87" t="str">
        <f>IF(B761="","",
IF(M761=$H$5,IFERROR(VLOOKUP(B761,'Baremos actuales'!A:E,5,FALSE),"No encontrado. Revisar código, fecha ejecución y/o contrato."),
IF(M761=$H$4,IFERROR(VLOOKUP(B761,'Baremos anteriores'!A:E,5,FALSE),"No encontrado. Revisar código, fecha ejecución y/o contrato."),
IF(M761=$H$3,IFERROR(VLOOKUP(B761,#REF!,5,FALSE),"No encontrado. Revisar código, fecha ejecución y/o contrato."),
IF(D761="","Código no encontrado",
IF(D761="ERROR","No encontrado. Revisar Código, fecha de ejecución y/o contrato.",
IF(D761="MATE",
IF(C760="DESCRIPCION","NO SE PUEDE COMENZAR SIN CÓDIGO DE TAREA",
IF(C760="","FALTA CÓDIGO DE TAREA",
CONCATENATE("          ",VLOOKUP(B761,'Maestro Materiales'!A:C,3,FALSE)))),IFERROR(VLOOKUP(B761,#REF!,5,FALSE),"No encontrado. Revisar código, fecha ejecución y/o contrato."))))))))</f>
        <v/>
      </c>
      <c r="D761" s="88" t="str">
        <f>IF(B761="","",
IFERROR(VLOOKUP(B761,'Maestro Materiales'!A:C,2,FALSE),
IFERROR(VLOOKUP(B761,'Baremos actuales'!A:B,2,FALSE),
IFERROR(VLOOKUP(B761,'Baremos anteriores'!A:B,2,FALSE),
""))))</f>
        <v/>
      </c>
      <c r="E761" s="9"/>
      <c r="F761" s="89" t="str">
        <f>IF(D761="MATE",
IF(E761="","¿Unidades?",""),
IF(D761="",IF(E761="","","¿Código?"),
IF(E761="","¿Unidades?",
IF(D761="TARE",
IF(M761=$H$3,IFERROR(VLOOKUP(B761,'Baremos actuales'!A:C,3,FALSE),0),
IF(M761=$H$4,IFERROR(VLOOKUP(B761,'Baremos anteriores'!A:C,3,FALSE),0),0))))))</f>
        <v/>
      </c>
      <c r="G761" s="7"/>
      <c r="H761" s="8"/>
      <c r="I761" s="8"/>
      <c r="J761" s="78" t="str">
        <f>IF($D761="","",
IF($E761="","",
IF($D761="MATE","",
IF(VLOOKUP($B761,'Baremos actuales'!A:D,4,FALSE)=J$9,$E761*$F761,IF(VLOOKUP($B761,'Baremos anteriores'!A:D,4,FALSE)="Sin Definir",$E761*$F761,"")))))</f>
        <v/>
      </c>
      <c r="K761" s="79" t="str">
        <f>IF($D761="","",
IF($E761="","",
IF($D761="MATE","",
IF(VLOOKUP($B761,'Baremos actuales'!$A:$D,4,FALSE)=K$9,$E761*$F761,IF(VLOOKUP($B761,'Baremos anteriores'!$A:$D,4,FALSE)="Desmonte",$E761*$F761,"")))))</f>
        <v/>
      </c>
      <c r="L761" s="80" t="str">
        <f>IF($D761="","",
IF($E761="","",
IF($D761="MATE","",
IF(VLOOKUP($B761,'Baremos actuales'!$A:$D,4,FALSE)=L$9,$E761*$F761,""))))</f>
        <v/>
      </c>
      <c r="M761" s="91" t="str">
        <f t="shared" si="11"/>
        <v/>
      </c>
      <c r="N761" s="96"/>
      <c r="O761" s="95"/>
      <c r="P761" s="96"/>
      <c r="Q761" s="98"/>
    </row>
    <row r="762" spans="1:17" ht="15.75" x14ac:dyDescent="0.2">
      <c r="A762" s="17"/>
      <c r="B762" s="18"/>
      <c r="C762" s="87" t="str">
        <f>IF(B762="","",
IF(M762=$H$5,IFERROR(VLOOKUP(B762,'Baremos actuales'!A:E,5,FALSE),"No encontrado. Revisar código, fecha ejecución y/o contrato."),
IF(M762=$H$4,IFERROR(VLOOKUP(B762,'Baremos anteriores'!A:E,5,FALSE),"No encontrado. Revisar código, fecha ejecución y/o contrato."),
IF(M762=$H$3,IFERROR(VLOOKUP(B762,#REF!,5,FALSE),"No encontrado. Revisar código, fecha ejecución y/o contrato."),
IF(D762="","Código no encontrado",
IF(D762="ERROR","No encontrado. Revisar Código, fecha de ejecución y/o contrato.",
IF(D762="MATE",
IF(C761="DESCRIPCION","NO SE PUEDE COMENZAR SIN CÓDIGO DE TAREA",
IF(C761="","FALTA CÓDIGO DE TAREA",
CONCATENATE("          ",VLOOKUP(B762,'Maestro Materiales'!A:C,3,FALSE)))),IFERROR(VLOOKUP(B762,#REF!,5,FALSE),"No encontrado. Revisar código, fecha ejecución y/o contrato."))))))))</f>
        <v/>
      </c>
      <c r="D762" s="88" t="str">
        <f>IF(B762="","",
IFERROR(VLOOKUP(B762,'Maestro Materiales'!A:C,2,FALSE),
IFERROR(VLOOKUP(B762,'Baremos actuales'!A:B,2,FALSE),
IFERROR(VLOOKUP(B762,'Baremos anteriores'!A:B,2,FALSE),
""))))</f>
        <v/>
      </c>
      <c r="E762" s="9"/>
      <c r="F762" s="89" t="str">
        <f>IF(D762="MATE",
IF(E762="","¿Unidades?",""),
IF(D762="",IF(E762="","","¿Código?"),
IF(E762="","¿Unidades?",
IF(D762="TARE",
IF(M762=$H$3,IFERROR(VLOOKUP(B762,'Baremos actuales'!A:C,3,FALSE),0),
IF(M762=$H$4,IFERROR(VLOOKUP(B762,'Baremos anteriores'!A:C,3,FALSE),0),0))))))</f>
        <v/>
      </c>
      <c r="G762" s="7"/>
      <c r="H762" s="8"/>
      <c r="I762" s="8"/>
      <c r="J762" s="78" t="str">
        <f>IF($D762="","",
IF($E762="","",
IF($D762="MATE","",
IF(VLOOKUP($B762,'Baremos actuales'!A:D,4,FALSE)=J$9,$E762*$F762,IF(VLOOKUP($B762,'Baremos anteriores'!A:D,4,FALSE)="Sin Definir",$E762*$F762,"")))))</f>
        <v/>
      </c>
      <c r="K762" s="79" t="str">
        <f>IF($D762="","",
IF($E762="","",
IF($D762="MATE","",
IF(VLOOKUP($B762,'Baremos actuales'!$A:$D,4,FALSE)=K$9,$E762*$F762,IF(VLOOKUP($B762,'Baremos anteriores'!$A:$D,4,FALSE)="Desmonte",$E762*$F762,"")))))</f>
        <v/>
      </c>
      <c r="L762" s="80" t="str">
        <f>IF($D762="","",
IF($E762="","",
IF($D762="MATE","",
IF(VLOOKUP($B762,'Baremos actuales'!$A:$D,4,FALSE)=L$9,$E762*$F762,""))))</f>
        <v/>
      </c>
      <c r="M762" s="91" t="str">
        <f t="shared" si="11"/>
        <v/>
      </c>
      <c r="N762" s="96"/>
      <c r="O762" s="95"/>
      <c r="P762" s="96"/>
      <c r="Q762" s="98"/>
    </row>
    <row r="763" spans="1:17" ht="15.75" x14ac:dyDescent="0.2">
      <c r="A763" s="17"/>
      <c r="B763" s="18"/>
      <c r="C763" s="87" t="str">
        <f>IF(B763="","",
IF(M763=$H$5,IFERROR(VLOOKUP(B763,'Baremos actuales'!A:E,5,FALSE),"No encontrado. Revisar código, fecha ejecución y/o contrato."),
IF(M763=$H$4,IFERROR(VLOOKUP(B763,'Baremos anteriores'!A:E,5,FALSE),"No encontrado. Revisar código, fecha ejecución y/o contrato."),
IF(M763=$H$3,IFERROR(VLOOKUP(B763,#REF!,5,FALSE),"No encontrado. Revisar código, fecha ejecución y/o contrato."),
IF(D763="","Código no encontrado",
IF(D763="ERROR","No encontrado. Revisar Código, fecha de ejecución y/o contrato.",
IF(D763="MATE",
IF(C762="DESCRIPCION","NO SE PUEDE COMENZAR SIN CÓDIGO DE TAREA",
IF(C762="","FALTA CÓDIGO DE TAREA",
CONCATENATE("          ",VLOOKUP(B763,'Maestro Materiales'!A:C,3,FALSE)))),IFERROR(VLOOKUP(B763,#REF!,5,FALSE),"No encontrado. Revisar código, fecha ejecución y/o contrato."))))))))</f>
        <v/>
      </c>
      <c r="D763" s="88" t="str">
        <f>IF(B763="","",
IFERROR(VLOOKUP(B763,'Maestro Materiales'!A:C,2,FALSE),
IFERROR(VLOOKUP(B763,'Baremos actuales'!A:B,2,FALSE),
IFERROR(VLOOKUP(B763,'Baremos anteriores'!A:B,2,FALSE),
""))))</f>
        <v/>
      </c>
      <c r="E763" s="9"/>
      <c r="F763" s="89" t="str">
        <f>IF(D763="MATE",
IF(E763="","¿Unidades?",""),
IF(D763="",IF(E763="","","¿Código?"),
IF(E763="","¿Unidades?",
IF(D763="TARE",
IF(M763=$H$3,IFERROR(VLOOKUP(B763,'Baremos actuales'!A:C,3,FALSE),0),
IF(M763=$H$4,IFERROR(VLOOKUP(B763,'Baremos anteriores'!A:C,3,FALSE),0),0))))))</f>
        <v/>
      </c>
      <c r="G763" s="7"/>
      <c r="H763" s="8"/>
      <c r="I763" s="8"/>
      <c r="J763" s="78" t="str">
        <f>IF($D763="","",
IF($E763="","",
IF($D763="MATE","",
IF(VLOOKUP($B763,'Baremos actuales'!A:D,4,FALSE)=J$9,$E763*$F763,IF(VLOOKUP($B763,'Baremos anteriores'!A:D,4,FALSE)="Sin Definir",$E763*$F763,"")))))</f>
        <v/>
      </c>
      <c r="K763" s="79" t="str">
        <f>IF($D763="","",
IF($E763="","",
IF($D763="MATE","",
IF(VLOOKUP($B763,'Baremos actuales'!$A:$D,4,FALSE)=K$9,$E763*$F763,IF(VLOOKUP($B763,'Baremos anteriores'!$A:$D,4,FALSE)="Desmonte",$E763*$F763,"")))))</f>
        <v/>
      </c>
      <c r="L763" s="80" t="str">
        <f>IF($D763="","",
IF($E763="","",
IF($D763="MATE","",
IF(VLOOKUP($B763,'Baremos actuales'!$A:$D,4,FALSE)=L$9,$E763*$F763,""))))</f>
        <v/>
      </c>
      <c r="M763" s="91" t="str">
        <f t="shared" si="11"/>
        <v/>
      </c>
      <c r="N763" s="96"/>
      <c r="O763" s="95"/>
      <c r="P763" s="96"/>
      <c r="Q763" s="98"/>
    </row>
    <row r="764" spans="1:17" ht="15.75" x14ac:dyDescent="0.2">
      <c r="A764" s="17"/>
      <c r="B764" s="18"/>
      <c r="C764" s="87" t="str">
        <f>IF(B764="","",
IF(M764=$H$5,IFERROR(VLOOKUP(B764,'Baremos actuales'!A:E,5,FALSE),"No encontrado. Revisar código, fecha ejecución y/o contrato."),
IF(M764=$H$4,IFERROR(VLOOKUP(B764,'Baremos anteriores'!A:E,5,FALSE),"No encontrado. Revisar código, fecha ejecución y/o contrato."),
IF(M764=$H$3,IFERROR(VLOOKUP(B764,#REF!,5,FALSE),"No encontrado. Revisar código, fecha ejecución y/o contrato."),
IF(D764="","Código no encontrado",
IF(D764="ERROR","No encontrado. Revisar Código, fecha de ejecución y/o contrato.",
IF(D764="MATE",
IF(C763="DESCRIPCION","NO SE PUEDE COMENZAR SIN CÓDIGO DE TAREA",
IF(C763="","FALTA CÓDIGO DE TAREA",
CONCATENATE("          ",VLOOKUP(B764,'Maestro Materiales'!A:C,3,FALSE)))),IFERROR(VLOOKUP(B764,#REF!,5,FALSE),"No encontrado. Revisar código, fecha ejecución y/o contrato."))))))))</f>
        <v/>
      </c>
      <c r="D764" s="88" t="str">
        <f>IF(B764="","",
IFERROR(VLOOKUP(B764,'Maestro Materiales'!A:C,2,FALSE),
IFERROR(VLOOKUP(B764,'Baremos actuales'!A:B,2,FALSE),
IFERROR(VLOOKUP(B764,'Baremos anteriores'!A:B,2,FALSE),
""))))</f>
        <v/>
      </c>
      <c r="E764" s="9"/>
      <c r="F764" s="89" t="str">
        <f>IF(D764="MATE",
IF(E764="","¿Unidades?",""),
IF(D764="",IF(E764="","","¿Código?"),
IF(E764="","¿Unidades?",
IF(D764="TARE",
IF(M764=$H$3,IFERROR(VLOOKUP(B764,'Baremos actuales'!A:C,3,FALSE),0),
IF(M764=$H$4,IFERROR(VLOOKUP(B764,'Baremos anteriores'!A:C,3,FALSE),0),0))))))</f>
        <v/>
      </c>
      <c r="G764" s="7"/>
      <c r="H764" s="8"/>
      <c r="I764" s="8"/>
      <c r="J764" s="78" t="str">
        <f>IF($D764="","",
IF($E764="","",
IF($D764="MATE","",
IF(VLOOKUP($B764,'Baremos actuales'!A:D,4,FALSE)=J$9,$E764*$F764,IF(VLOOKUP($B764,'Baremos anteriores'!A:D,4,FALSE)="Sin Definir",$E764*$F764,"")))))</f>
        <v/>
      </c>
      <c r="K764" s="79" t="str">
        <f>IF($D764="","",
IF($E764="","",
IF($D764="MATE","",
IF(VLOOKUP($B764,'Baremos actuales'!$A:$D,4,FALSE)=K$9,$E764*$F764,IF(VLOOKUP($B764,'Baremos anteriores'!$A:$D,4,FALSE)="Desmonte",$E764*$F764,"")))))</f>
        <v/>
      </c>
      <c r="L764" s="80" t="str">
        <f>IF($D764="","",
IF($E764="","",
IF($D764="MATE","",
IF(VLOOKUP($B764,'Baremos actuales'!$A:$D,4,FALSE)=L$9,$E764*$F764,""))))</f>
        <v/>
      </c>
      <c r="M764" s="91" t="str">
        <f t="shared" si="11"/>
        <v/>
      </c>
      <c r="N764" s="96"/>
      <c r="O764" s="95"/>
      <c r="P764" s="96"/>
      <c r="Q764" s="98"/>
    </row>
    <row r="765" spans="1:17" ht="15.75" x14ac:dyDescent="0.2">
      <c r="A765" s="17"/>
      <c r="B765" s="18"/>
      <c r="C765" s="87" t="str">
        <f>IF(B765="","",
IF(M765=$H$5,IFERROR(VLOOKUP(B765,'Baremos actuales'!A:E,5,FALSE),"No encontrado. Revisar código, fecha ejecución y/o contrato."),
IF(M765=$H$4,IFERROR(VLOOKUP(B765,'Baremos anteriores'!A:E,5,FALSE),"No encontrado. Revisar código, fecha ejecución y/o contrato."),
IF(M765=$H$3,IFERROR(VLOOKUP(B765,#REF!,5,FALSE),"No encontrado. Revisar código, fecha ejecución y/o contrato."),
IF(D765="","Código no encontrado",
IF(D765="ERROR","No encontrado. Revisar Código, fecha de ejecución y/o contrato.",
IF(D765="MATE",
IF(C764="DESCRIPCION","NO SE PUEDE COMENZAR SIN CÓDIGO DE TAREA",
IF(C764="","FALTA CÓDIGO DE TAREA",
CONCATENATE("          ",VLOOKUP(B765,'Maestro Materiales'!A:C,3,FALSE)))),IFERROR(VLOOKUP(B765,#REF!,5,FALSE),"No encontrado. Revisar código, fecha ejecución y/o contrato."))))))))</f>
        <v/>
      </c>
      <c r="D765" s="88" t="str">
        <f>IF(B765="","",
IFERROR(VLOOKUP(B765,'Maestro Materiales'!A:C,2,FALSE),
IFERROR(VLOOKUP(B765,'Baremos actuales'!A:B,2,FALSE),
IFERROR(VLOOKUP(B765,'Baremos anteriores'!A:B,2,FALSE),
""))))</f>
        <v/>
      </c>
      <c r="E765" s="9"/>
      <c r="F765" s="89" t="str">
        <f>IF(D765="MATE",
IF(E765="","¿Unidades?",""),
IF(D765="",IF(E765="","","¿Código?"),
IF(E765="","¿Unidades?",
IF(D765="TARE",
IF(M765=$H$3,IFERROR(VLOOKUP(B765,'Baremos actuales'!A:C,3,FALSE),0),
IF(M765=$H$4,IFERROR(VLOOKUP(B765,'Baremos anteriores'!A:C,3,FALSE),0),0))))))</f>
        <v/>
      </c>
      <c r="G765" s="7"/>
      <c r="H765" s="8"/>
      <c r="I765" s="8"/>
      <c r="J765" s="78" t="str">
        <f>IF($D765="","",
IF($E765="","",
IF($D765="MATE","",
IF(VLOOKUP($B765,'Baremos actuales'!A:D,4,FALSE)=J$9,$E765*$F765,IF(VLOOKUP($B765,'Baremos anteriores'!A:D,4,FALSE)="Sin Definir",$E765*$F765,"")))))</f>
        <v/>
      </c>
      <c r="K765" s="79" t="str">
        <f>IF($D765="","",
IF($E765="","",
IF($D765="MATE","",
IF(VLOOKUP($B765,'Baremos actuales'!$A:$D,4,FALSE)=K$9,$E765*$F765,IF(VLOOKUP($B765,'Baremos anteriores'!$A:$D,4,FALSE)="Desmonte",$E765*$F765,"")))))</f>
        <v/>
      </c>
      <c r="L765" s="80" t="str">
        <f>IF($D765="","",
IF($E765="","",
IF($D765="MATE","",
IF(VLOOKUP($B765,'Baremos actuales'!$A:$D,4,FALSE)=L$9,$E765*$F765,""))))</f>
        <v/>
      </c>
      <c r="M765" s="91" t="str">
        <f t="shared" si="11"/>
        <v/>
      </c>
      <c r="N765" s="96"/>
      <c r="O765" s="95"/>
      <c r="P765" s="96"/>
      <c r="Q765" s="98"/>
    </row>
    <row r="766" spans="1:17" ht="15.75" x14ac:dyDescent="0.2">
      <c r="A766" s="17"/>
      <c r="B766" s="18"/>
      <c r="C766" s="87" t="str">
        <f>IF(B766="","",
IF(M766=$H$5,IFERROR(VLOOKUP(B766,'Baremos actuales'!A:E,5,FALSE),"No encontrado. Revisar código, fecha ejecución y/o contrato."),
IF(M766=$H$4,IFERROR(VLOOKUP(B766,'Baremos anteriores'!A:E,5,FALSE),"No encontrado. Revisar código, fecha ejecución y/o contrato."),
IF(M766=$H$3,IFERROR(VLOOKUP(B766,#REF!,5,FALSE),"No encontrado. Revisar código, fecha ejecución y/o contrato."),
IF(D766="","Código no encontrado",
IF(D766="ERROR","No encontrado. Revisar Código, fecha de ejecución y/o contrato.",
IF(D766="MATE",
IF(C765="DESCRIPCION","NO SE PUEDE COMENZAR SIN CÓDIGO DE TAREA",
IF(C765="","FALTA CÓDIGO DE TAREA",
CONCATENATE("          ",VLOOKUP(B766,'Maestro Materiales'!A:C,3,FALSE)))),IFERROR(VLOOKUP(B766,#REF!,5,FALSE),"No encontrado. Revisar código, fecha ejecución y/o contrato."))))))))</f>
        <v/>
      </c>
      <c r="D766" s="88" t="str">
        <f>IF(B766="","",
IFERROR(VLOOKUP(B766,'Maestro Materiales'!A:C,2,FALSE),
IFERROR(VLOOKUP(B766,'Baremos actuales'!A:B,2,FALSE),
IFERROR(VLOOKUP(B766,'Baremos anteriores'!A:B,2,FALSE),
""))))</f>
        <v/>
      </c>
      <c r="E766" s="9"/>
      <c r="F766" s="89" t="str">
        <f>IF(D766="MATE",
IF(E766="","¿Unidades?",""),
IF(D766="",IF(E766="","","¿Código?"),
IF(E766="","¿Unidades?",
IF(D766="TARE",
IF(M766=$H$3,IFERROR(VLOOKUP(B766,'Baremos actuales'!A:C,3,FALSE),0),
IF(M766=$H$4,IFERROR(VLOOKUP(B766,'Baremos anteriores'!A:C,3,FALSE),0),0))))))</f>
        <v/>
      </c>
      <c r="G766" s="7"/>
      <c r="H766" s="8"/>
      <c r="I766" s="8"/>
      <c r="J766" s="78" t="str">
        <f>IF($D766="","",
IF($E766="","",
IF($D766="MATE","",
IF(VLOOKUP($B766,'Baremos actuales'!A:D,4,FALSE)=J$9,$E766*$F766,IF(VLOOKUP($B766,'Baremos anteriores'!A:D,4,FALSE)="Sin Definir",$E766*$F766,"")))))</f>
        <v/>
      </c>
      <c r="K766" s="79" t="str">
        <f>IF($D766="","",
IF($E766="","",
IF($D766="MATE","",
IF(VLOOKUP($B766,'Baremos actuales'!$A:$D,4,FALSE)=K$9,$E766*$F766,IF(VLOOKUP($B766,'Baremos anteriores'!$A:$D,4,FALSE)="Desmonte",$E766*$F766,"")))))</f>
        <v/>
      </c>
      <c r="L766" s="80" t="str">
        <f>IF($D766="","",
IF($E766="","",
IF($D766="MATE","",
IF(VLOOKUP($B766,'Baremos actuales'!$A:$D,4,FALSE)=L$9,$E766*$F766,""))))</f>
        <v/>
      </c>
      <c r="M766" s="91" t="str">
        <f t="shared" si="11"/>
        <v/>
      </c>
      <c r="N766" s="96"/>
      <c r="O766" s="95"/>
      <c r="P766" s="96"/>
      <c r="Q766" s="98"/>
    </row>
    <row r="767" spans="1:17" ht="15.75" x14ac:dyDescent="0.2">
      <c r="A767" s="17"/>
      <c r="B767" s="18"/>
      <c r="C767" s="87" t="str">
        <f>IF(B767="","",
IF(M767=$H$5,IFERROR(VLOOKUP(B767,'Baremos actuales'!A:E,5,FALSE),"No encontrado. Revisar código, fecha ejecución y/o contrato."),
IF(M767=$H$4,IFERROR(VLOOKUP(B767,'Baremos anteriores'!A:E,5,FALSE),"No encontrado. Revisar código, fecha ejecución y/o contrato."),
IF(M767=$H$3,IFERROR(VLOOKUP(B767,#REF!,5,FALSE),"No encontrado. Revisar código, fecha ejecución y/o contrato."),
IF(D767="","Código no encontrado",
IF(D767="ERROR","No encontrado. Revisar Código, fecha de ejecución y/o contrato.",
IF(D767="MATE",
IF(C766="DESCRIPCION","NO SE PUEDE COMENZAR SIN CÓDIGO DE TAREA",
IF(C766="","FALTA CÓDIGO DE TAREA",
CONCATENATE("          ",VLOOKUP(B767,'Maestro Materiales'!A:C,3,FALSE)))),IFERROR(VLOOKUP(B767,#REF!,5,FALSE),"No encontrado. Revisar código, fecha ejecución y/o contrato."))))))))</f>
        <v/>
      </c>
      <c r="D767" s="88" t="str">
        <f>IF(B767="","",
IFERROR(VLOOKUP(B767,'Maestro Materiales'!A:C,2,FALSE),
IFERROR(VLOOKUP(B767,'Baremos actuales'!A:B,2,FALSE),
IFERROR(VLOOKUP(B767,'Baremos anteriores'!A:B,2,FALSE),
""))))</f>
        <v/>
      </c>
      <c r="E767" s="9"/>
      <c r="F767" s="89" t="str">
        <f>IF(D767="MATE",
IF(E767="","¿Unidades?",""),
IF(D767="",IF(E767="","","¿Código?"),
IF(E767="","¿Unidades?",
IF(D767="TARE",
IF(M767=$H$3,IFERROR(VLOOKUP(B767,'Baremos actuales'!A:C,3,FALSE),0),
IF(M767=$H$4,IFERROR(VLOOKUP(B767,'Baremos anteriores'!A:C,3,FALSE),0),0))))))</f>
        <v/>
      </c>
      <c r="G767" s="7"/>
      <c r="H767" s="8"/>
      <c r="I767" s="8"/>
      <c r="J767" s="78" t="str">
        <f>IF($D767="","",
IF($E767="","",
IF($D767="MATE","",
IF(VLOOKUP($B767,'Baremos actuales'!A:D,4,FALSE)=J$9,$E767*$F767,IF(VLOOKUP($B767,'Baremos anteriores'!A:D,4,FALSE)="Sin Definir",$E767*$F767,"")))))</f>
        <v/>
      </c>
      <c r="K767" s="79" t="str">
        <f>IF($D767="","",
IF($E767="","",
IF($D767="MATE","",
IF(VLOOKUP($B767,'Baremos actuales'!$A:$D,4,FALSE)=K$9,$E767*$F767,IF(VLOOKUP($B767,'Baremos anteriores'!$A:$D,4,FALSE)="Desmonte",$E767*$F767,"")))))</f>
        <v/>
      </c>
      <c r="L767" s="80" t="str">
        <f>IF($D767="","",
IF($E767="","",
IF($D767="MATE","",
IF(VLOOKUP($B767,'Baremos actuales'!$A:$D,4,FALSE)=L$9,$E767*$F767,""))))</f>
        <v/>
      </c>
      <c r="M767" s="91" t="str">
        <f t="shared" si="11"/>
        <v/>
      </c>
      <c r="N767" s="96"/>
      <c r="O767" s="95"/>
      <c r="P767" s="96"/>
      <c r="Q767" s="98"/>
    </row>
    <row r="768" spans="1:17" ht="15.75" x14ac:dyDescent="0.2">
      <c r="A768" s="17"/>
      <c r="B768" s="18"/>
      <c r="C768" s="87" t="str">
        <f>IF(B768="","",
IF(M768=$H$5,IFERROR(VLOOKUP(B768,'Baremos actuales'!A:E,5,FALSE),"No encontrado. Revisar código, fecha ejecución y/o contrato."),
IF(M768=$H$4,IFERROR(VLOOKUP(B768,'Baremos anteriores'!A:E,5,FALSE),"No encontrado. Revisar código, fecha ejecución y/o contrato."),
IF(M768=$H$3,IFERROR(VLOOKUP(B768,#REF!,5,FALSE),"No encontrado. Revisar código, fecha ejecución y/o contrato."),
IF(D768="","Código no encontrado",
IF(D768="ERROR","No encontrado. Revisar Código, fecha de ejecución y/o contrato.",
IF(D768="MATE",
IF(C767="DESCRIPCION","NO SE PUEDE COMENZAR SIN CÓDIGO DE TAREA",
IF(C767="","FALTA CÓDIGO DE TAREA",
CONCATENATE("          ",VLOOKUP(B768,'Maestro Materiales'!A:C,3,FALSE)))),IFERROR(VLOOKUP(B768,#REF!,5,FALSE),"No encontrado. Revisar código, fecha ejecución y/o contrato."))))))))</f>
        <v/>
      </c>
      <c r="D768" s="88" t="str">
        <f>IF(B768="","",
IFERROR(VLOOKUP(B768,'Maestro Materiales'!A:C,2,FALSE),
IFERROR(VLOOKUP(B768,'Baremos actuales'!A:B,2,FALSE),
IFERROR(VLOOKUP(B768,'Baremos anteriores'!A:B,2,FALSE),
""))))</f>
        <v/>
      </c>
      <c r="E768" s="9"/>
      <c r="F768" s="89" t="str">
        <f>IF(D768="MATE",
IF(E768="","¿Unidades?",""),
IF(D768="",IF(E768="","","¿Código?"),
IF(E768="","¿Unidades?",
IF(D768="TARE",
IF(M768=$H$3,IFERROR(VLOOKUP(B768,'Baremos actuales'!A:C,3,FALSE),0),
IF(M768=$H$4,IFERROR(VLOOKUP(B768,'Baremos anteriores'!A:C,3,FALSE),0),0))))))</f>
        <v/>
      </c>
      <c r="G768" s="7"/>
      <c r="H768" s="8"/>
      <c r="I768" s="8"/>
      <c r="J768" s="78" t="str">
        <f>IF($D768="","",
IF($E768="","",
IF($D768="MATE","",
IF(VLOOKUP($B768,'Baremos actuales'!A:D,4,FALSE)=J$9,$E768*$F768,IF(VLOOKUP($B768,'Baremos anteriores'!A:D,4,FALSE)="Sin Definir",$E768*$F768,"")))))</f>
        <v/>
      </c>
      <c r="K768" s="79" t="str">
        <f>IF($D768="","",
IF($E768="","",
IF($D768="MATE","",
IF(VLOOKUP($B768,'Baremos actuales'!$A:$D,4,FALSE)=K$9,$E768*$F768,IF(VLOOKUP($B768,'Baremos anteriores'!$A:$D,4,FALSE)="Desmonte",$E768*$F768,"")))))</f>
        <v/>
      </c>
      <c r="L768" s="80" t="str">
        <f>IF($D768="","",
IF($E768="","",
IF($D768="MATE","",
IF(VLOOKUP($B768,'Baremos actuales'!$A:$D,4,FALSE)=L$9,$E768*$F768,""))))</f>
        <v/>
      </c>
      <c r="M768" s="91" t="str">
        <f t="shared" si="11"/>
        <v/>
      </c>
      <c r="N768" s="96"/>
      <c r="O768" s="95"/>
      <c r="P768" s="96"/>
      <c r="Q768" s="98"/>
    </row>
    <row r="769" spans="1:17" ht="15.75" x14ac:dyDescent="0.2">
      <c r="A769" s="17"/>
      <c r="B769" s="18"/>
      <c r="C769" s="87" t="str">
        <f>IF(B769="","",
IF(M769=$H$5,IFERROR(VLOOKUP(B769,'Baremos actuales'!A:E,5,FALSE),"No encontrado. Revisar código, fecha ejecución y/o contrato."),
IF(M769=$H$4,IFERROR(VLOOKUP(B769,'Baremos anteriores'!A:E,5,FALSE),"No encontrado. Revisar código, fecha ejecución y/o contrato."),
IF(M769=$H$3,IFERROR(VLOOKUP(B769,#REF!,5,FALSE),"No encontrado. Revisar código, fecha ejecución y/o contrato."),
IF(D769="","Código no encontrado",
IF(D769="ERROR","No encontrado. Revisar Código, fecha de ejecución y/o contrato.",
IF(D769="MATE",
IF(C768="DESCRIPCION","NO SE PUEDE COMENZAR SIN CÓDIGO DE TAREA",
IF(C768="","FALTA CÓDIGO DE TAREA",
CONCATENATE("          ",VLOOKUP(B769,'Maestro Materiales'!A:C,3,FALSE)))),IFERROR(VLOOKUP(B769,#REF!,5,FALSE),"No encontrado. Revisar código, fecha ejecución y/o contrato."))))))))</f>
        <v/>
      </c>
      <c r="D769" s="88" t="str">
        <f>IF(B769="","",
IFERROR(VLOOKUP(B769,'Maestro Materiales'!A:C,2,FALSE),
IFERROR(VLOOKUP(B769,'Baremos actuales'!A:B,2,FALSE),
IFERROR(VLOOKUP(B769,'Baremos anteriores'!A:B,2,FALSE),
""))))</f>
        <v/>
      </c>
      <c r="E769" s="9"/>
      <c r="F769" s="89" t="str">
        <f>IF(D769="MATE",
IF(E769="","¿Unidades?",""),
IF(D769="",IF(E769="","","¿Código?"),
IF(E769="","¿Unidades?",
IF(D769="TARE",
IF(M769=$H$3,IFERROR(VLOOKUP(B769,'Baremos actuales'!A:C,3,FALSE),0),
IF(M769=$H$4,IFERROR(VLOOKUP(B769,'Baremos anteriores'!A:C,3,FALSE),0),0))))))</f>
        <v/>
      </c>
      <c r="G769" s="7"/>
      <c r="H769" s="8"/>
      <c r="I769" s="8"/>
      <c r="J769" s="78" t="str">
        <f>IF($D769="","",
IF($E769="","",
IF($D769="MATE","",
IF(VLOOKUP($B769,'Baremos actuales'!A:D,4,FALSE)=J$9,$E769*$F769,IF(VLOOKUP($B769,'Baremos anteriores'!A:D,4,FALSE)="Sin Definir",$E769*$F769,"")))))</f>
        <v/>
      </c>
      <c r="K769" s="79" t="str">
        <f>IF($D769="","",
IF($E769="","",
IF($D769="MATE","",
IF(VLOOKUP($B769,'Baremos actuales'!$A:$D,4,FALSE)=K$9,$E769*$F769,IF(VLOOKUP($B769,'Baremos anteriores'!$A:$D,4,FALSE)="Desmonte",$E769*$F769,"")))))</f>
        <v/>
      </c>
      <c r="L769" s="80" t="str">
        <f>IF($D769="","",
IF($E769="","",
IF($D769="MATE","",
IF(VLOOKUP($B769,'Baremos actuales'!$A:$D,4,FALSE)=L$9,$E769*$F769,""))))</f>
        <v/>
      </c>
      <c r="M769" s="91" t="str">
        <f t="shared" si="11"/>
        <v/>
      </c>
      <c r="N769" s="96"/>
      <c r="O769" s="95"/>
      <c r="P769" s="96"/>
      <c r="Q769" s="98"/>
    </row>
    <row r="770" spans="1:17" ht="15.75" x14ac:dyDescent="0.2">
      <c r="A770" s="17"/>
      <c r="B770" s="18"/>
      <c r="C770" s="87" t="str">
        <f>IF(B770="","",
IF(M770=$H$5,IFERROR(VLOOKUP(B770,'Baremos actuales'!A:E,5,FALSE),"No encontrado. Revisar código, fecha ejecución y/o contrato."),
IF(M770=$H$4,IFERROR(VLOOKUP(B770,'Baremos anteriores'!A:E,5,FALSE),"No encontrado. Revisar código, fecha ejecución y/o contrato."),
IF(M770=$H$3,IFERROR(VLOOKUP(B770,#REF!,5,FALSE),"No encontrado. Revisar código, fecha ejecución y/o contrato."),
IF(D770="","Código no encontrado",
IF(D770="ERROR","No encontrado. Revisar Código, fecha de ejecución y/o contrato.",
IF(D770="MATE",
IF(C769="DESCRIPCION","NO SE PUEDE COMENZAR SIN CÓDIGO DE TAREA",
IF(C769="","FALTA CÓDIGO DE TAREA",
CONCATENATE("          ",VLOOKUP(B770,'Maestro Materiales'!A:C,3,FALSE)))),IFERROR(VLOOKUP(B770,#REF!,5,FALSE),"No encontrado. Revisar código, fecha ejecución y/o contrato."))))))))</f>
        <v/>
      </c>
      <c r="D770" s="88" t="str">
        <f>IF(B770="","",
IFERROR(VLOOKUP(B770,'Maestro Materiales'!A:C,2,FALSE),
IFERROR(VLOOKUP(B770,'Baremos actuales'!A:B,2,FALSE),
IFERROR(VLOOKUP(B770,'Baremos anteriores'!A:B,2,FALSE),
""))))</f>
        <v/>
      </c>
      <c r="E770" s="9"/>
      <c r="F770" s="89" t="str">
        <f>IF(D770="MATE",
IF(E770="","¿Unidades?",""),
IF(D770="",IF(E770="","","¿Código?"),
IF(E770="","¿Unidades?",
IF(D770="TARE",
IF(M770=$H$3,IFERROR(VLOOKUP(B770,'Baremos actuales'!A:C,3,FALSE),0),
IF(M770=$H$4,IFERROR(VLOOKUP(B770,'Baremos anteriores'!A:C,3,FALSE),0),0))))))</f>
        <v/>
      </c>
      <c r="G770" s="7"/>
      <c r="H770" s="8"/>
      <c r="I770" s="8"/>
      <c r="J770" s="78" t="str">
        <f>IF($D770="","",
IF($E770="","",
IF($D770="MATE","",
IF(VLOOKUP($B770,'Baremos actuales'!A:D,4,FALSE)=J$9,$E770*$F770,IF(VLOOKUP($B770,'Baremos anteriores'!A:D,4,FALSE)="Sin Definir",$E770*$F770,"")))))</f>
        <v/>
      </c>
      <c r="K770" s="79" t="str">
        <f>IF($D770="","",
IF($E770="","",
IF($D770="MATE","",
IF(VLOOKUP($B770,'Baremos actuales'!$A:$D,4,FALSE)=K$9,$E770*$F770,IF(VLOOKUP($B770,'Baremos anteriores'!$A:$D,4,FALSE)="Desmonte",$E770*$F770,"")))))</f>
        <v/>
      </c>
      <c r="L770" s="80" t="str">
        <f>IF($D770="","",
IF($E770="","",
IF($D770="MATE","",
IF(VLOOKUP($B770,'Baremos actuales'!$A:$D,4,FALSE)=L$9,$E770*$F770,""))))</f>
        <v/>
      </c>
      <c r="M770" s="91" t="str">
        <f t="shared" si="11"/>
        <v/>
      </c>
      <c r="N770" s="96"/>
      <c r="O770" s="95"/>
      <c r="P770" s="96"/>
      <c r="Q770" s="98"/>
    </row>
    <row r="771" spans="1:17" ht="15.75" x14ac:dyDescent="0.2">
      <c r="A771" s="17"/>
      <c r="B771" s="18"/>
      <c r="C771" s="87" t="str">
        <f>IF(B771="","",
IF(M771=$H$5,IFERROR(VLOOKUP(B771,'Baremos actuales'!A:E,5,FALSE),"No encontrado. Revisar código, fecha ejecución y/o contrato."),
IF(M771=$H$4,IFERROR(VLOOKUP(B771,'Baremos anteriores'!A:E,5,FALSE),"No encontrado. Revisar código, fecha ejecución y/o contrato."),
IF(M771=$H$3,IFERROR(VLOOKUP(B771,#REF!,5,FALSE),"No encontrado. Revisar código, fecha ejecución y/o contrato."),
IF(D771="","Código no encontrado",
IF(D771="ERROR","No encontrado. Revisar Código, fecha de ejecución y/o contrato.",
IF(D771="MATE",
IF(C770="DESCRIPCION","NO SE PUEDE COMENZAR SIN CÓDIGO DE TAREA",
IF(C770="","FALTA CÓDIGO DE TAREA",
CONCATENATE("          ",VLOOKUP(B771,'Maestro Materiales'!A:C,3,FALSE)))),IFERROR(VLOOKUP(B771,#REF!,5,FALSE),"No encontrado. Revisar código, fecha ejecución y/o contrato."))))))))</f>
        <v/>
      </c>
      <c r="D771" s="88" t="str">
        <f>IF(B771="","",
IFERROR(VLOOKUP(B771,'Maestro Materiales'!A:C,2,FALSE),
IFERROR(VLOOKUP(B771,'Baremos actuales'!A:B,2,FALSE),
IFERROR(VLOOKUP(B771,'Baremos anteriores'!A:B,2,FALSE),
""))))</f>
        <v/>
      </c>
      <c r="E771" s="9"/>
      <c r="F771" s="89" t="str">
        <f>IF(D771="MATE",
IF(E771="","¿Unidades?",""),
IF(D771="",IF(E771="","","¿Código?"),
IF(E771="","¿Unidades?",
IF(D771="TARE",
IF(M771=$H$3,IFERROR(VLOOKUP(B771,'Baremos actuales'!A:C,3,FALSE),0),
IF(M771=$H$4,IFERROR(VLOOKUP(B771,'Baremos anteriores'!A:C,3,FALSE),0),0))))))</f>
        <v/>
      </c>
      <c r="G771" s="7"/>
      <c r="H771" s="8"/>
      <c r="I771" s="8"/>
      <c r="J771" s="78" t="str">
        <f>IF($D771="","",
IF($E771="","",
IF($D771="MATE","",
IF(VLOOKUP($B771,'Baremos actuales'!A:D,4,FALSE)=J$9,$E771*$F771,IF(VLOOKUP($B771,'Baremos anteriores'!A:D,4,FALSE)="Sin Definir",$E771*$F771,"")))))</f>
        <v/>
      </c>
      <c r="K771" s="79" t="str">
        <f>IF($D771="","",
IF($E771="","",
IF($D771="MATE","",
IF(VLOOKUP($B771,'Baremos actuales'!$A:$D,4,FALSE)=K$9,$E771*$F771,IF(VLOOKUP($B771,'Baremos anteriores'!$A:$D,4,FALSE)="Desmonte",$E771*$F771,"")))))</f>
        <v/>
      </c>
      <c r="L771" s="80" t="str">
        <f>IF($D771="","",
IF($E771="","",
IF($D771="MATE","",
IF(VLOOKUP($B771,'Baremos actuales'!$A:$D,4,FALSE)=L$9,$E771*$F771,""))))</f>
        <v/>
      </c>
      <c r="M771" s="91" t="str">
        <f t="shared" si="11"/>
        <v/>
      </c>
      <c r="N771" s="96"/>
      <c r="O771" s="95"/>
      <c r="P771" s="96"/>
      <c r="Q771" s="98"/>
    </row>
    <row r="772" spans="1:17" ht="15.75" x14ac:dyDescent="0.2">
      <c r="A772" s="17"/>
      <c r="B772" s="18"/>
      <c r="C772" s="87" t="str">
        <f>IF(B772="","",
IF(M772=$H$5,IFERROR(VLOOKUP(B772,'Baremos actuales'!A:E,5,FALSE),"No encontrado. Revisar código, fecha ejecución y/o contrato."),
IF(M772=$H$4,IFERROR(VLOOKUP(B772,'Baremos anteriores'!A:E,5,FALSE),"No encontrado. Revisar código, fecha ejecución y/o contrato."),
IF(M772=$H$3,IFERROR(VLOOKUP(B772,#REF!,5,FALSE),"No encontrado. Revisar código, fecha ejecución y/o contrato."),
IF(D772="","Código no encontrado",
IF(D772="ERROR","No encontrado. Revisar Código, fecha de ejecución y/o contrato.",
IF(D772="MATE",
IF(C771="DESCRIPCION","NO SE PUEDE COMENZAR SIN CÓDIGO DE TAREA",
IF(C771="","FALTA CÓDIGO DE TAREA",
CONCATENATE("          ",VLOOKUP(B772,'Maestro Materiales'!A:C,3,FALSE)))),IFERROR(VLOOKUP(B772,#REF!,5,FALSE),"No encontrado. Revisar código, fecha ejecución y/o contrato."))))))))</f>
        <v/>
      </c>
      <c r="D772" s="88" t="str">
        <f>IF(B772="","",
IFERROR(VLOOKUP(B772,'Maestro Materiales'!A:C,2,FALSE),
IFERROR(VLOOKUP(B772,'Baremos actuales'!A:B,2,FALSE),
IFERROR(VLOOKUP(B772,'Baremos anteriores'!A:B,2,FALSE),
""))))</f>
        <v/>
      </c>
      <c r="E772" s="9"/>
      <c r="F772" s="89" t="str">
        <f>IF(D772="MATE",
IF(E772="","¿Unidades?",""),
IF(D772="",IF(E772="","","¿Código?"),
IF(E772="","¿Unidades?",
IF(D772="TARE",
IF(M772=$H$3,IFERROR(VLOOKUP(B772,'Baremos actuales'!A:C,3,FALSE),0),
IF(M772=$H$4,IFERROR(VLOOKUP(B772,'Baremos anteriores'!A:C,3,FALSE),0),0))))))</f>
        <v/>
      </c>
      <c r="G772" s="7"/>
      <c r="H772" s="8"/>
      <c r="I772" s="8"/>
      <c r="J772" s="78" t="str">
        <f>IF($D772="","",
IF($E772="","",
IF($D772="MATE","",
IF(VLOOKUP($B772,'Baremos actuales'!A:D,4,FALSE)=J$9,$E772*$F772,IF(VLOOKUP($B772,'Baremos anteriores'!A:D,4,FALSE)="Sin Definir",$E772*$F772,"")))))</f>
        <v/>
      </c>
      <c r="K772" s="79" t="str">
        <f>IF($D772="","",
IF($E772="","",
IF($D772="MATE","",
IF(VLOOKUP($B772,'Baremos actuales'!$A:$D,4,FALSE)=K$9,$E772*$F772,IF(VLOOKUP($B772,'Baremos anteriores'!$A:$D,4,FALSE)="Desmonte",$E772*$F772,"")))))</f>
        <v/>
      </c>
      <c r="L772" s="80" t="str">
        <f>IF($D772="","",
IF($E772="","",
IF($D772="MATE","",
IF(VLOOKUP($B772,'Baremos actuales'!$A:$D,4,FALSE)=L$9,$E772*$F772,""))))</f>
        <v/>
      </c>
      <c r="M772" s="91" t="str">
        <f t="shared" si="11"/>
        <v/>
      </c>
      <c r="N772" s="96"/>
      <c r="O772" s="95"/>
      <c r="P772" s="96"/>
      <c r="Q772" s="98"/>
    </row>
    <row r="773" spans="1:17" ht="15.75" x14ac:dyDescent="0.2">
      <c r="A773" s="17"/>
      <c r="B773" s="18"/>
      <c r="C773" s="87" t="str">
        <f>IF(B773="","",
IF(M773=$H$5,IFERROR(VLOOKUP(B773,'Baremos actuales'!A:E,5,FALSE),"No encontrado. Revisar código, fecha ejecución y/o contrato."),
IF(M773=$H$4,IFERROR(VLOOKUP(B773,'Baremos anteriores'!A:E,5,FALSE),"No encontrado. Revisar código, fecha ejecución y/o contrato."),
IF(M773=$H$3,IFERROR(VLOOKUP(B773,#REF!,5,FALSE),"No encontrado. Revisar código, fecha ejecución y/o contrato."),
IF(D773="","Código no encontrado",
IF(D773="ERROR","No encontrado. Revisar Código, fecha de ejecución y/o contrato.",
IF(D773="MATE",
IF(C772="DESCRIPCION","NO SE PUEDE COMENZAR SIN CÓDIGO DE TAREA",
IF(C772="","FALTA CÓDIGO DE TAREA",
CONCATENATE("          ",VLOOKUP(B773,'Maestro Materiales'!A:C,3,FALSE)))),IFERROR(VLOOKUP(B773,#REF!,5,FALSE),"No encontrado. Revisar código, fecha ejecución y/o contrato."))))))))</f>
        <v/>
      </c>
      <c r="D773" s="88" t="str">
        <f>IF(B773="","",
IFERROR(VLOOKUP(B773,'Maestro Materiales'!A:C,2,FALSE),
IFERROR(VLOOKUP(B773,'Baremos actuales'!A:B,2,FALSE),
IFERROR(VLOOKUP(B773,'Baremos anteriores'!A:B,2,FALSE),
""))))</f>
        <v/>
      </c>
      <c r="E773" s="9"/>
      <c r="F773" s="89" t="str">
        <f>IF(D773="MATE",
IF(E773="","¿Unidades?",""),
IF(D773="",IF(E773="","","¿Código?"),
IF(E773="","¿Unidades?",
IF(D773="TARE",
IF(M773=$H$3,IFERROR(VLOOKUP(B773,'Baremos actuales'!A:C,3,FALSE),0),
IF(M773=$H$4,IFERROR(VLOOKUP(B773,'Baremos anteriores'!A:C,3,FALSE),0),0))))))</f>
        <v/>
      </c>
      <c r="G773" s="7"/>
      <c r="H773" s="8"/>
      <c r="I773" s="8"/>
      <c r="J773" s="78" t="str">
        <f>IF($D773="","",
IF($E773="","",
IF($D773="MATE","",
IF(VLOOKUP($B773,'Baremos actuales'!A:D,4,FALSE)=J$9,$E773*$F773,IF(VLOOKUP($B773,'Baremos anteriores'!A:D,4,FALSE)="Sin Definir",$E773*$F773,"")))))</f>
        <v/>
      </c>
      <c r="K773" s="79" t="str">
        <f>IF($D773="","",
IF($E773="","",
IF($D773="MATE","",
IF(VLOOKUP($B773,'Baremos actuales'!$A:$D,4,FALSE)=K$9,$E773*$F773,IF(VLOOKUP($B773,'Baremos anteriores'!$A:$D,4,FALSE)="Desmonte",$E773*$F773,"")))))</f>
        <v/>
      </c>
      <c r="L773" s="80" t="str">
        <f>IF($D773="","",
IF($E773="","",
IF($D773="MATE","",
IF(VLOOKUP($B773,'Baremos actuales'!$A:$D,4,FALSE)=L$9,$E773*$F773,""))))</f>
        <v/>
      </c>
      <c r="M773" s="91" t="str">
        <f t="shared" si="11"/>
        <v/>
      </c>
      <c r="N773" s="96"/>
      <c r="O773" s="95"/>
      <c r="P773" s="96"/>
      <c r="Q773" s="98"/>
    </row>
    <row r="774" spans="1:17" ht="15.75" x14ac:dyDescent="0.2">
      <c r="A774" s="17"/>
      <c r="B774" s="18"/>
      <c r="C774" s="87" t="str">
        <f>IF(B774="","",
IF(M774=$H$5,IFERROR(VLOOKUP(B774,'Baremos actuales'!A:E,5,FALSE),"No encontrado. Revisar código, fecha ejecución y/o contrato."),
IF(M774=$H$4,IFERROR(VLOOKUP(B774,'Baremos anteriores'!A:E,5,FALSE),"No encontrado. Revisar código, fecha ejecución y/o contrato."),
IF(M774=$H$3,IFERROR(VLOOKUP(B774,#REF!,5,FALSE),"No encontrado. Revisar código, fecha ejecución y/o contrato."),
IF(D774="","Código no encontrado",
IF(D774="ERROR","No encontrado. Revisar Código, fecha de ejecución y/o contrato.",
IF(D774="MATE",
IF(C773="DESCRIPCION","NO SE PUEDE COMENZAR SIN CÓDIGO DE TAREA",
IF(C773="","FALTA CÓDIGO DE TAREA",
CONCATENATE("          ",VLOOKUP(B774,'Maestro Materiales'!A:C,3,FALSE)))),IFERROR(VLOOKUP(B774,#REF!,5,FALSE),"No encontrado. Revisar código, fecha ejecución y/o contrato."))))))))</f>
        <v/>
      </c>
      <c r="D774" s="88" t="str">
        <f>IF(B774="","",
IFERROR(VLOOKUP(B774,'Maestro Materiales'!A:C,2,FALSE),
IFERROR(VLOOKUP(B774,'Baremos actuales'!A:B,2,FALSE),
IFERROR(VLOOKUP(B774,'Baremos anteriores'!A:B,2,FALSE),
""))))</f>
        <v/>
      </c>
      <c r="E774" s="9"/>
      <c r="F774" s="89" t="str">
        <f>IF(D774="MATE",
IF(E774="","¿Unidades?",""),
IF(D774="",IF(E774="","","¿Código?"),
IF(E774="","¿Unidades?",
IF(D774="TARE",
IF(M774=$H$3,IFERROR(VLOOKUP(B774,'Baremos actuales'!A:C,3,FALSE),0),
IF(M774=$H$4,IFERROR(VLOOKUP(B774,'Baremos anteriores'!A:C,3,FALSE),0),0))))))</f>
        <v/>
      </c>
      <c r="G774" s="7"/>
      <c r="H774" s="8"/>
      <c r="I774" s="8"/>
      <c r="J774" s="78" t="str">
        <f>IF($D774="","",
IF($E774="","",
IF($D774="MATE","",
IF(VLOOKUP($B774,'Baremos actuales'!A:D,4,FALSE)=J$9,$E774*$F774,IF(VLOOKUP($B774,'Baremos anteriores'!A:D,4,FALSE)="Sin Definir",$E774*$F774,"")))))</f>
        <v/>
      </c>
      <c r="K774" s="79" t="str">
        <f>IF($D774="","",
IF($E774="","",
IF($D774="MATE","",
IF(VLOOKUP($B774,'Baremos actuales'!$A:$D,4,FALSE)=K$9,$E774*$F774,IF(VLOOKUP($B774,'Baremos anteriores'!$A:$D,4,FALSE)="Desmonte",$E774*$F774,"")))))</f>
        <v/>
      </c>
      <c r="L774" s="80" t="str">
        <f>IF($D774="","",
IF($E774="","",
IF($D774="MATE","",
IF(VLOOKUP($B774,'Baremos actuales'!$A:$D,4,FALSE)=L$9,$E774*$F774,""))))</f>
        <v/>
      </c>
      <c r="M774" s="91" t="str">
        <f t="shared" si="11"/>
        <v/>
      </c>
      <c r="N774" s="96"/>
      <c r="O774" s="95"/>
      <c r="P774" s="96"/>
      <c r="Q774" s="98"/>
    </row>
    <row r="775" spans="1:17" ht="15.75" x14ac:dyDescent="0.2">
      <c r="A775" s="17"/>
      <c r="B775" s="18"/>
      <c r="C775" s="87" t="str">
        <f>IF(B775="","",
IF(M775=$H$5,IFERROR(VLOOKUP(B775,'Baremos actuales'!A:E,5,FALSE),"No encontrado. Revisar código, fecha ejecución y/o contrato."),
IF(M775=$H$4,IFERROR(VLOOKUP(B775,'Baremos anteriores'!A:E,5,FALSE),"No encontrado. Revisar código, fecha ejecución y/o contrato."),
IF(M775=$H$3,IFERROR(VLOOKUP(B775,#REF!,5,FALSE),"No encontrado. Revisar código, fecha ejecución y/o contrato."),
IF(D775="","Código no encontrado",
IF(D775="ERROR","No encontrado. Revisar Código, fecha de ejecución y/o contrato.",
IF(D775="MATE",
IF(C774="DESCRIPCION","NO SE PUEDE COMENZAR SIN CÓDIGO DE TAREA",
IF(C774="","FALTA CÓDIGO DE TAREA",
CONCATENATE("          ",VLOOKUP(B775,'Maestro Materiales'!A:C,3,FALSE)))),IFERROR(VLOOKUP(B775,#REF!,5,FALSE),"No encontrado. Revisar código, fecha ejecución y/o contrato."))))))))</f>
        <v/>
      </c>
      <c r="D775" s="88" t="str">
        <f>IF(B775="","",
IFERROR(VLOOKUP(B775,'Maestro Materiales'!A:C,2,FALSE),
IFERROR(VLOOKUP(B775,'Baremos actuales'!A:B,2,FALSE),
IFERROR(VLOOKUP(B775,'Baremos anteriores'!A:B,2,FALSE),
""))))</f>
        <v/>
      </c>
      <c r="E775" s="9"/>
      <c r="F775" s="89" t="str">
        <f>IF(D775="MATE",
IF(E775="","¿Unidades?",""),
IF(D775="",IF(E775="","","¿Código?"),
IF(E775="","¿Unidades?",
IF(D775="TARE",
IF(M775=$H$3,IFERROR(VLOOKUP(B775,'Baremos actuales'!A:C,3,FALSE),0),
IF(M775=$H$4,IFERROR(VLOOKUP(B775,'Baremos anteriores'!A:C,3,FALSE),0),0))))))</f>
        <v/>
      </c>
      <c r="G775" s="7"/>
      <c r="H775" s="8"/>
      <c r="I775" s="8"/>
      <c r="J775" s="78" t="str">
        <f>IF($D775="","",
IF($E775="","",
IF($D775="MATE","",
IF(VLOOKUP($B775,'Baremos actuales'!A:D,4,FALSE)=J$9,$E775*$F775,IF(VLOOKUP($B775,'Baremos anteriores'!A:D,4,FALSE)="Sin Definir",$E775*$F775,"")))))</f>
        <v/>
      </c>
      <c r="K775" s="79" t="str">
        <f>IF($D775="","",
IF($E775="","",
IF($D775="MATE","",
IF(VLOOKUP($B775,'Baremos actuales'!$A:$D,4,FALSE)=K$9,$E775*$F775,IF(VLOOKUP($B775,'Baremos anteriores'!$A:$D,4,FALSE)="Desmonte",$E775*$F775,"")))))</f>
        <v/>
      </c>
      <c r="L775" s="80" t="str">
        <f>IF($D775="","",
IF($E775="","",
IF($D775="MATE","",
IF(VLOOKUP($B775,'Baremos actuales'!$A:$D,4,FALSE)=L$9,$E775*$F775,""))))</f>
        <v/>
      </c>
      <c r="M775" s="91" t="str">
        <f t="shared" si="11"/>
        <v/>
      </c>
      <c r="N775" s="96"/>
      <c r="O775" s="95"/>
      <c r="P775" s="96"/>
      <c r="Q775" s="98"/>
    </row>
    <row r="776" spans="1:17" ht="15.75" x14ac:dyDescent="0.2">
      <c r="A776" s="17"/>
      <c r="B776" s="18"/>
      <c r="C776" s="87" t="str">
        <f>IF(B776="","",
IF(M776=$H$5,IFERROR(VLOOKUP(B776,'Baremos actuales'!A:E,5,FALSE),"No encontrado. Revisar código, fecha ejecución y/o contrato."),
IF(M776=$H$4,IFERROR(VLOOKUP(B776,'Baremos anteriores'!A:E,5,FALSE),"No encontrado. Revisar código, fecha ejecución y/o contrato."),
IF(M776=$H$3,IFERROR(VLOOKUP(B776,#REF!,5,FALSE),"No encontrado. Revisar código, fecha ejecución y/o contrato."),
IF(D776="","Código no encontrado",
IF(D776="ERROR","No encontrado. Revisar Código, fecha de ejecución y/o contrato.",
IF(D776="MATE",
IF(C775="DESCRIPCION","NO SE PUEDE COMENZAR SIN CÓDIGO DE TAREA",
IF(C775="","FALTA CÓDIGO DE TAREA",
CONCATENATE("          ",VLOOKUP(B776,'Maestro Materiales'!A:C,3,FALSE)))),IFERROR(VLOOKUP(B776,#REF!,5,FALSE),"No encontrado. Revisar código, fecha ejecución y/o contrato."))))))))</f>
        <v/>
      </c>
      <c r="D776" s="88" t="str">
        <f>IF(B776="","",
IFERROR(VLOOKUP(B776,'Maestro Materiales'!A:C,2,FALSE),
IFERROR(VLOOKUP(B776,'Baremos actuales'!A:B,2,FALSE),
IFERROR(VLOOKUP(B776,'Baremos anteriores'!A:B,2,FALSE),
""))))</f>
        <v/>
      </c>
      <c r="E776" s="9"/>
      <c r="F776" s="89" t="str">
        <f>IF(D776="MATE",
IF(E776="","¿Unidades?",""),
IF(D776="",IF(E776="","","¿Código?"),
IF(E776="","¿Unidades?",
IF(D776="TARE",
IF(M776=$H$3,IFERROR(VLOOKUP(B776,'Baremos actuales'!A:C,3,FALSE),0),
IF(M776=$H$4,IFERROR(VLOOKUP(B776,'Baremos anteriores'!A:C,3,FALSE),0),0))))))</f>
        <v/>
      </c>
      <c r="G776" s="7"/>
      <c r="H776" s="8"/>
      <c r="I776" s="8"/>
      <c r="J776" s="78" t="str">
        <f>IF($D776="","",
IF($E776="","",
IF($D776="MATE","",
IF(VLOOKUP($B776,'Baremos actuales'!A:D,4,FALSE)=J$9,$E776*$F776,IF(VLOOKUP($B776,'Baremos anteriores'!A:D,4,FALSE)="Sin Definir",$E776*$F776,"")))))</f>
        <v/>
      </c>
      <c r="K776" s="79" t="str">
        <f>IF($D776="","",
IF($E776="","",
IF($D776="MATE","",
IF(VLOOKUP($B776,'Baremos actuales'!$A:$D,4,FALSE)=K$9,$E776*$F776,IF(VLOOKUP($B776,'Baremos anteriores'!$A:$D,4,FALSE)="Desmonte",$E776*$F776,"")))))</f>
        <v/>
      </c>
      <c r="L776" s="80" t="str">
        <f>IF($D776="","",
IF($E776="","",
IF($D776="MATE","",
IF(VLOOKUP($B776,'Baremos actuales'!$A:$D,4,FALSE)=L$9,$E776*$F776,""))))</f>
        <v/>
      </c>
      <c r="M776" s="91" t="str">
        <f t="shared" si="11"/>
        <v/>
      </c>
      <c r="N776" s="96"/>
      <c r="O776" s="95"/>
      <c r="P776" s="96"/>
      <c r="Q776" s="98"/>
    </row>
    <row r="777" spans="1:17" ht="15.75" x14ac:dyDescent="0.2">
      <c r="A777" s="17"/>
      <c r="B777" s="18"/>
      <c r="C777" s="87" t="str">
        <f>IF(B777="","",
IF(M777=$H$5,IFERROR(VLOOKUP(B777,'Baremos actuales'!A:E,5,FALSE),"No encontrado. Revisar código, fecha ejecución y/o contrato."),
IF(M777=$H$4,IFERROR(VLOOKUP(B777,'Baremos anteriores'!A:E,5,FALSE),"No encontrado. Revisar código, fecha ejecución y/o contrato."),
IF(M777=$H$3,IFERROR(VLOOKUP(B777,#REF!,5,FALSE),"No encontrado. Revisar código, fecha ejecución y/o contrato."),
IF(D777="","Código no encontrado",
IF(D777="ERROR","No encontrado. Revisar Código, fecha de ejecución y/o contrato.",
IF(D777="MATE",
IF(C776="DESCRIPCION","NO SE PUEDE COMENZAR SIN CÓDIGO DE TAREA",
IF(C776="","FALTA CÓDIGO DE TAREA",
CONCATENATE("          ",VLOOKUP(B777,'Maestro Materiales'!A:C,3,FALSE)))),IFERROR(VLOOKUP(B777,#REF!,5,FALSE),"No encontrado. Revisar código, fecha ejecución y/o contrato."))))))))</f>
        <v/>
      </c>
      <c r="D777" s="88" t="str">
        <f>IF(B777="","",
IFERROR(VLOOKUP(B777,'Maestro Materiales'!A:C,2,FALSE),
IFERROR(VLOOKUP(B777,'Baremos actuales'!A:B,2,FALSE),
IFERROR(VLOOKUP(B777,'Baremos anteriores'!A:B,2,FALSE),
""))))</f>
        <v/>
      </c>
      <c r="E777" s="9"/>
      <c r="F777" s="89" t="str">
        <f>IF(D777="MATE",
IF(E777="","¿Unidades?",""),
IF(D777="",IF(E777="","","¿Código?"),
IF(E777="","¿Unidades?",
IF(D777="TARE",
IF(M777=$H$3,IFERROR(VLOOKUP(B777,'Baremos actuales'!A:C,3,FALSE),0),
IF(M777=$H$4,IFERROR(VLOOKUP(B777,'Baremos anteriores'!A:C,3,FALSE),0),0))))))</f>
        <v/>
      </c>
      <c r="G777" s="7"/>
      <c r="H777" s="8"/>
      <c r="I777" s="8"/>
      <c r="J777" s="78" t="str">
        <f>IF($D777="","",
IF($E777="","",
IF($D777="MATE","",
IF(VLOOKUP($B777,'Baremos actuales'!A:D,4,FALSE)=J$9,$E777*$F777,IF(VLOOKUP($B777,'Baremos anteriores'!A:D,4,FALSE)="Sin Definir",$E777*$F777,"")))))</f>
        <v/>
      </c>
      <c r="K777" s="79" t="str">
        <f>IF($D777="","",
IF($E777="","",
IF($D777="MATE","",
IF(VLOOKUP($B777,'Baremos actuales'!$A:$D,4,FALSE)=K$9,$E777*$F777,IF(VLOOKUP($B777,'Baremos anteriores'!$A:$D,4,FALSE)="Desmonte",$E777*$F777,"")))))</f>
        <v/>
      </c>
      <c r="L777" s="80" t="str">
        <f>IF($D777="","",
IF($E777="","",
IF($D777="MATE","",
IF(VLOOKUP($B777,'Baremos actuales'!$A:$D,4,FALSE)=L$9,$E777*$F777,""))))</f>
        <v/>
      </c>
      <c r="M777" s="91" t="str">
        <f t="shared" si="11"/>
        <v/>
      </c>
      <c r="N777" s="96"/>
      <c r="O777" s="95"/>
      <c r="P777" s="96"/>
      <c r="Q777" s="98"/>
    </row>
    <row r="778" spans="1:17" ht="15.75" x14ac:dyDescent="0.2">
      <c r="A778" s="17"/>
      <c r="B778" s="18"/>
      <c r="C778" s="87" t="str">
        <f>IF(B778="","",
IF(M778=$H$5,IFERROR(VLOOKUP(B778,'Baremos actuales'!A:E,5,FALSE),"No encontrado. Revisar código, fecha ejecución y/o contrato."),
IF(M778=$H$4,IFERROR(VLOOKUP(B778,'Baremos anteriores'!A:E,5,FALSE),"No encontrado. Revisar código, fecha ejecución y/o contrato."),
IF(M778=$H$3,IFERROR(VLOOKUP(B778,#REF!,5,FALSE),"No encontrado. Revisar código, fecha ejecución y/o contrato."),
IF(D778="","Código no encontrado",
IF(D778="ERROR","No encontrado. Revisar Código, fecha de ejecución y/o contrato.",
IF(D778="MATE",
IF(C777="DESCRIPCION","NO SE PUEDE COMENZAR SIN CÓDIGO DE TAREA",
IF(C777="","FALTA CÓDIGO DE TAREA",
CONCATENATE("          ",VLOOKUP(B778,'Maestro Materiales'!A:C,3,FALSE)))),IFERROR(VLOOKUP(B778,#REF!,5,FALSE),"No encontrado. Revisar código, fecha ejecución y/o contrato."))))))))</f>
        <v/>
      </c>
      <c r="D778" s="88" t="str">
        <f>IF(B778="","",
IFERROR(VLOOKUP(B778,'Maestro Materiales'!A:C,2,FALSE),
IFERROR(VLOOKUP(B778,'Baremos actuales'!A:B,2,FALSE),
IFERROR(VLOOKUP(B778,'Baremos anteriores'!A:B,2,FALSE),
""))))</f>
        <v/>
      </c>
      <c r="E778" s="9"/>
      <c r="F778" s="89" t="str">
        <f>IF(D778="MATE",
IF(E778="","¿Unidades?",""),
IF(D778="",IF(E778="","","¿Código?"),
IF(E778="","¿Unidades?",
IF(D778="TARE",
IF(M778=$H$3,IFERROR(VLOOKUP(B778,'Baremos actuales'!A:C,3,FALSE),0),
IF(M778=$H$4,IFERROR(VLOOKUP(B778,'Baremos anteriores'!A:C,3,FALSE),0),0))))))</f>
        <v/>
      </c>
      <c r="G778" s="7"/>
      <c r="H778" s="8"/>
      <c r="I778" s="8"/>
      <c r="J778" s="78" t="str">
        <f>IF($D778="","",
IF($E778="","",
IF($D778="MATE","",
IF(VLOOKUP($B778,'Baremos actuales'!A:D,4,FALSE)=J$9,$E778*$F778,IF(VLOOKUP($B778,'Baremos anteriores'!A:D,4,FALSE)="Sin Definir",$E778*$F778,"")))))</f>
        <v/>
      </c>
      <c r="K778" s="79" t="str">
        <f>IF($D778="","",
IF($E778="","",
IF($D778="MATE","",
IF(VLOOKUP($B778,'Baremos actuales'!$A:$D,4,FALSE)=K$9,$E778*$F778,IF(VLOOKUP($B778,'Baremos anteriores'!$A:$D,4,FALSE)="Desmonte",$E778*$F778,"")))))</f>
        <v/>
      </c>
      <c r="L778" s="80" t="str">
        <f>IF($D778="","",
IF($E778="","",
IF($D778="MATE","",
IF(VLOOKUP($B778,'Baremos actuales'!$A:$D,4,FALSE)=L$9,$E778*$F778,""))))</f>
        <v/>
      </c>
      <c r="M778" s="91" t="str">
        <f t="shared" si="11"/>
        <v/>
      </c>
      <c r="N778" s="96"/>
      <c r="O778" s="95"/>
      <c r="P778" s="96"/>
      <c r="Q778" s="98"/>
    </row>
    <row r="779" spans="1:17" ht="15.75" x14ac:dyDescent="0.2">
      <c r="A779" s="17"/>
      <c r="B779" s="18"/>
      <c r="C779" s="87" t="str">
        <f>IF(B779="","",
IF(M779=$H$5,IFERROR(VLOOKUP(B779,'Baremos actuales'!A:E,5,FALSE),"No encontrado. Revisar código, fecha ejecución y/o contrato."),
IF(M779=$H$4,IFERROR(VLOOKUP(B779,'Baremos anteriores'!A:E,5,FALSE),"No encontrado. Revisar código, fecha ejecución y/o contrato."),
IF(M779=$H$3,IFERROR(VLOOKUP(B779,#REF!,5,FALSE),"No encontrado. Revisar código, fecha ejecución y/o contrato."),
IF(D779="","Código no encontrado",
IF(D779="ERROR","No encontrado. Revisar Código, fecha de ejecución y/o contrato.",
IF(D779="MATE",
IF(C778="DESCRIPCION","NO SE PUEDE COMENZAR SIN CÓDIGO DE TAREA",
IF(C778="","FALTA CÓDIGO DE TAREA",
CONCATENATE("          ",VLOOKUP(B779,'Maestro Materiales'!A:C,3,FALSE)))),IFERROR(VLOOKUP(B779,#REF!,5,FALSE),"No encontrado. Revisar código, fecha ejecución y/o contrato."))))))))</f>
        <v/>
      </c>
      <c r="D779" s="88" t="str">
        <f>IF(B779="","",
IFERROR(VLOOKUP(B779,'Maestro Materiales'!A:C,2,FALSE),
IFERROR(VLOOKUP(B779,'Baremos actuales'!A:B,2,FALSE),
IFERROR(VLOOKUP(B779,'Baremos anteriores'!A:B,2,FALSE),
""))))</f>
        <v/>
      </c>
      <c r="E779" s="9"/>
      <c r="F779" s="89" t="str">
        <f>IF(D779="MATE",
IF(E779="","¿Unidades?",""),
IF(D779="",IF(E779="","","¿Código?"),
IF(E779="","¿Unidades?",
IF(D779="TARE",
IF(M779=$H$3,IFERROR(VLOOKUP(B779,'Baremos actuales'!A:C,3,FALSE),0),
IF(M779=$H$4,IFERROR(VLOOKUP(B779,'Baremos anteriores'!A:C,3,FALSE),0),0))))))</f>
        <v/>
      </c>
      <c r="G779" s="7"/>
      <c r="H779" s="8"/>
      <c r="I779" s="8"/>
      <c r="J779" s="78" t="str">
        <f>IF($D779="","",
IF($E779="","",
IF($D779="MATE","",
IF(VLOOKUP($B779,'Baremos actuales'!A:D,4,FALSE)=J$9,$E779*$F779,IF(VLOOKUP($B779,'Baremos anteriores'!A:D,4,FALSE)="Sin Definir",$E779*$F779,"")))))</f>
        <v/>
      </c>
      <c r="K779" s="79" t="str">
        <f>IF($D779="","",
IF($E779="","",
IF($D779="MATE","",
IF(VLOOKUP($B779,'Baremos actuales'!$A:$D,4,FALSE)=K$9,$E779*$F779,IF(VLOOKUP($B779,'Baremos anteriores'!$A:$D,4,FALSE)="Desmonte",$E779*$F779,"")))))</f>
        <v/>
      </c>
      <c r="L779" s="80" t="str">
        <f>IF($D779="","",
IF($E779="","",
IF($D779="MATE","",
IF(VLOOKUP($B779,'Baremos actuales'!$A:$D,4,FALSE)=L$9,$E779*$F779,""))))</f>
        <v/>
      </c>
      <c r="M779" s="91" t="str">
        <f t="shared" ref="M779:M842" si="12">IF(D779="MATE","Materiales",IF(B779="","",
IF($Q$1="O","Obsoleto",$F$2)))</f>
        <v/>
      </c>
      <c r="N779" s="96"/>
      <c r="O779" s="95"/>
      <c r="P779" s="96"/>
      <c r="Q779" s="98"/>
    </row>
    <row r="780" spans="1:17" ht="15.75" x14ac:dyDescent="0.2">
      <c r="A780" s="17"/>
      <c r="B780" s="18"/>
      <c r="C780" s="87" t="str">
        <f>IF(B780="","",
IF(M780=$H$5,IFERROR(VLOOKUP(B780,'Baremos actuales'!A:E,5,FALSE),"No encontrado. Revisar código, fecha ejecución y/o contrato."),
IF(M780=$H$4,IFERROR(VLOOKUP(B780,'Baremos anteriores'!A:E,5,FALSE),"No encontrado. Revisar código, fecha ejecución y/o contrato."),
IF(M780=$H$3,IFERROR(VLOOKUP(B780,#REF!,5,FALSE),"No encontrado. Revisar código, fecha ejecución y/o contrato."),
IF(D780="","Código no encontrado",
IF(D780="ERROR","No encontrado. Revisar Código, fecha de ejecución y/o contrato.",
IF(D780="MATE",
IF(C779="DESCRIPCION","NO SE PUEDE COMENZAR SIN CÓDIGO DE TAREA",
IF(C779="","FALTA CÓDIGO DE TAREA",
CONCATENATE("          ",VLOOKUP(B780,'Maestro Materiales'!A:C,3,FALSE)))),IFERROR(VLOOKUP(B780,#REF!,5,FALSE),"No encontrado. Revisar código, fecha ejecución y/o contrato."))))))))</f>
        <v/>
      </c>
      <c r="D780" s="88" t="str">
        <f>IF(B780="","",
IFERROR(VLOOKUP(B780,'Maestro Materiales'!A:C,2,FALSE),
IFERROR(VLOOKUP(B780,'Baremos actuales'!A:B,2,FALSE),
IFERROR(VLOOKUP(B780,'Baremos anteriores'!A:B,2,FALSE),
""))))</f>
        <v/>
      </c>
      <c r="E780" s="9"/>
      <c r="F780" s="89" t="str">
        <f>IF(D780="MATE",
IF(E780="","¿Unidades?",""),
IF(D780="",IF(E780="","","¿Código?"),
IF(E780="","¿Unidades?",
IF(D780="TARE",
IF(M780=$H$3,IFERROR(VLOOKUP(B780,'Baremos actuales'!A:C,3,FALSE),0),
IF(M780=$H$4,IFERROR(VLOOKUP(B780,'Baremos anteriores'!A:C,3,FALSE),0),0))))))</f>
        <v/>
      </c>
      <c r="G780" s="7"/>
      <c r="H780" s="8"/>
      <c r="I780" s="8"/>
      <c r="J780" s="78" t="str">
        <f>IF($D780="","",
IF($E780="","",
IF($D780="MATE","",
IF(VLOOKUP($B780,'Baremos actuales'!A:D,4,FALSE)=J$9,$E780*$F780,IF(VLOOKUP($B780,'Baremos anteriores'!A:D,4,FALSE)="Sin Definir",$E780*$F780,"")))))</f>
        <v/>
      </c>
      <c r="K780" s="79" t="str">
        <f>IF($D780="","",
IF($E780="","",
IF($D780="MATE","",
IF(VLOOKUP($B780,'Baremos actuales'!$A:$D,4,FALSE)=K$9,$E780*$F780,IF(VLOOKUP($B780,'Baremos anteriores'!$A:$D,4,FALSE)="Desmonte",$E780*$F780,"")))))</f>
        <v/>
      </c>
      <c r="L780" s="80" t="str">
        <f>IF($D780="","",
IF($E780="","",
IF($D780="MATE","",
IF(VLOOKUP($B780,'Baremos actuales'!$A:$D,4,FALSE)=L$9,$E780*$F780,""))))</f>
        <v/>
      </c>
      <c r="M780" s="91" t="str">
        <f t="shared" si="12"/>
        <v/>
      </c>
      <c r="N780" s="96"/>
      <c r="O780" s="95"/>
      <c r="P780" s="96"/>
      <c r="Q780" s="98"/>
    </row>
    <row r="781" spans="1:17" ht="15.75" x14ac:dyDescent="0.2">
      <c r="A781" s="17"/>
      <c r="B781" s="18"/>
      <c r="C781" s="87" t="str">
        <f>IF(B781="","",
IF(M781=$H$5,IFERROR(VLOOKUP(B781,'Baremos actuales'!A:E,5,FALSE),"No encontrado. Revisar código, fecha ejecución y/o contrato."),
IF(M781=$H$4,IFERROR(VLOOKUP(B781,'Baremos anteriores'!A:E,5,FALSE),"No encontrado. Revisar código, fecha ejecución y/o contrato."),
IF(M781=$H$3,IFERROR(VLOOKUP(B781,#REF!,5,FALSE),"No encontrado. Revisar código, fecha ejecución y/o contrato."),
IF(D781="","Código no encontrado",
IF(D781="ERROR","No encontrado. Revisar Código, fecha de ejecución y/o contrato.",
IF(D781="MATE",
IF(C780="DESCRIPCION","NO SE PUEDE COMENZAR SIN CÓDIGO DE TAREA",
IF(C780="","FALTA CÓDIGO DE TAREA",
CONCATENATE("          ",VLOOKUP(B781,'Maestro Materiales'!A:C,3,FALSE)))),IFERROR(VLOOKUP(B781,#REF!,5,FALSE),"No encontrado. Revisar código, fecha ejecución y/o contrato."))))))))</f>
        <v/>
      </c>
      <c r="D781" s="88" t="str">
        <f>IF(B781="","",
IFERROR(VLOOKUP(B781,'Maestro Materiales'!A:C,2,FALSE),
IFERROR(VLOOKUP(B781,'Baremos actuales'!A:B,2,FALSE),
IFERROR(VLOOKUP(B781,'Baremos anteriores'!A:B,2,FALSE),
""))))</f>
        <v/>
      </c>
      <c r="E781" s="9"/>
      <c r="F781" s="89" t="str">
        <f>IF(D781="MATE",
IF(E781="","¿Unidades?",""),
IF(D781="",IF(E781="","","¿Código?"),
IF(E781="","¿Unidades?",
IF(D781="TARE",
IF(M781=$H$3,IFERROR(VLOOKUP(B781,'Baremos actuales'!A:C,3,FALSE),0),
IF(M781=$H$4,IFERROR(VLOOKUP(B781,'Baremos anteriores'!A:C,3,FALSE),0),0))))))</f>
        <v/>
      </c>
      <c r="G781" s="7"/>
      <c r="H781" s="8"/>
      <c r="I781" s="8"/>
      <c r="J781" s="78" t="str">
        <f>IF($D781="","",
IF($E781="","",
IF($D781="MATE","",
IF(VLOOKUP($B781,'Baremos actuales'!A:D,4,FALSE)=J$9,$E781*$F781,IF(VLOOKUP($B781,'Baremos anteriores'!A:D,4,FALSE)="Sin Definir",$E781*$F781,"")))))</f>
        <v/>
      </c>
      <c r="K781" s="79" t="str">
        <f>IF($D781="","",
IF($E781="","",
IF($D781="MATE","",
IF(VLOOKUP($B781,'Baremos actuales'!$A:$D,4,FALSE)=K$9,$E781*$F781,IF(VLOOKUP($B781,'Baremos anteriores'!$A:$D,4,FALSE)="Desmonte",$E781*$F781,"")))))</f>
        <v/>
      </c>
      <c r="L781" s="80" t="str">
        <f>IF($D781="","",
IF($E781="","",
IF($D781="MATE","",
IF(VLOOKUP($B781,'Baremos actuales'!$A:$D,4,FALSE)=L$9,$E781*$F781,""))))</f>
        <v/>
      </c>
      <c r="M781" s="91" t="str">
        <f t="shared" si="12"/>
        <v/>
      </c>
      <c r="N781" s="96"/>
      <c r="O781" s="95"/>
      <c r="P781" s="96"/>
      <c r="Q781" s="98"/>
    </row>
    <row r="782" spans="1:17" ht="15.75" x14ac:dyDescent="0.2">
      <c r="A782" s="17"/>
      <c r="B782" s="18"/>
      <c r="C782" s="87" t="str">
        <f>IF(B782="","",
IF(M782=$H$5,IFERROR(VLOOKUP(B782,'Baremos actuales'!A:E,5,FALSE),"No encontrado. Revisar código, fecha ejecución y/o contrato."),
IF(M782=$H$4,IFERROR(VLOOKUP(B782,'Baremos anteriores'!A:E,5,FALSE),"No encontrado. Revisar código, fecha ejecución y/o contrato."),
IF(M782=$H$3,IFERROR(VLOOKUP(B782,#REF!,5,FALSE),"No encontrado. Revisar código, fecha ejecución y/o contrato."),
IF(D782="","Código no encontrado",
IF(D782="ERROR","No encontrado. Revisar Código, fecha de ejecución y/o contrato.",
IF(D782="MATE",
IF(C781="DESCRIPCION","NO SE PUEDE COMENZAR SIN CÓDIGO DE TAREA",
IF(C781="","FALTA CÓDIGO DE TAREA",
CONCATENATE("          ",VLOOKUP(B782,'Maestro Materiales'!A:C,3,FALSE)))),IFERROR(VLOOKUP(B782,#REF!,5,FALSE),"No encontrado. Revisar código, fecha ejecución y/o contrato."))))))))</f>
        <v/>
      </c>
      <c r="D782" s="88" t="str">
        <f>IF(B782="","",
IFERROR(VLOOKUP(B782,'Maestro Materiales'!A:C,2,FALSE),
IFERROR(VLOOKUP(B782,'Baremos actuales'!A:B,2,FALSE),
IFERROR(VLOOKUP(B782,'Baremos anteriores'!A:B,2,FALSE),
""))))</f>
        <v/>
      </c>
      <c r="E782" s="9"/>
      <c r="F782" s="89" t="str">
        <f>IF(D782="MATE",
IF(E782="","¿Unidades?",""),
IF(D782="",IF(E782="","","¿Código?"),
IF(E782="","¿Unidades?",
IF(D782="TARE",
IF(M782=$H$3,IFERROR(VLOOKUP(B782,'Baremos actuales'!A:C,3,FALSE),0),
IF(M782=$H$4,IFERROR(VLOOKUP(B782,'Baremos anteriores'!A:C,3,FALSE),0),0))))))</f>
        <v/>
      </c>
      <c r="G782" s="7"/>
      <c r="H782" s="8"/>
      <c r="I782" s="8"/>
      <c r="J782" s="78" t="str">
        <f>IF($D782="","",
IF($E782="","",
IF($D782="MATE","",
IF(VLOOKUP($B782,'Baremos actuales'!A:D,4,FALSE)=J$9,$E782*$F782,IF(VLOOKUP($B782,'Baremos anteriores'!A:D,4,FALSE)="Sin Definir",$E782*$F782,"")))))</f>
        <v/>
      </c>
      <c r="K782" s="79" t="str">
        <f>IF($D782="","",
IF($E782="","",
IF($D782="MATE","",
IF(VLOOKUP($B782,'Baremos actuales'!$A:$D,4,FALSE)=K$9,$E782*$F782,IF(VLOOKUP($B782,'Baremos anteriores'!$A:$D,4,FALSE)="Desmonte",$E782*$F782,"")))))</f>
        <v/>
      </c>
      <c r="L782" s="80" t="str">
        <f>IF($D782="","",
IF($E782="","",
IF($D782="MATE","",
IF(VLOOKUP($B782,'Baremos actuales'!$A:$D,4,FALSE)=L$9,$E782*$F782,""))))</f>
        <v/>
      </c>
      <c r="M782" s="91" t="str">
        <f t="shared" si="12"/>
        <v/>
      </c>
      <c r="N782" s="96"/>
      <c r="O782" s="95"/>
      <c r="P782" s="96"/>
      <c r="Q782" s="98"/>
    </row>
    <row r="783" spans="1:17" ht="15.75" x14ac:dyDescent="0.2">
      <c r="A783" s="17"/>
      <c r="B783" s="18"/>
      <c r="C783" s="87" t="str">
        <f>IF(B783="","",
IF(M783=$H$5,IFERROR(VLOOKUP(B783,'Baremos actuales'!A:E,5,FALSE),"No encontrado. Revisar código, fecha ejecución y/o contrato."),
IF(M783=$H$4,IFERROR(VLOOKUP(B783,'Baremos anteriores'!A:E,5,FALSE),"No encontrado. Revisar código, fecha ejecución y/o contrato."),
IF(M783=$H$3,IFERROR(VLOOKUP(B783,#REF!,5,FALSE),"No encontrado. Revisar código, fecha ejecución y/o contrato."),
IF(D783="","Código no encontrado",
IF(D783="ERROR","No encontrado. Revisar Código, fecha de ejecución y/o contrato.",
IF(D783="MATE",
IF(C782="DESCRIPCION","NO SE PUEDE COMENZAR SIN CÓDIGO DE TAREA",
IF(C782="","FALTA CÓDIGO DE TAREA",
CONCATENATE("          ",VLOOKUP(B783,'Maestro Materiales'!A:C,3,FALSE)))),IFERROR(VLOOKUP(B783,#REF!,5,FALSE),"No encontrado. Revisar código, fecha ejecución y/o contrato."))))))))</f>
        <v/>
      </c>
      <c r="D783" s="88" t="str">
        <f>IF(B783="","",
IFERROR(VLOOKUP(B783,'Maestro Materiales'!A:C,2,FALSE),
IFERROR(VLOOKUP(B783,'Baremos actuales'!A:B,2,FALSE),
IFERROR(VLOOKUP(B783,'Baremos anteriores'!A:B,2,FALSE),
""))))</f>
        <v/>
      </c>
      <c r="E783" s="9"/>
      <c r="F783" s="89" t="str">
        <f>IF(D783="MATE",
IF(E783="","¿Unidades?",""),
IF(D783="",IF(E783="","","¿Código?"),
IF(E783="","¿Unidades?",
IF(D783="TARE",
IF(M783=$H$3,IFERROR(VLOOKUP(B783,'Baremos actuales'!A:C,3,FALSE),0),
IF(M783=$H$4,IFERROR(VLOOKUP(B783,'Baremos anteriores'!A:C,3,FALSE),0),0))))))</f>
        <v/>
      </c>
      <c r="G783" s="7"/>
      <c r="H783" s="8"/>
      <c r="I783" s="8"/>
      <c r="J783" s="78" t="str">
        <f>IF($D783="","",
IF($E783="","",
IF($D783="MATE","",
IF(VLOOKUP($B783,'Baremos actuales'!A:D,4,FALSE)=J$9,$E783*$F783,IF(VLOOKUP($B783,'Baremos anteriores'!A:D,4,FALSE)="Sin Definir",$E783*$F783,"")))))</f>
        <v/>
      </c>
      <c r="K783" s="79" t="str">
        <f>IF($D783="","",
IF($E783="","",
IF($D783="MATE","",
IF(VLOOKUP($B783,'Baremos actuales'!$A:$D,4,FALSE)=K$9,$E783*$F783,IF(VLOOKUP($B783,'Baremos anteriores'!$A:$D,4,FALSE)="Desmonte",$E783*$F783,"")))))</f>
        <v/>
      </c>
      <c r="L783" s="80" t="str">
        <f>IF($D783="","",
IF($E783="","",
IF($D783="MATE","",
IF(VLOOKUP($B783,'Baremos actuales'!$A:$D,4,FALSE)=L$9,$E783*$F783,""))))</f>
        <v/>
      </c>
      <c r="M783" s="91" t="str">
        <f t="shared" si="12"/>
        <v/>
      </c>
      <c r="N783" s="96"/>
      <c r="O783" s="95"/>
      <c r="P783" s="96"/>
      <c r="Q783" s="98"/>
    </row>
    <row r="784" spans="1:17" ht="15.75" x14ac:dyDescent="0.2">
      <c r="A784" s="17"/>
      <c r="B784" s="18"/>
      <c r="C784" s="87" t="str">
        <f>IF(B784="","",
IF(M784=$H$5,IFERROR(VLOOKUP(B784,'Baremos actuales'!A:E,5,FALSE),"No encontrado. Revisar código, fecha ejecución y/o contrato."),
IF(M784=$H$4,IFERROR(VLOOKUP(B784,'Baremos anteriores'!A:E,5,FALSE),"No encontrado. Revisar código, fecha ejecución y/o contrato."),
IF(M784=$H$3,IFERROR(VLOOKUP(B784,#REF!,5,FALSE),"No encontrado. Revisar código, fecha ejecución y/o contrato."),
IF(D784="","Código no encontrado",
IF(D784="ERROR","No encontrado. Revisar Código, fecha de ejecución y/o contrato.",
IF(D784="MATE",
IF(C783="DESCRIPCION","NO SE PUEDE COMENZAR SIN CÓDIGO DE TAREA",
IF(C783="","FALTA CÓDIGO DE TAREA",
CONCATENATE("          ",VLOOKUP(B784,'Maestro Materiales'!A:C,3,FALSE)))),IFERROR(VLOOKUP(B784,#REF!,5,FALSE),"No encontrado. Revisar código, fecha ejecución y/o contrato."))))))))</f>
        <v/>
      </c>
      <c r="D784" s="88" t="str">
        <f>IF(B784="","",
IFERROR(VLOOKUP(B784,'Maestro Materiales'!A:C,2,FALSE),
IFERROR(VLOOKUP(B784,'Baremos actuales'!A:B,2,FALSE),
IFERROR(VLOOKUP(B784,'Baremos anteriores'!A:B,2,FALSE),
""))))</f>
        <v/>
      </c>
      <c r="E784" s="9"/>
      <c r="F784" s="89" t="str">
        <f>IF(D784="MATE",
IF(E784="","¿Unidades?",""),
IF(D784="",IF(E784="","","¿Código?"),
IF(E784="","¿Unidades?",
IF(D784="TARE",
IF(M784=$H$3,IFERROR(VLOOKUP(B784,'Baremos actuales'!A:C,3,FALSE),0),
IF(M784=$H$4,IFERROR(VLOOKUP(B784,'Baremos anteriores'!A:C,3,FALSE),0),0))))))</f>
        <v/>
      </c>
      <c r="G784" s="7"/>
      <c r="H784" s="8"/>
      <c r="I784" s="8"/>
      <c r="J784" s="78" t="str">
        <f>IF($D784="","",
IF($E784="","",
IF($D784="MATE","",
IF(VLOOKUP($B784,'Baremos actuales'!A:D,4,FALSE)=J$9,$E784*$F784,IF(VLOOKUP($B784,'Baremos anteriores'!A:D,4,FALSE)="Sin Definir",$E784*$F784,"")))))</f>
        <v/>
      </c>
      <c r="K784" s="79" t="str">
        <f>IF($D784="","",
IF($E784="","",
IF($D784="MATE","",
IF(VLOOKUP($B784,'Baremos actuales'!$A:$D,4,FALSE)=K$9,$E784*$F784,IF(VLOOKUP($B784,'Baremos anteriores'!$A:$D,4,FALSE)="Desmonte",$E784*$F784,"")))))</f>
        <v/>
      </c>
      <c r="L784" s="80" t="str">
        <f>IF($D784="","",
IF($E784="","",
IF($D784="MATE","",
IF(VLOOKUP($B784,'Baremos actuales'!$A:$D,4,FALSE)=L$9,$E784*$F784,""))))</f>
        <v/>
      </c>
      <c r="M784" s="91" t="str">
        <f t="shared" si="12"/>
        <v/>
      </c>
      <c r="N784" s="96"/>
      <c r="O784" s="95"/>
      <c r="P784" s="96"/>
      <c r="Q784" s="98"/>
    </row>
    <row r="785" spans="1:17" ht="15.75" x14ac:dyDescent="0.2">
      <c r="A785" s="17"/>
      <c r="B785" s="18"/>
      <c r="C785" s="87" t="str">
        <f>IF(B785="","",
IF(M785=$H$5,IFERROR(VLOOKUP(B785,'Baremos actuales'!A:E,5,FALSE),"No encontrado. Revisar código, fecha ejecución y/o contrato."),
IF(M785=$H$4,IFERROR(VLOOKUP(B785,'Baremos anteriores'!A:E,5,FALSE),"No encontrado. Revisar código, fecha ejecución y/o contrato."),
IF(M785=$H$3,IFERROR(VLOOKUP(B785,#REF!,5,FALSE),"No encontrado. Revisar código, fecha ejecución y/o contrato."),
IF(D785="","Código no encontrado",
IF(D785="ERROR","No encontrado. Revisar Código, fecha de ejecución y/o contrato.",
IF(D785="MATE",
IF(C784="DESCRIPCION","NO SE PUEDE COMENZAR SIN CÓDIGO DE TAREA",
IF(C784="","FALTA CÓDIGO DE TAREA",
CONCATENATE("          ",VLOOKUP(B785,'Maestro Materiales'!A:C,3,FALSE)))),IFERROR(VLOOKUP(B785,#REF!,5,FALSE),"No encontrado. Revisar código, fecha ejecución y/o contrato."))))))))</f>
        <v/>
      </c>
      <c r="D785" s="88" t="str">
        <f>IF(B785="","",
IFERROR(VLOOKUP(B785,'Maestro Materiales'!A:C,2,FALSE),
IFERROR(VLOOKUP(B785,'Baremos actuales'!A:B,2,FALSE),
IFERROR(VLOOKUP(B785,'Baremos anteriores'!A:B,2,FALSE),
""))))</f>
        <v/>
      </c>
      <c r="E785" s="9"/>
      <c r="F785" s="89" t="str">
        <f>IF(D785="MATE",
IF(E785="","¿Unidades?",""),
IF(D785="",IF(E785="","","¿Código?"),
IF(E785="","¿Unidades?",
IF(D785="TARE",
IF(M785=$H$3,IFERROR(VLOOKUP(B785,'Baremos actuales'!A:C,3,FALSE),0),
IF(M785=$H$4,IFERROR(VLOOKUP(B785,'Baremos anteriores'!A:C,3,FALSE),0),0))))))</f>
        <v/>
      </c>
      <c r="G785" s="7"/>
      <c r="H785" s="8"/>
      <c r="I785" s="8"/>
      <c r="J785" s="78" t="str">
        <f>IF($D785="","",
IF($E785="","",
IF($D785="MATE","",
IF(VLOOKUP($B785,'Baremos actuales'!A:D,4,FALSE)=J$9,$E785*$F785,IF(VLOOKUP($B785,'Baremos anteriores'!A:D,4,FALSE)="Sin Definir",$E785*$F785,"")))))</f>
        <v/>
      </c>
      <c r="K785" s="79" t="str">
        <f>IF($D785="","",
IF($E785="","",
IF($D785="MATE","",
IF(VLOOKUP($B785,'Baremos actuales'!$A:$D,4,FALSE)=K$9,$E785*$F785,IF(VLOOKUP($B785,'Baremos anteriores'!$A:$D,4,FALSE)="Desmonte",$E785*$F785,"")))))</f>
        <v/>
      </c>
      <c r="L785" s="80" t="str">
        <f>IF($D785="","",
IF($E785="","",
IF($D785="MATE","",
IF(VLOOKUP($B785,'Baremos actuales'!$A:$D,4,FALSE)=L$9,$E785*$F785,""))))</f>
        <v/>
      </c>
      <c r="M785" s="91" t="str">
        <f t="shared" si="12"/>
        <v/>
      </c>
      <c r="N785" s="96"/>
      <c r="O785" s="95"/>
      <c r="P785" s="96"/>
      <c r="Q785" s="98"/>
    </row>
    <row r="786" spans="1:17" ht="15.75" x14ac:dyDescent="0.2">
      <c r="A786" s="17"/>
      <c r="B786" s="18"/>
      <c r="C786" s="87" t="str">
        <f>IF(B786="","",
IF(M786=$H$5,IFERROR(VLOOKUP(B786,'Baremos actuales'!A:E,5,FALSE),"No encontrado. Revisar código, fecha ejecución y/o contrato."),
IF(M786=$H$4,IFERROR(VLOOKUP(B786,'Baremos anteriores'!A:E,5,FALSE),"No encontrado. Revisar código, fecha ejecución y/o contrato."),
IF(M786=$H$3,IFERROR(VLOOKUP(B786,#REF!,5,FALSE),"No encontrado. Revisar código, fecha ejecución y/o contrato."),
IF(D786="","Código no encontrado",
IF(D786="ERROR","No encontrado. Revisar Código, fecha de ejecución y/o contrato.",
IF(D786="MATE",
IF(C785="DESCRIPCION","NO SE PUEDE COMENZAR SIN CÓDIGO DE TAREA",
IF(C785="","FALTA CÓDIGO DE TAREA",
CONCATENATE("          ",VLOOKUP(B786,'Maestro Materiales'!A:C,3,FALSE)))),IFERROR(VLOOKUP(B786,#REF!,5,FALSE),"No encontrado. Revisar código, fecha ejecución y/o contrato."))))))))</f>
        <v/>
      </c>
      <c r="D786" s="88" t="str">
        <f>IF(B786="","",
IFERROR(VLOOKUP(B786,'Maestro Materiales'!A:C,2,FALSE),
IFERROR(VLOOKUP(B786,'Baremos actuales'!A:B,2,FALSE),
IFERROR(VLOOKUP(B786,'Baremos anteriores'!A:B,2,FALSE),
""))))</f>
        <v/>
      </c>
      <c r="E786" s="9"/>
      <c r="F786" s="89" t="str">
        <f>IF(D786="MATE",
IF(E786="","¿Unidades?",""),
IF(D786="",IF(E786="","","¿Código?"),
IF(E786="","¿Unidades?",
IF(D786="TARE",
IF(M786=$H$3,IFERROR(VLOOKUP(B786,'Baremos actuales'!A:C,3,FALSE),0),
IF(M786=$H$4,IFERROR(VLOOKUP(B786,'Baremos anteriores'!A:C,3,FALSE),0),0))))))</f>
        <v/>
      </c>
      <c r="G786" s="7"/>
      <c r="H786" s="8"/>
      <c r="I786" s="8"/>
      <c r="J786" s="78" t="str">
        <f>IF($D786="","",
IF($E786="","",
IF($D786="MATE","",
IF(VLOOKUP($B786,'Baremos actuales'!A:D,4,FALSE)=J$9,$E786*$F786,IF(VLOOKUP($B786,'Baremos anteriores'!A:D,4,FALSE)="Sin Definir",$E786*$F786,"")))))</f>
        <v/>
      </c>
      <c r="K786" s="79" t="str">
        <f>IF($D786="","",
IF($E786="","",
IF($D786="MATE","",
IF(VLOOKUP($B786,'Baremos actuales'!$A:$D,4,FALSE)=K$9,$E786*$F786,IF(VLOOKUP($B786,'Baremos anteriores'!$A:$D,4,FALSE)="Desmonte",$E786*$F786,"")))))</f>
        <v/>
      </c>
      <c r="L786" s="80" t="str">
        <f>IF($D786="","",
IF($E786="","",
IF($D786="MATE","",
IF(VLOOKUP($B786,'Baremos actuales'!$A:$D,4,FALSE)=L$9,$E786*$F786,""))))</f>
        <v/>
      </c>
      <c r="M786" s="91" t="str">
        <f t="shared" si="12"/>
        <v/>
      </c>
      <c r="N786" s="96"/>
      <c r="O786" s="95"/>
      <c r="P786" s="96"/>
      <c r="Q786" s="98"/>
    </row>
    <row r="787" spans="1:17" ht="15.75" x14ac:dyDescent="0.2">
      <c r="A787" s="17"/>
      <c r="B787" s="18"/>
      <c r="C787" s="87" t="str">
        <f>IF(B787="","",
IF(M787=$H$5,IFERROR(VLOOKUP(B787,'Baremos actuales'!A:E,5,FALSE),"No encontrado. Revisar código, fecha ejecución y/o contrato."),
IF(M787=$H$4,IFERROR(VLOOKUP(B787,'Baremos anteriores'!A:E,5,FALSE),"No encontrado. Revisar código, fecha ejecución y/o contrato."),
IF(M787=$H$3,IFERROR(VLOOKUP(B787,#REF!,5,FALSE),"No encontrado. Revisar código, fecha ejecución y/o contrato."),
IF(D787="","Código no encontrado",
IF(D787="ERROR","No encontrado. Revisar Código, fecha de ejecución y/o contrato.",
IF(D787="MATE",
IF(C786="DESCRIPCION","NO SE PUEDE COMENZAR SIN CÓDIGO DE TAREA",
IF(C786="","FALTA CÓDIGO DE TAREA",
CONCATENATE("          ",VLOOKUP(B787,'Maestro Materiales'!A:C,3,FALSE)))),IFERROR(VLOOKUP(B787,#REF!,5,FALSE),"No encontrado. Revisar código, fecha ejecución y/o contrato."))))))))</f>
        <v/>
      </c>
      <c r="D787" s="88" t="str">
        <f>IF(B787="","",
IFERROR(VLOOKUP(B787,'Maestro Materiales'!A:C,2,FALSE),
IFERROR(VLOOKUP(B787,'Baremos actuales'!A:B,2,FALSE),
IFERROR(VLOOKUP(B787,'Baremos anteriores'!A:B,2,FALSE),
""))))</f>
        <v/>
      </c>
      <c r="E787" s="9"/>
      <c r="F787" s="89" t="str">
        <f>IF(D787="MATE",
IF(E787="","¿Unidades?",""),
IF(D787="",IF(E787="","","¿Código?"),
IF(E787="","¿Unidades?",
IF(D787="TARE",
IF(M787=$H$3,IFERROR(VLOOKUP(B787,'Baremos actuales'!A:C,3,FALSE),0),
IF(M787=$H$4,IFERROR(VLOOKUP(B787,'Baremos anteriores'!A:C,3,FALSE),0),0))))))</f>
        <v/>
      </c>
      <c r="G787" s="7"/>
      <c r="H787" s="8"/>
      <c r="I787" s="8"/>
      <c r="J787" s="78" t="str">
        <f>IF($D787="","",
IF($E787="","",
IF($D787="MATE","",
IF(VLOOKUP($B787,'Baremos actuales'!A:D,4,FALSE)=J$9,$E787*$F787,IF(VLOOKUP($B787,'Baremos anteriores'!A:D,4,FALSE)="Sin Definir",$E787*$F787,"")))))</f>
        <v/>
      </c>
      <c r="K787" s="79" t="str">
        <f>IF($D787="","",
IF($E787="","",
IF($D787="MATE","",
IF(VLOOKUP($B787,'Baremos actuales'!$A:$D,4,FALSE)=K$9,$E787*$F787,IF(VLOOKUP($B787,'Baremos anteriores'!$A:$D,4,FALSE)="Desmonte",$E787*$F787,"")))))</f>
        <v/>
      </c>
      <c r="L787" s="80" t="str">
        <f>IF($D787="","",
IF($E787="","",
IF($D787="MATE","",
IF(VLOOKUP($B787,'Baremos actuales'!$A:$D,4,FALSE)=L$9,$E787*$F787,""))))</f>
        <v/>
      </c>
      <c r="M787" s="91" t="str">
        <f t="shared" si="12"/>
        <v/>
      </c>
      <c r="N787" s="96"/>
      <c r="O787" s="95"/>
      <c r="P787" s="96"/>
      <c r="Q787" s="98"/>
    </row>
    <row r="788" spans="1:17" ht="15.75" x14ac:dyDescent="0.2">
      <c r="A788" s="17"/>
      <c r="B788" s="18"/>
      <c r="C788" s="87" t="str">
        <f>IF(B788="","",
IF(M788=$H$5,IFERROR(VLOOKUP(B788,'Baremos actuales'!A:E,5,FALSE),"No encontrado. Revisar código, fecha ejecución y/o contrato."),
IF(M788=$H$4,IFERROR(VLOOKUP(B788,'Baremos anteriores'!A:E,5,FALSE),"No encontrado. Revisar código, fecha ejecución y/o contrato."),
IF(M788=$H$3,IFERROR(VLOOKUP(B788,#REF!,5,FALSE),"No encontrado. Revisar código, fecha ejecución y/o contrato."),
IF(D788="","Código no encontrado",
IF(D788="ERROR","No encontrado. Revisar Código, fecha de ejecución y/o contrato.",
IF(D788="MATE",
IF(C787="DESCRIPCION","NO SE PUEDE COMENZAR SIN CÓDIGO DE TAREA",
IF(C787="","FALTA CÓDIGO DE TAREA",
CONCATENATE("          ",VLOOKUP(B788,'Maestro Materiales'!A:C,3,FALSE)))),IFERROR(VLOOKUP(B788,#REF!,5,FALSE),"No encontrado. Revisar código, fecha ejecución y/o contrato."))))))))</f>
        <v/>
      </c>
      <c r="D788" s="88" t="str">
        <f>IF(B788="","",
IFERROR(VLOOKUP(B788,'Maestro Materiales'!A:C,2,FALSE),
IFERROR(VLOOKUP(B788,'Baremos actuales'!A:B,2,FALSE),
IFERROR(VLOOKUP(B788,'Baremos anteriores'!A:B,2,FALSE),
""))))</f>
        <v/>
      </c>
      <c r="E788" s="9"/>
      <c r="F788" s="89" t="str">
        <f>IF(D788="MATE",
IF(E788="","¿Unidades?",""),
IF(D788="",IF(E788="","","¿Código?"),
IF(E788="","¿Unidades?",
IF(D788="TARE",
IF(M788=$H$3,IFERROR(VLOOKUP(B788,'Baremos actuales'!A:C,3,FALSE),0),
IF(M788=$H$4,IFERROR(VLOOKUP(B788,'Baremos anteriores'!A:C,3,FALSE),0),0))))))</f>
        <v/>
      </c>
      <c r="G788" s="7"/>
      <c r="H788" s="8"/>
      <c r="I788" s="8"/>
      <c r="J788" s="78" t="str">
        <f>IF($D788="","",
IF($E788="","",
IF($D788="MATE","",
IF(VLOOKUP($B788,'Baremos actuales'!A:D,4,FALSE)=J$9,$E788*$F788,IF(VLOOKUP($B788,'Baremos anteriores'!A:D,4,FALSE)="Sin Definir",$E788*$F788,"")))))</f>
        <v/>
      </c>
      <c r="K788" s="79" t="str">
        <f>IF($D788="","",
IF($E788="","",
IF($D788="MATE","",
IF(VLOOKUP($B788,'Baremos actuales'!$A:$D,4,FALSE)=K$9,$E788*$F788,IF(VLOOKUP($B788,'Baremos anteriores'!$A:$D,4,FALSE)="Desmonte",$E788*$F788,"")))))</f>
        <v/>
      </c>
      <c r="L788" s="80" t="str">
        <f>IF($D788="","",
IF($E788="","",
IF($D788="MATE","",
IF(VLOOKUP($B788,'Baremos actuales'!$A:$D,4,FALSE)=L$9,$E788*$F788,""))))</f>
        <v/>
      </c>
      <c r="M788" s="91" t="str">
        <f t="shared" si="12"/>
        <v/>
      </c>
      <c r="N788" s="96"/>
      <c r="O788" s="95"/>
      <c r="P788" s="96"/>
      <c r="Q788" s="98"/>
    </row>
    <row r="789" spans="1:17" ht="15.75" x14ac:dyDescent="0.2">
      <c r="A789" s="17"/>
      <c r="B789" s="18"/>
      <c r="C789" s="87" t="str">
        <f>IF(B789="","",
IF(M789=$H$5,IFERROR(VLOOKUP(B789,'Baremos actuales'!A:E,5,FALSE),"No encontrado. Revisar código, fecha ejecución y/o contrato."),
IF(M789=$H$4,IFERROR(VLOOKUP(B789,'Baremos anteriores'!A:E,5,FALSE),"No encontrado. Revisar código, fecha ejecución y/o contrato."),
IF(M789=$H$3,IFERROR(VLOOKUP(B789,#REF!,5,FALSE),"No encontrado. Revisar código, fecha ejecución y/o contrato."),
IF(D789="","Código no encontrado",
IF(D789="ERROR","No encontrado. Revisar Código, fecha de ejecución y/o contrato.",
IF(D789="MATE",
IF(C788="DESCRIPCION","NO SE PUEDE COMENZAR SIN CÓDIGO DE TAREA",
IF(C788="","FALTA CÓDIGO DE TAREA",
CONCATENATE("          ",VLOOKUP(B789,'Maestro Materiales'!A:C,3,FALSE)))),IFERROR(VLOOKUP(B789,#REF!,5,FALSE),"No encontrado. Revisar código, fecha ejecución y/o contrato."))))))))</f>
        <v/>
      </c>
      <c r="D789" s="88" t="str">
        <f>IF(B789="","",
IFERROR(VLOOKUP(B789,'Maestro Materiales'!A:C,2,FALSE),
IFERROR(VLOOKUP(B789,'Baremos actuales'!A:B,2,FALSE),
IFERROR(VLOOKUP(B789,'Baremos anteriores'!A:B,2,FALSE),
""))))</f>
        <v/>
      </c>
      <c r="E789" s="9"/>
      <c r="F789" s="89" t="str">
        <f>IF(D789="MATE",
IF(E789="","¿Unidades?",""),
IF(D789="",IF(E789="","","¿Código?"),
IF(E789="","¿Unidades?",
IF(D789="TARE",
IF(M789=$H$3,IFERROR(VLOOKUP(B789,'Baremos actuales'!A:C,3,FALSE),0),
IF(M789=$H$4,IFERROR(VLOOKUP(B789,'Baremos anteriores'!A:C,3,FALSE),0),0))))))</f>
        <v/>
      </c>
      <c r="G789" s="7"/>
      <c r="H789" s="8"/>
      <c r="I789" s="8"/>
      <c r="J789" s="78" t="str">
        <f>IF($D789="","",
IF($E789="","",
IF($D789="MATE","",
IF(VLOOKUP($B789,'Baremos actuales'!A:D,4,FALSE)=J$9,$E789*$F789,IF(VLOOKUP($B789,'Baremos anteriores'!A:D,4,FALSE)="Sin Definir",$E789*$F789,"")))))</f>
        <v/>
      </c>
      <c r="K789" s="79" t="str">
        <f>IF($D789="","",
IF($E789="","",
IF($D789="MATE","",
IF(VLOOKUP($B789,'Baremos actuales'!$A:$D,4,FALSE)=K$9,$E789*$F789,IF(VLOOKUP($B789,'Baremos anteriores'!$A:$D,4,FALSE)="Desmonte",$E789*$F789,"")))))</f>
        <v/>
      </c>
      <c r="L789" s="80" t="str">
        <f>IF($D789="","",
IF($E789="","",
IF($D789="MATE","",
IF(VLOOKUP($B789,'Baremos actuales'!$A:$D,4,FALSE)=L$9,$E789*$F789,""))))</f>
        <v/>
      </c>
      <c r="M789" s="91" t="str">
        <f t="shared" si="12"/>
        <v/>
      </c>
      <c r="N789" s="96"/>
      <c r="O789" s="95"/>
      <c r="P789" s="96"/>
      <c r="Q789" s="98"/>
    </row>
    <row r="790" spans="1:17" ht="15.75" x14ac:dyDescent="0.2">
      <c r="A790" s="17"/>
      <c r="B790" s="18"/>
      <c r="C790" s="87" t="str">
        <f>IF(B790="","",
IF(M790=$H$5,IFERROR(VLOOKUP(B790,'Baremos actuales'!A:E,5,FALSE),"No encontrado. Revisar código, fecha ejecución y/o contrato."),
IF(M790=$H$4,IFERROR(VLOOKUP(B790,'Baremos anteriores'!A:E,5,FALSE),"No encontrado. Revisar código, fecha ejecución y/o contrato."),
IF(M790=$H$3,IFERROR(VLOOKUP(B790,#REF!,5,FALSE),"No encontrado. Revisar código, fecha ejecución y/o contrato."),
IF(D790="","Código no encontrado",
IF(D790="ERROR","No encontrado. Revisar Código, fecha de ejecución y/o contrato.",
IF(D790="MATE",
IF(C789="DESCRIPCION","NO SE PUEDE COMENZAR SIN CÓDIGO DE TAREA",
IF(C789="","FALTA CÓDIGO DE TAREA",
CONCATENATE("          ",VLOOKUP(B790,'Maestro Materiales'!A:C,3,FALSE)))),IFERROR(VLOOKUP(B790,#REF!,5,FALSE),"No encontrado. Revisar código, fecha ejecución y/o contrato."))))))))</f>
        <v/>
      </c>
      <c r="D790" s="88" t="str">
        <f>IF(B790="","",
IFERROR(VLOOKUP(B790,'Maestro Materiales'!A:C,2,FALSE),
IFERROR(VLOOKUP(B790,'Baremos actuales'!A:B,2,FALSE),
IFERROR(VLOOKUP(B790,'Baremos anteriores'!A:B,2,FALSE),
""))))</f>
        <v/>
      </c>
      <c r="E790" s="9"/>
      <c r="F790" s="89" t="str">
        <f>IF(D790="MATE",
IF(E790="","¿Unidades?",""),
IF(D790="",IF(E790="","","¿Código?"),
IF(E790="","¿Unidades?",
IF(D790="TARE",
IF(M790=$H$3,IFERROR(VLOOKUP(B790,'Baremos actuales'!A:C,3,FALSE),0),
IF(M790=$H$4,IFERROR(VLOOKUP(B790,'Baremos anteriores'!A:C,3,FALSE),0),0))))))</f>
        <v/>
      </c>
      <c r="G790" s="7"/>
      <c r="H790" s="8"/>
      <c r="I790" s="8"/>
      <c r="J790" s="78" t="str">
        <f>IF($D790="","",
IF($E790="","",
IF($D790="MATE","",
IF(VLOOKUP($B790,'Baremos actuales'!A:D,4,FALSE)=J$9,$E790*$F790,IF(VLOOKUP($B790,'Baremos anteriores'!A:D,4,FALSE)="Sin Definir",$E790*$F790,"")))))</f>
        <v/>
      </c>
      <c r="K790" s="79" t="str">
        <f>IF($D790="","",
IF($E790="","",
IF($D790="MATE","",
IF(VLOOKUP($B790,'Baremos actuales'!$A:$D,4,FALSE)=K$9,$E790*$F790,IF(VLOOKUP($B790,'Baremos anteriores'!$A:$D,4,FALSE)="Desmonte",$E790*$F790,"")))))</f>
        <v/>
      </c>
      <c r="L790" s="80" t="str">
        <f>IF($D790="","",
IF($E790="","",
IF($D790="MATE","",
IF(VLOOKUP($B790,'Baremos actuales'!$A:$D,4,FALSE)=L$9,$E790*$F790,""))))</f>
        <v/>
      </c>
      <c r="M790" s="91" t="str">
        <f t="shared" si="12"/>
        <v/>
      </c>
      <c r="N790" s="96"/>
      <c r="O790" s="95"/>
      <c r="P790" s="96"/>
      <c r="Q790" s="98"/>
    </row>
    <row r="791" spans="1:17" ht="15.75" x14ac:dyDescent="0.2">
      <c r="A791" s="17"/>
      <c r="B791" s="18"/>
      <c r="C791" s="87" t="str">
        <f>IF(B791="","",
IF(M791=$H$5,IFERROR(VLOOKUP(B791,'Baremos actuales'!A:E,5,FALSE),"No encontrado. Revisar código, fecha ejecución y/o contrato."),
IF(M791=$H$4,IFERROR(VLOOKUP(B791,'Baremos anteriores'!A:E,5,FALSE),"No encontrado. Revisar código, fecha ejecución y/o contrato."),
IF(M791=$H$3,IFERROR(VLOOKUP(B791,#REF!,5,FALSE),"No encontrado. Revisar código, fecha ejecución y/o contrato."),
IF(D791="","Código no encontrado",
IF(D791="ERROR","No encontrado. Revisar Código, fecha de ejecución y/o contrato.",
IF(D791="MATE",
IF(C790="DESCRIPCION","NO SE PUEDE COMENZAR SIN CÓDIGO DE TAREA",
IF(C790="","FALTA CÓDIGO DE TAREA",
CONCATENATE("          ",VLOOKUP(B791,'Maestro Materiales'!A:C,3,FALSE)))),IFERROR(VLOOKUP(B791,#REF!,5,FALSE),"No encontrado. Revisar código, fecha ejecución y/o contrato."))))))))</f>
        <v/>
      </c>
      <c r="D791" s="88" t="str">
        <f>IF(B791="","",
IFERROR(VLOOKUP(B791,'Maestro Materiales'!A:C,2,FALSE),
IFERROR(VLOOKUP(B791,'Baremos actuales'!A:B,2,FALSE),
IFERROR(VLOOKUP(B791,'Baremos anteriores'!A:B,2,FALSE),
""))))</f>
        <v/>
      </c>
      <c r="E791" s="9"/>
      <c r="F791" s="89" t="str">
        <f>IF(D791="MATE",
IF(E791="","¿Unidades?",""),
IF(D791="",IF(E791="","","¿Código?"),
IF(E791="","¿Unidades?",
IF(D791="TARE",
IF(M791=$H$3,IFERROR(VLOOKUP(B791,'Baremos actuales'!A:C,3,FALSE),0),
IF(M791=$H$4,IFERROR(VLOOKUP(B791,'Baremos anteriores'!A:C,3,FALSE),0),0))))))</f>
        <v/>
      </c>
      <c r="G791" s="7"/>
      <c r="H791" s="8"/>
      <c r="I791" s="8"/>
      <c r="J791" s="78" t="str">
        <f>IF($D791="","",
IF($E791="","",
IF($D791="MATE","",
IF(VLOOKUP($B791,'Baremos actuales'!A:D,4,FALSE)=J$9,$E791*$F791,IF(VLOOKUP($B791,'Baremos anteriores'!A:D,4,FALSE)="Sin Definir",$E791*$F791,"")))))</f>
        <v/>
      </c>
      <c r="K791" s="79" t="str">
        <f>IF($D791="","",
IF($E791="","",
IF($D791="MATE","",
IF(VLOOKUP($B791,'Baremos actuales'!$A:$D,4,FALSE)=K$9,$E791*$F791,IF(VLOOKUP($B791,'Baremos anteriores'!$A:$D,4,FALSE)="Desmonte",$E791*$F791,"")))))</f>
        <v/>
      </c>
      <c r="L791" s="80" t="str">
        <f>IF($D791="","",
IF($E791="","",
IF($D791="MATE","",
IF(VLOOKUP($B791,'Baremos actuales'!$A:$D,4,FALSE)=L$9,$E791*$F791,""))))</f>
        <v/>
      </c>
      <c r="M791" s="91" t="str">
        <f t="shared" si="12"/>
        <v/>
      </c>
      <c r="N791" s="96"/>
      <c r="O791" s="95"/>
      <c r="P791" s="96"/>
      <c r="Q791" s="98"/>
    </row>
    <row r="792" spans="1:17" ht="15.75" x14ac:dyDescent="0.2">
      <c r="A792" s="17"/>
      <c r="B792" s="18"/>
      <c r="C792" s="87" t="str">
        <f>IF(B792="","",
IF(M792=$H$5,IFERROR(VLOOKUP(B792,'Baremos actuales'!A:E,5,FALSE),"No encontrado. Revisar código, fecha ejecución y/o contrato."),
IF(M792=$H$4,IFERROR(VLOOKUP(B792,'Baremos anteriores'!A:E,5,FALSE),"No encontrado. Revisar código, fecha ejecución y/o contrato."),
IF(M792=$H$3,IFERROR(VLOOKUP(B792,#REF!,5,FALSE),"No encontrado. Revisar código, fecha ejecución y/o contrato."),
IF(D792="","Código no encontrado",
IF(D792="ERROR","No encontrado. Revisar Código, fecha de ejecución y/o contrato.",
IF(D792="MATE",
IF(C791="DESCRIPCION","NO SE PUEDE COMENZAR SIN CÓDIGO DE TAREA",
IF(C791="","FALTA CÓDIGO DE TAREA",
CONCATENATE("          ",VLOOKUP(B792,'Maestro Materiales'!A:C,3,FALSE)))),IFERROR(VLOOKUP(B792,#REF!,5,FALSE),"No encontrado. Revisar código, fecha ejecución y/o contrato."))))))))</f>
        <v/>
      </c>
      <c r="D792" s="88" t="str">
        <f>IF(B792="","",
IFERROR(VLOOKUP(B792,'Maestro Materiales'!A:C,2,FALSE),
IFERROR(VLOOKUP(B792,'Baremos actuales'!A:B,2,FALSE),
IFERROR(VLOOKUP(B792,'Baremos anteriores'!A:B,2,FALSE),
""))))</f>
        <v/>
      </c>
      <c r="E792" s="9"/>
      <c r="F792" s="89" t="str">
        <f>IF(D792="MATE",
IF(E792="","¿Unidades?",""),
IF(D792="",IF(E792="","","¿Código?"),
IF(E792="","¿Unidades?",
IF(D792="TARE",
IF(M792=$H$3,IFERROR(VLOOKUP(B792,'Baremos actuales'!A:C,3,FALSE),0),
IF(M792=$H$4,IFERROR(VLOOKUP(B792,'Baremos anteriores'!A:C,3,FALSE),0),0))))))</f>
        <v/>
      </c>
      <c r="G792" s="7"/>
      <c r="H792" s="8"/>
      <c r="I792" s="8"/>
      <c r="J792" s="78" t="str">
        <f>IF($D792="","",
IF($E792="","",
IF($D792="MATE","",
IF(VLOOKUP($B792,'Baremos actuales'!A:D,4,FALSE)=J$9,$E792*$F792,IF(VLOOKUP($B792,'Baremos anteriores'!A:D,4,FALSE)="Sin Definir",$E792*$F792,"")))))</f>
        <v/>
      </c>
      <c r="K792" s="79" t="str">
        <f>IF($D792="","",
IF($E792="","",
IF($D792="MATE","",
IF(VLOOKUP($B792,'Baremos actuales'!$A:$D,4,FALSE)=K$9,$E792*$F792,IF(VLOOKUP($B792,'Baremos anteriores'!$A:$D,4,FALSE)="Desmonte",$E792*$F792,"")))))</f>
        <v/>
      </c>
      <c r="L792" s="80" t="str">
        <f>IF($D792="","",
IF($E792="","",
IF($D792="MATE","",
IF(VLOOKUP($B792,'Baremos actuales'!$A:$D,4,FALSE)=L$9,$E792*$F792,""))))</f>
        <v/>
      </c>
      <c r="M792" s="91" t="str">
        <f t="shared" si="12"/>
        <v/>
      </c>
      <c r="N792" s="96"/>
      <c r="O792" s="95"/>
      <c r="P792" s="96"/>
      <c r="Q792" s="98"/>
    </row>
    <row r="793" spans="1:17" ht="15.75" x14ac:dyDescent="0.2">
      <c r="A793" s="17"/>
      <c r="B793" s="18"/>
      <c r="C793" s="87" t="str">
        <f>IF(B793="","",
IF(M793=$H$5,IFERROR(VLOOKUP(B793,'Baremos actuales'!A:E,5,FALSE),"No encontrado. Revisar código, fecha ejecución y/o contrato."),
IF(M793=$H$4,IFERROR(VLOOKUP(B793,'Baremos anteriores'!A:E,5,FALSE),"No encontrado. Revisar código, fecha ejecución y/o contrato."),
IF(M793=$H$3,IFERROR(VLOOKUP(B793,#REF!,5,FALSE),"No encontrado. Revisar código, fecha ejecución y/o contrato."),
IF(D793="","Código no encontrado",
IF(D793="ERROR","No encontrado. Revisar Código, fecha de ejecución y/o contrato.",
IF(D793="MATE",
IF(C792="DESCRIPCION","NO SE PUEDE COMENZAR SIN CÓDIGO DE TAREA",
IF(C792="","FALTA CÓDIGO DE TAREA",
CONCATENATE("          ",VLOOKUP(B793,'Maestro Materiales'!A:C,3,FALSE)))),IFERROR(VLOOKUP(B793,#REF!,5,FALSE),"No encontrado. Revisar código, fecha ejecución y/o contrato."))))))))</f>
        <v/>
      </c>
      <c r="D793" s="88" t="str">
        <f>IF(B793="","",
IFERROR(VLOOKUP(B793,'Maestro Materiales'!A:C,2,FALSE),
IFERROR(VLOOKUP(B793,'Baremos actuales'!A:B,2,FALSE),
IFERROR(VLOOKUP(B793,'Baremos anteriores'!A:B,2,FALSE),
""))))</f>
        <v/>
      </c>
      <c r="E793" s="9"/>
      <c r="F793" s="89" t="str">
        <f>IF(D793="MATE",
IF(E793="","¿Unidades?",""),
IF(D793="",IF(E793="","","¿Código?"),
IF(E793="","¿Unidades?",
IF(D793="TARE",
IF(M793=$H$3,IFERROR(VLOOKUP(B793,'Baremos actuales'!A:C,3,FALSE),0),
IF(M793=$H$4,IFERROR(VLOOKUP(B793,'Baremos anteriores'!A:C,3,FALSE),0),0))))))</f>
        <v/>
      </c>
      <c r="G793" s="7"/>
      <c r="H793" s="8"/>
      <c r="I793" s="8"/>
      <c r="J793" s="78" t="str">
        <f>IF($D793="","",
IF($E793="","",
IF($D793="MATE","",
IF(VLOOKUP($B793,'Baremos actuales'!A:D,4,FALSE)=J$9,$E793*$F793,IF(VLOOKUP($B793,'Baremos anteriores'!A:D,4,FALSE)="Sin Definir",$E793*$F793,"")))))</f>
        <v/>
      </c>
      <c r="K793" s="79" t="str">
        <f>IF($D793="","",
IF($E793="","",
IF($D793="MATE","",
IF(VLOOKUP($B793,'Baremos actuales'!$A:$D,4,FALSE)=K$9,$E793*$F793,IF(VLOOKUP($B793,'Baremos anteriores'!$A:$D,4,FALSE)="Desmonte",$E793*$F793,"")))))</f>
        <v/>
      </c>
      <c r="L793" s="80" t="str">
        <f>IF($D793="","",
IF($E793="","",
IF($D793="MATE","",
IF(VLOOKUP($B793,'Baremos actuales'!$A:$D,4,FALSE)=L$9,$E793*$F793,""))))</f>
        <v/>
      </c>
      <c r="M793" s="91" t="str">
        <f t="shared" si="12"/>
        <v/>
      </c>
      <c r="N793" s="96"/>
      <c r="O793" s="95"/>
      <c r="P793" s="96"/>
      <c r="Q793" s="98"/>
    </row>
    <row r="794" spans="1:17" ht="15.75" x14ac:dyDescent="0.2">
      <c r="A794" s="17"/>
      <c r="B794" s="18"/>
      <c r="C794" s="87" t="str">
        <f>IF(B794="","",
IF(M794=$H$5,IFERROR(VLOOKUP(B794,'Baremos actuales'!A:E,5,FALSE),"No encontrado. Revisar código, fecha ejecución y/o contrato."),
IF(M794=$H$4,IFERROR(VLOOKUP(B794,'Baremos anteriores'!A:E,5,FALSE),"No encontrado. Revisar código, fecha ejecución y/o contrato."),
IF(M794=$H$3,IFERROR(VLOOKUP(B794,#REF!,5,FALSE),"No encontrado. Revisar código, fecha ejecución y/o contrato."),
IF(D794="","Código no encontrado",
IF(D794="ERROR","No encontrado. Revisar Código, fecha de ejecución y/o contrato.",
IF(D794="MATE",
IF(C793="DESCRIPCION","NO SE PUEDE COMENZAR SIN CÓDIGO DE TAREA",
IF(C793="","FALTA CÓDIGO DE TAREA",
CONCATENATE("          ",VLOOKUP(B794,'Maestro Materiales'!A:C,3,FALSE)))),IFERROR(VLOOKUP(B794,#REF!,5,FALSE),"No encontrado. Revisar código, fecha ejecución y/o contrato."))))))))</f>
        <v/>
      </c>
      <c r="D794" s="88" t="str">
        <f>IF(B794="","",
IFERROR(VLOOKUP(B794,'Maestro Materiales'!A:C,2,FALSE),
IFERROR(VLOOKUP(B794,'Baremos actuales'!A:B,2,FALSE),
IFERROR(VLOOKUP(B794,'Baremos anteriores'!A:B,2,FALSE),
""))))</f>
        <v/>
      </c>
      <c r="E794" s="9"/>
      <c r="F794" s="89" t="str">
        <f>IF(D794="MATE",
IF(E794="","¿Unidades?",""),
IF(D794="",IF(E794="","","¿Código?"),
IF(E794="","¿Unidades?",
IF(D794="TARE",
IF(M794=$H$3,IFERROR(VLOOKUP(B794,'Baremos actuales'!A:C,3,FALSE),0),
IF(M794=$H$4,IFERROR(VLOOKUP(B794,'Baremos anteriores'!A:C,3,FALSE),0),0))))))</f>
        <v/>
      </c>
      <c r="G794" s="7"/>
      <c r="H794" s="8"/>
      <c r="I794" s="8"/>
      <c r="J794" s="78" t="str">
        <f>IF($D794="","",
IF($E794="","",
IF($D794="MATE","",
IF(VLOOKUP($B794,'Baremos actuales'!A:D,4,FALSE)=J$9,$E794*$F794,IF(VLOOKUP($B794,'Baremos anteriores'!A:D,4,FALSE)="Sin Definir",$E794*$F794,"")))))</f>
        <v/>
      </c>
      <c r="K794" s="79" t="str">
        <f>IF($D794="","",
IF($E794="","",
IF($D794="MATE","",
IF(VLOOKUP($B794,'Baremos actuales'!$A:$D,4,FALSE)=K$9,$E794*$F794,IF(VLOOKUP($B794,'Baremos anteriores'!$A:$D,4,FALSE)="Desmonte",$E794*$F794,"")))))</f>
        <v/>
      </c>
      <c r="L794" s="80" t="str">
        <f>IF($D794="","",
IF($E794="","",
IF($D794="MATE","",
IF(VLOOKUP($B794,'Baremos actuales'!$A:$D,4,FALSE)=L$9,$E794*$F794,""))))</f>
        <v/>
      </c>
      <c r="M794" s="91" t="str">
        <f t="shared" si="12"/>
        <v/>
      </c>
      <c r="N794" s="96"/>
      <c r="O794" s="95"/>
      <c r="P794" s="96"/>
      <c r="Q794" s="98"/>
    </row>
    <row r="795" spans="1:17" ht="15.75" x14ac:dyDescent="0.2">
      <c r="A795" s="17"/>
      <c r="B795" s="18"/>
      <c r="C795" s="87" t="str">
        <f>IF(B795="","",
IF(M795=$H$5,IFERROR(VLOOKUP(B795,'Baremos actuales'!A:E,5,FALSE),"No encontrado. Revisar código, fecha ejecución y/o contrato."),
IF(M795=$H$4,IFERROR(VLOOKUP(B795,'Baremos anteriores'!A:E,5,FALSE),"No encontrado. Revisar código, fecha ejecución y/o contrato."),
IF(M795=$H$3,IFERROR(VLOOKUP(B795,#REF!,5,FALSE),"No encontrado. Revisar código, fecha ejecución y/o contrato."),
IF(D795="","Código no encontrado",
IF(D795="ERROR","No encontrado. Revisar Código, fecha de ejecución y/o contrato.",
IF(D795="MATE",
IF(C794="DESCRIPCION","NO SE PUEDE COMENZAR SIN CÓDIGO DE TAREA",
IF(C794="","FALTA CÓDIGO DE TAREA",
CONCATENATE("          ",VLOOKUP(B795,'Maestro Materiales'!A:C,3,FALSE)))),IFERROR(VLOOKUP(B795,#REF!,5,FALSE),"No encontrado. Revisar código, fecha ejecución y/o contrato."))))))))</f>
        <v/>
      </c>
      <c r="D795" s="88" t="str">
        <f>IF(B795="","",
IFERROR(VLOOKUP(B795,'Maestro Materiales'!A:C,2,FALSE),
IFERROR(VLOOKUP(B795,'Baremos actuales'!A:B,2,FALSE),
IFERROR(VLOOKUP(B795,'Baremos anteriores'!A:B,2,FALSE),
""))))</f>
        <v/>
      </c>
      <c r="E795" s="9"/>
      <c r="F795" s="89" t="str">
        <f>IF(D795="MATE",
IF(E795="","¿Unidades?",""),
IF(D795="",IF(E795="","","¿Código?"),
IF(E795="","¿Unidades?",
IF(D795="TARE",
IF(M795=$H$3,IFERROR(VLOOKUP(B795,'Baremos actuales'!A:C,3,FALSE),0),
IF(M795=$H$4,IFERROR(VLOOKUP(B795,'Baremos anteriores'!A:C,3,FALSE),0),0))))))</f>
        <v/>
      </c>
      <c r="G795" s="7"/>
      <c r="H795" s="8"/>
      <c r="I795" s="8"/>
      <c r="J795" s="78" t="str">
        <f>IF($D795="","",
IF($E795="","",
IF($D795="MATE","",
IF(VLOOKUP($B795,'Baremos actuales'!A:D,4,FALSE)=J$9,$E795*$F795,IF(VLOOKUP($B795,'Baremos anteriores'!A:D,4,FALSE)="Sin Definir",$E795*$F795,"")))))</f>
        <v/>
      </c>
      <c r="K795" s="79" t="str">
        <f>IF($D795="","",
IF($E795="","",
IF($D795="MATE","",
IF(VLOOKUP($B795,'Baremos actuales'!$A:$D,4,FALSE)=K$9,$E795*$F795,IF(VLOOKUP($B795,'Baremos anteriores'!$A:$D,4,FALSE)="Desmonte",$E795*$F795,"")))))</f>
        <v/>
      </c>
      <c r="L795" s="80" t="str">
        <f>IF($D795="","",
IF($E795="","",
IF($D795="MATE","",
IF(VLOOKUP($B795,'Baremos actuales'!$A:$D,4,FALSE)=L$9,$E795*$F795,""))))</f>
        <v/>
      </c>
      <c r="M795" s="91" t="str">
        <f t="shared" si="12"/>
        <v/>
      </c>
      <c r="N795" s="96"/>
      <c r="O795" s="95"/>
      <c r="P795" s="96"/>
      <c r="Q795" s="98"/>
    </row>
    <row r="796" spans="1:17" ht="15.75" x14ac:dyDescent="0.2">
      <c r="A796" s="17"/>
      <c r="B796" s="18"/>
      <c r="C796" s="87" t="str">
        <f>IF(B796="","",
IF(M796=$H$5,IFERROR(VLOOKUP(B796,'Baremos actuales'!A:E,5,FALSE),"No encontrado. Revisar código, fecha ejecución y/o contrato."),
IF(M796=$H$4,IFERROR(VLOOKUP(B796,'Baremos anteriores'!A:E,5,FALSE),"No encontrado. Revisar código, fecha ejecución y/o contrato."),
IF(M796=$H$3,IFERROR(VLOOKUP(B796,#REF!,5,FALSE),"No encontrado. Revisar código, fecha ejecución y/o contrato."),
IF(D796="","Código no encontrado",
IF(D796="ERROR","No encontrado. Revisar Código, fecha de ejecución y/o contrato.",
IF(D796="MATE",
IF(C795="DESCRIPCION","NO SE PUEDE COMENZAR SIN CÓDIGO DE TAREA",
IF(C795="","FALTA CÓDIGO DE TAREA",
CONCATENATE("          ",VLOOKUP(B796,'Maestro Materiales'!A:C,3,FALSE)))),IFERROR(VLOOKUP(B796,#REF!,5,FALSE),"No encontrado. Revisar código, fecha ejecución y/o contrato."))))))))</f>
        <v/>
      </c>
      <c r="D796" s="88" t="str">
        <f>IF(B796="","",
IFERROR(VLOOKUP(B796,'Maestro Materiales'!A:C,2,FALSE),
IFERROR(VLOOKUP(B796,'Baremos actuales'!A:B,2,FALSE),
IFERROR(VLOOKUP(B796,'Baremos anteriores'!A:B,2,FALSE),
""))))</f>
        <v/>
      </c>
      <c r="E796" s="9"/>
      <c r="F796" s="89" t="str">
        <f>IF(D796="MATE",
IF(E796="","¿Unidades?",""),
IF(D796="",IF(E796="","","¿Código?"),
IF(E796="","¿Unidades?",
IF(D796="TARE",
IF(M796=$H$3,IFERROR(VLOOKUP(B796,'Baremos actuales'!A:C,3,FALSE),0),
IF(M796=$H$4,IFERROR(VLOOKUP(B796,'Baremos anteriores'!A:C,3,FALSE),0),0))))))</f>
        <v/>
      </c>
      <c r="G796" s="7"/>
      <c r="H796" s="8"/>
      <c r="I796" s="8"/>
      <c r="J796" s="78" t="str">
        <f>IF($D796="","",
IF($E796="","",
IF($D796="MATE","",
IF(VLOOKUP($B796,'Baremos actuales'!A:D,4,FALSE)=J$9,$E796*$F796,IF(VLOOKUP($B796,'Baremos anteriores'!A:D,4,FALSE)="Sin Definir",$E796*$F796,"")))))</f>
        <v/>
      </c>
      <c r="K796" s="79" t="str">
        <f>IF($D796="","",
IF($E796="","",
IF($D796="MATE","",
IF(VLOOKUP($B796,'Baremos actuales'!$A:$D,4,FALSE)=K$9,$E796*$F796,IF(VLOOKUP($B796,'Baremos anteriores'!$A:$D,4,FALSE)="Desmonte",$E796*$F796,"")))))</f>
        <v/>
      </c>
      <c r="L796" s="80" t="str">
        <f>IF($D796="","",
IF($E796="","",
IF($D796="MATE","",
IF(VLOOKUP($B796,'Baremos actuales'!$A:$D,4,FALSE)=L$9,$E796*$F796,""))))</f>
        <v/>
      </c>
      <c r="M796" s="91" t="str">
        <f t="shared" si="12"/>
        <v/>
      </c>
      <c r="N796" s="96"/>
      <c r="O796" s="95"/>
      <c r="P796" s="96"/>
      <c r="Q796" s="98"/>
    </row>
    <row r="797" spans="1:17" ht="15.75" x14ac:dyDescent="0.2">
      <c r="A797" s="17"/>
      <c r="B797" s="18"/>
      <c r="C797" s="87" t="str">
        <f>IF(B797="","",
IF(M797=$H$5,IFERROR(VLOOKUP(B797,'Baremos actuales'!A:E,5,FALSE),"No encontrado. Revisar código, fecha ejecución y/o contrato."),
IF(M797=$H$4,IFERROR(VLOOKUP(B797,'Baremos anteriores'!A:E,5,FALSE),"No encontrado. Revisar código, fecha ejecución y/o contrato."),
IF(M797=$H$3,IFERROR(VLOOKUP(B797,#REF!,5,FALSE),"No encontrado. Revisar código, fecha ejecución y/o contrato."),
IF(D797="","Código no encontrado",
IF(D797="ERROR","No encontrado. Revisar Código, fecha de ejecución y/o contrato.",
IF(D797="MATE",
IF(C796="DESCRIPCION","NO SE PUEDE COMENZAR SIN CÓDIGO DE TAREA",
IF(C796="","FALTA CÓDIGO DE TAREA",
CONCATENATE("          ",VLOOKUP(B797,'Maestro Materiales'!A:C,3,FALSE)))),IFERROR(VLOOKUP(B797,#REF!,5,FALSE),"No encontrado. Revisar código, fecha ejecución y/o contrato."))))))))</f>
        <v/>
      </c>
      <c r="D797" s="88" t="str">
        <f>IF(B797="","",
IFERROR(VLOOKUP(B797,'Maestro Materiales'!A:C,2,FALSE),
IFERROR(VLOOKUP(B797,'Baremos actuales'!A:B,2,FALSE),
IFERROR(VLOOKUP(B797,'Baremos anteriores'!A:B,2,FALSE),
""))))</f>
        <v/>
      </c>
      <c r="E797" s="9"/>
      <c r="F797" s="89" t="str">
        <f>IF(D797="MATE",
IF(E797="","¿Unidades?",""),
IF(D797="",IF(E797="","","¿Código?"),
IF(E797="","¿Unidades?",
IF(D797="TARE",
IF(M797=$H$3,IFERROR(VLOOKUP(B797,'Baremos actuales'!A:C,3,FALSE),0),
IF(M797=$H$4,IFERROR(VLOOKUP(B797,'Baremos anteriores'!A:C,3,FALSE),0),0))))))</f>
        <v/>
      </c>
      <c r="G797" s="7"/>
      <c r="H797" s="8"/>
      <c r="I797" s="8"/>
      <c r="J797" s="78" t="str">
        <f>IF($D797="","",
IF($E797="","",
IF($D797="MATE","",
IF(VLOOKUP($B797,'Baremos actuales'!A:D,4,FALSE)=J$9,$E797*$F797,IF(VLOOKUP($B797,'Baremos anteriores'!A:D,4,FALSE)="Sin Definir",$E797*$F797,"")))))</f>
        <v/>
      </c>
      <c r="K797" s="79" t="str">
        <f>IF($D797="","",
IF($E797="","",
IF($D797="MATE","",
IF(VLOOKUP($B797,'Baremos actuales'!$A:$D,4,FALSE)=K$9,$E797*$F797,IF(VLOOKUP($B797,'Baremos anteriores'!$A:$D,4,FALSE)="Desmonte",$E797*$F797,"")))))</f>
        <v/>
      </c>
      <c r="L797" s="80" t="str">
        <f>IF($D797="","",
IF($E797="","",
IF($D797="MATE","",
IF(VLOOKUP($B797,'Baremos actuales'!$A:$D,4,FALSE)=L$9,$E797*$F797,""))))</f>
        <v/>
      </c>
      <c r="M797" s="91" t="str">
        <f t="shared" si="12"/>
        <v/>
      </c>
      <c r="N797" s="96"/>
      <c r="O797" s="95"/>
      <c r="P797" s="96"/>
      <c r="Q797" s="98"/>
    </row>
    <row r="798" spans="1:17" ht="15.75" x14ac:dyDescent="0.2">
      <c r="A798" s="17"/>
      <c r="B798" s="18"/>
      <c r="C798" s="87" t="str">
        <f>IF(B798="","",
IF(M798=$H$5,IFERROR(VLOOKUP(B798,'Baremos actuales'!A:E,5,FALSE),"No encontrado. Revisar código, fecha ejecución y/o contrato."),
IF(M798=$H$4,IFERROR(VLOOKUP(B798,'Baremos anteriores'!A:E,5,FALSE),"No encontrado. Revisar código, fecha ejecución y/o contrato."),
IF(M798=$H$3,IFERROR(VLOOKUP(B798,#REF!,5,FALSE),"No encontrado. Revisar código, fecha ejecución y/o contrato."),
IF(D798="","Código no encontrado",
IF(D798="ERROR","No encontrado. Revisar Código, fecha de ejecución y/o contrato.",
IF(D798="MATE",
IF(C797="DESCRIPCION","NO SE PUEDE COMENZAR SIN CÓDIGO DE TAREA",
IF(C797="","FALTA CÓDIGO DE TAREA",
CONCATENATE("          ",VLOOKUP(B798,'Maestro Materiales'!A:C,3,FALSE)))),IFERROR(VLOOKUP(B798,#REF!,5,FALSE),"No encontrado. Revisar código, fecha ejecución y/o contrato."))))))))</f>
        <v/>
      </c>
      <c r="D798" s="88" t="str">
        <f>IF(B798="","",
IFERROR(VLOOKUP(B798,'Maestro Materiales'!A:C,2,FALSE),
IFERROR(VLOOKUP(B798,'Baremos actuales'!A:B,2,FALSE),
IFERROR(VLOOKUP(B798,'Baremos anteriores'!A:B,2,FALSE),
""))))</f>
        <v/>
      </c>
      <c r="E798" s="9"/>
      <c r="F798" s="89" t="str">
        <f>IF(D798="MATE",
IF(E798="","¿Unidades?",""),
IF(D798="",IF(E798="","","¿Código?"),
IF(E798="","¿Unidades?",
IF(D798="TARE",
IF(M798=$H$3,IFERROR(VLOOKUP(B798,'Baremos actuales'!A:C,3,FALSE),0),
IF(M798=$H$4,IFERROR(VLOOKUP(B798,'Baremos anteriores'!A:C,3,FALSE),0),0))))))</f>
        <v/>
      </c>
      <c r="G798" s="7"/>
      <c r="H798" s="8"/>
      <c r="I798" s="8"/>
      <c r="J798" s="78" t="str">
        <f>IF($D798="","",
IF($E798="","",
IF($D798="MATE","",
IF(VLOOKUP($B798,'Baremos actuales'!A:D,4,FALSE)=J$9,$E798*$F798,IF(VLOOKUP($B798,'Baremos anteriores'!A:D,4,FALSE)="Sin Definir",$E798*$F798,"")))))</f>
        <v/>
      </c>
      <c r="K798" s="79" t="str">
        <f>IF($D798="","",
IF($E798="","",
IF($D798="MATE","",
IF(VLOOKUP($B798,'Baremos actuales'!$A:$D,4,FALSE)=K$9,$E798*$F798,IF(VLOOKUP($B798,'Baremos anteriores'!$A:$D,4,FALSE)="Desmonte",$E798*$F798,"")))))</f>
        <v/>
      </c>
      <c r="L798" s="80" t="str">
        <f>IF($D798="","",
IF($E798="","",
IF($D798="MATE","",
IF(VLOOKUP($B798,'Baremos actuales'!$A:$D,4,FALSE)=L$9,$E798*$F798,""))))</f>
        <v/>
      </c>
      <c r="M798" s="91" t="str">
        <f t="shared" si="12"/>
        <v/>
      </c>
      <c r="N798" s="96"/>
      <c r="O798" s="95"/>
      <c r="P798" s="96"/>
      <c r="Q798" s="98"/>
    </row>
    <row r="799" spans="1:17" ht="15.75" x14ac:dyDescent="0.2">
      <c r="A799" s="17"/>
      <c r="B799" s="18"/>
      <c r="C799" s="87" t="str">
        <f>IF(B799="","",
IF(M799=$H$5,IFERROR(VLOOKUP(B799,'Baremos actuales'!A:E,5,FALSE),"No encontrado. Revisar código, fecha ejecución y/o contrato."),
IF(M799=$H$4,IFERROR(VLOOKUP(B799,'Baremos anteriores'!A:E,5,FALSE),"No encontrado. Revisar código, fecha ejecución y/o contrato."),
IF(M799=$H$3,IFERROR(VLOOKUP(B799,#REF!,5,FALSE),"No encontrado. Revisar código, fecha ejecución y/o contrato."),
IF(D799="","Código no encontrado",
IF(D799="ERROR","No encontrado. Revisar Código, fecha de ejecución y/o contrato.",
IF(D799="MATE",
IF(C798="DESCRIPCION","NO SE PUEDE COMENZAR SIN CÓDIGO DE TAREA",
IF(C798="","FALTA CÓDIGO DE TAREA",
CONCATENATE("          ",VLOOKUP(B799,'Maestro Materiales'!A:C,3,FALSE)))),IFERROR(VLOOKUP(B799,#REF!,5,FALSE),"No encontrado. Revisar código, fecha ejecución y/o contrato."))))))))</f>
        <v/>
      </c>
      <c r="D799" s="88" t="str">
        <f>IF(B799="","",
IFERROR(VLOOKUP(B799,'Maestro Materiales'!A:C,2,FALSE),
IFERROR(VLOOKUP(B799,'Baremos actuales'!A:B,2,FALSE),
IFERROR(VLOOKUP(B799,'Baremos anteriores'!A:B,2,FALSE),
""))))</f>
        <v/>
      </c>
      <c r="E799" s="9"/>
      <c r="F799" s="89" t="str">
        <f>IF(D799="MATE",
IF(E799="","¿Unidades?",""),
IF(D799="",IF(E799="","","¿Código?"),
IF(E799="","¿Unidades?",
IF(D799="TARE",
IF(M799=$H$3,IFERROR(VLOOKUP(B799,'Baremos actuales'!A:C,3,FALSE),0),
IF(M799=$H$4,IFERROR(VLOOKUP(B799,'Baremos anteriores'!A:C,3,FALSE),0),0))))))</f>
        <v/>
      </c>
      <c r="G799" s="7"/>
      <c r="H799" s="8"/>
      <c r="I799" s="8"/>
      <c r="J799" s="78" t="str">
        <f>IF($D799="","",
IF($E799="","",
IF($D799="MATE","",
IF(VLOOKUP($B799,'Baremos actuales'!A:D,4,FALSE)=J$9,$E799*$F799,IF(VLOOKUP($B799,'Baremos anteriores'!A:D,4,FALSE)="Sin Definir",$E799*$F799,"")))))</f>
        <v/>
      </c>
      <c r="K799" s="79" t="str">
        <f>IF($D799="","",
IF($E799="","",
IF($D799="MATE","",
IF(VLOOKUP($B799,'Baremos actuales'!$A:$D,4,FALSE)=K$9,$E799*$F799,IF(VLOOKUP($B799,'Baremos anteriores'!$A:$D,4,FALSE)="Desmonte",$E799*$F799,"")))))</f>
        <v/>
      </c>
      <c r="L799" s="80" t="str">
        <f>IF($D799="","",
IF($E799="","",
IF($D799="MATE","",
IF(VLOOKUP($B799,'Baremos actuales'!$A:$D,4,FALSE)=L$9,$E799*$F799,""))))</f>
        <v/>
      </c>
      <c r="M799" s="91" t="str">
        <f t="shared" si="12"/>
        <v/>
      </c>
      <c r="N799" s="96"/>
      <c r="O799" s="95"/>
      <c r="P799" s="96"/>
      <c r="Q799" s="98"/>
    </row>
    <row r="800" spans="1:17" ht="15.75" x14ac:dyDescent="0.2">
      <c r="A800" s="17"/>
      <c r="B800" s="18"/>
      <c r="C800" s="87" t="str">
        <f>IF(B800="","",
IF(M800=$H$5,IFERROR(VLOOKUP(B800,'Baremos actuales'!A:E,5,FALSE),"No encontrado. Revisar código, fecha ejecución y/o contrato."),
IF(M800=$H$4,IFERROR(VLOOKUP(B800,'Baremos anteriores'!A:E,5,FALSE),"No encontrado. Revisar código, fecha ejecución y/o contrato."),
IF(M800=$H$3,IFERROR(VLOOKUP(B800,#REF!,5,FALSE),"No encontrado. Revisar código, fecha ejecución y/o contrato."),
IF(D800="","Código no encontrado",
IF(D800="ERROR","No encontrado. Revisar Código, fecha de ejecución y/o contrato.",
IF(D800="MATE",
IF(C799="DESCRIPCION","NO SE PUEDE COMENZAR SIN CÓDIGO DE TAREA",
IF(C799="","FALTA CÓDIGO DE TAREA",
CONCATENATE("          ",VLOOKUP(B800,'Maestro Materiales'!A:C,3,FALSE)))),IFERROR(VLOOKUP(B800,#REF!,5,FALSE),"No encontrado. Revisar código, fecha ejecución y/o contrato."))))))))</f>
        <v/>
      </c>
      <c r="D800" s="88" t="str">
        <f>IF(B800="","",
IFERROR(VLOOKUP(B800,'Maestro Materiales'!A:C,2,FALSE),
IFERROR(VLOOKUP(B800,'Baremos actuales'!A:B,2,FALSE),
IFERROR(VLOOKUP(B800,'Baremos anteriores'!A:B,2,FALSE),
""))))</f>
        <v/>
      </c>
      <c r="E800" s="9"/>
      <c r="F800" s="89" t="str">
        <f>IF(D800="MATE",
IF(E800="","¿Unidades?",""),
IF(D800="",IF(E800="","","¿Código?"),
IF(E800="","¿Unidades?",
IF(D800="TARE",
IF(M800=$H$3,IFERROR(VLOOKUP(B800,'Baremos actuales'!A:C,3,FALSE),0),
IF(M800=$H$4,IFERROR(VLOOKUP(B800,'Baremos anteriores'!A:C,3,FALSE),0),0))))))</f>
        <v/>
      </c>
      <c r="G800" s="7"/>
      <c r="H800" s="8"/>
      <c r="I800" s="8"/>
      <c r="J800" s="78" t="str">
        <f>IF($D800="","",
IF($E800="","",
IF($D800="MATE","",
IF(VLOOKUP($B800,'Baremos actuales'!A:D,4,FALSE)=J$9,$E800*$F800,IF(VLOOKUP($B800,'Baremos anteriores'!A:D,4,FALSE)="Sin Definir",$E800*$F800,"")))))</f>
        <v/>
      </c>
      <c r="K800" s="79" t="str">
        <f>IF($D800="","",
IF($E800="","",
IF($D800="MATE","",
IF(VLOOKUP($B800,'Baremos actuales'!$A:$D,4,FALSE)=K$9,$E800*$F800,IF(VLOOKUP($B800,'Baremos anteriores'!$A:$D,4,FALSE)="Desmonte",$E800*$F800,"")))))</f>
        <v/>
      </c>
      <c r="L800" s="80" t="str">
        <f>IF($D800="","",
IF($E800="","",
IF($D800="MATE","",
IF(VLOOKUP($B800,'Baremos actuales'!$A:$D,4,FALSE)=L$9,$E800*$F800,""))))</f>
        <v/>
      </c>
      <c r="M800" s="91" t="str">
        <f t="shared" si="12"/>
        <v/>
      </c>
      <c r="N800" s="96"/>
      <c r="O800" s="95"/>
      <c r="P800" s="96"/>
      <c r="Q800" s="98"/>
    </row>
    <row r="801" spans="1:17" ht="15.75" x14ac:dyDescent="0.2">
      <c r="A801" s="17"/>
      <c r="B801" s="18"/>
      <c r="C801" s="87" t="str">
        <f>IF(B801="","",
IF(M801=$H$5,IFERROR(VLOOKUP(B801,'Baremos actuales'!A:E,5,FALSE),"No encontrado. Revisar código, fecha ejecución y/o contrato."),
IF(M801=$H$4,IFERROR(VLOOKUP(B801,'Baremos anteriores'!A:E,5,FALSE),"No encontrado. Revisar código, fecha ejecución y/o contrato."),
IF(M801=$H$3,IFERROR(VLOOKUP(B801,#REF!,5,FALSE),"No encontrado. Revisar código, fecha ejecución y/o contrato."),
IF(D801="","Código no encontrado",
IF(D801="ERROR","No encontrado. Revisar Código, fecha de ejecución y/o contrato.",
IF(D801="MATE",
IF(C800="DESCRIPCION","NO SE PUEDE COMENZAR SIN CÓDIGO DE TAREA",
IF(C800="","FALTA CÓDIGO DE TAREA",
CONCATENATE("          ",VLOOKUP(B801,'Maestro Materiales'!A:C,3,FALSE)))),IFERROR(VLOOKUP(B801,#REF!,5,FALSE),"No encontrado. Revisar código, fecha ejecución y/o contrato."))))))))</f>
        <v/>
      </c>
      <c r="D801" s="88" t="str">
        <f>IF(B801="","",
IFERROR(VLOOKUP(B801,'Maestro Materiales'!A:C,2,FALSE),
IFERROR(VLOOKUP(B801,'Baremos actuales'!A:B,2,FALSE),
IFERROR(VLOOKUP(B801,'Baremos anteriores'!A:B,2,FALSE),
""))))</f>
        <v/>
      </c>
      <c r="E801" s="9"/>
      <c r="F801" s="89" t="str">
        <f>IF(D801="MATE",
IF(E801="","¿Unidades?",""),
IF(D801="",IF(E801="","","¿Código?"),
IF(E801="","¿Unidades?",
IF(D801="TARE",
IF(M801=$H$3,IFERROR(VLOOKUP(B801,'Baremos actuales'!A:C,3,FALSE),0),
IF(M801=$H$4,IFERROR(VLOOKUP(B801,'Baremos anteriores'!A:C,3,FALSE),0),0))))))</f>
        <v/>
      </c>
      <c r="G801" s="7"/>
      <c r="H801" s="8"/>
      <c r="I801" s="8"/>
      <c r="J801" s="78" t="str">
        <f>IF($D801="","",
IF($E801="","",
IF($D801="MATE","",
IF(VLOOKUP($B801,'Baremos actuales'!A:D,4,FALSE)=J$9,$E801*$F801,IF(VLOOKUP($B801,'Baremos anteriores'!A:D,4,FALSE)="Sin Definir",$E801*$F801,"")))))</f>
        <v/>
      </c>
      <c r="K801" s="79" t="str">
        <f>IF($D801="","",
IF($E801="","",
IF($D801="MATE","",
IF(VLOOKUP($B801,'Baremos actuales'!$A:$D,4,FALSE)=K$9,$E801*$F801,IF(VLOOKUP($B801,'Baremos anteriores'!$A:$D,4,FALSE)="Desmonte",$E801*$F801,"")))))</f>
        <v/>
      </c>
      <c r="L801" s="80" t="str">
        <f>IF($D801="","",
IF($E801="","",
IF($D801="MATE","",
IF(VLOOKUP($B801,'Baremos actuales'!$A:$D,4,FALSE)=L$9,$E801*$F801,""))))</f>
        <v/>
      </c>
      <c r="M801" s="91" t="str">
        <f t="shared" si="12"/>
        <v/>
      </c>
      <c r="N801" s="96"/>
      <c r="O801" s="95"/>
      <c r="P801" s="96"/>
      <c r="Q801" s="98"/>
    </row>
    <row r="802" spans="1:17" ht="15.75" x14ac:dyDescent="0.2">
      <c r="A802" s="17"/>
      <c r="B802" s="18"/>
      <c r="C802" s="87" t="str">
        <f>IF(B802="","",
IF(M802=$H$5,IFERROR(VLOOKUP(B802,'Baremos actuales'!A:E,5,FALSE),"No encontrado. Revisar código, fecha ejecución y/o contrato."),
IF(M802=$H$4,IFERROR(VLOOKUP(B802,'Baremos anteriores'!A:E,5,FALSE),"No encontrado. Revisar código, fecha ejecución y/o contrato."),
IF(M802=$H$3,IFERROR(VLOOKUP(B802,#REF!,5,FALSE),"No encontrado. Revisar código, fecha ejecución y/o contrato."),
IF(D802="","Código no encontrado",
IF(D802="ERROR","No encontrado. Revisar Código, fecha de ejecución y/o contrato.",
IF(D802="MATE",
IF(C801="DESCRIPCION","NO SE PUEDE COMENZAR SIN CÓDIGO DE TAREA",
IF(C801="","FALTA CÓDIGO DE TAREA",
CONCATENATE("          ",VLOOKUP(B802,'Maestro Materiales'!A:C,3,FALSE)))),IFERROR(VLOOKUP(B802,#REF!,5,FALSE),"No encontrado. Revisar código, fecha ejecución y/o contrato."))))))))</f>
        <v/>
      </c>
      <c r="D802" s="88" t="str">
        <f>IF(B802="","",
IFERROR(VLOOKUP(B802,'Maestro Materiales'!A:C,2,FALSE),
IFERROR(VLOOKUP(B802,'Baremos actuales'!A:B,2,FALSE),
IFERROR(VLOOKUP(B802,'Baremos anteriores'!A:B,2,FALSE),
""))))</f>
        <v/>
      </c>
      <c r="E802" s="9"/>
      <c r="F802" s="89" t="str">
        <f>IF(D802="MATE",
IF(E802="","¿Unidades?",""),
IF(D802="",IF(E802="","","¿Código?"),
IF(E802="","¿Unidades?",
IF(D802="TARE",
IF(M802=$H$3,IFERROR(VLOOKUP(B802,'Baremos actuales'!A:C,3,FALSE),0),
IF(M802=$H$4,IFERROR(VLOOKUP(B802,'Baremos anteriores'!A:C,3,FALSE),0),0))))))</f>
        <v/>
      </c>
      <c r="G802" s="7"/>
      <c r="H802" s="8"/>
      <c r="I802" s="8"/>
      <c r="J802" s="78" t="str">
        <f>IF($D802="","",
IF($E802="","",
IF($D802="MATE","",
IF(VLOOKUP($B802,'Baremos actuales'!A:D,4,FALSE)=J$9,$E802*$F802,IF(VLOOKUP($B802,'Baremos anteriores'!A:D,4,FALSE)="Sin Definir",$E802*$F802,"")))))</f>
        <v/>
      </c>
      <c r="K802" s="79" t="str">
        <f>IF($D802="","",
IF($E802="","",
IF($D802="MATE","",
IF(VLOOKUP($B802,'Baremos actuales'!$A:$D,4,FALSE)=K$9,$E802*$F802,IF(VLOOKUP($B802,'Baremos anteriores'!$A:$D,4,FALSE)="Desmonte",$E802*$F802,"")))))</f>
        <v/>
      </c>
      <c r="L802" s="80" t="str">
        <f>IF($D802="","",
IF($E802="","",
IF($D802="MATE","",
IF(VLOOKUP($B802,'Baremos actuales'!$A:$D,4,FALSE)=L$9,$E802*$F802,""))))</f>
        <v/>
      </c>
      <c r="M802" s="91" t="str">
        <f t="shared" si="12"/>
        <v/>
      </c>
      <c r="N802" s="96"/>
      <c r="O802" s="95"/>
      <c r="P802" s="96"/>
      <c r="Q802" s="98"/>
    </row>
    <row r="803" spans="1:17" ht="15.75" x14ac:dyDescent="0.2">
      <c r="A803" s="17"/>
      <c r="B803" s="18"/>
      <c r="C803" s="87" t="str">
        <f>IF(B803="","",
IF(M803=$H$5,IFERROR(VLOOKUP(B803,'Baremos actuales'!A:E,5,FALSE),"No encontrado. Revisar código, fecha ejecución y/o contrato."),
IF(M803=$H$4,IFERROR(VLOOKUP(B803,'Baremos anteriores'!A:E,5,FALSE),"No encontrado. Revisar código, fecha ejecución y/o contrato."),
IF(M803=$H$3,IFERROR(VLOOKUP(B803,#REF!,5,FALSE),"No encontrado. Revisar código, fecha ejecución y/o contrato."),
IF(D803="","Código no encontrado",
IF(D803="ERROR","No encontrado. Revisar Código, fecha de ejecución y/o contrato.",
IF(D803="MATE",
IF(C802="DESCRIPCION","NO SE PUEDE COMENZAR SIN CÓDIGO DE TAREA",
IF(C802="","FALTA CÓDIGO DE TAREA",
CONCATENATE("          ",VLOOKUP(B803,'Maestro Materiales'!A:C,3,FALSE)))),IFERROR(VLOOKUP(B803,#REF!,5,FALSE),"No encontrado. Revisar código, fecha ejecución y/o contrato."))))))))</f>
        <v/>
      </c>
      <c r="D803" s="88" t="str">
        <f>IF(B803="","",
IFERROR(VLOOKUP(B803,'Maestro Materiales'!A:C,2,FALSE),
IFERROR(VLOOKUP(B803,'Baremos actuales'!A:B,2,FALSE),
IFERROR(VLOOKUP(B803,'Baremos anteriores'!A:B,2,FALSE),
""))))</f>
        <v/>
      </c>
      <c r="E803" s="9"/>
      <c r="F803" s="89" t="str">
        <f>IF(D803="MATE",
IF(E803="","¿Unidades?",""),
IF(D803="",IF(E803="","","¿Código?"),
IF(E803="","¿Unidades?",
IF(D803="TARE",
IF(M803=$H$3,IFERROR(VLOOKUP(B803,'Baremos actuales'!A:C,3,FALSE),0),
IF(M803=$H$4,IFERROR(VLOOKUP(B803,'Baremos anteriores'!A:C,3,FALSE),0),0))))))</f>
        <v/>
      </c>
      <c r="G803" s="7"/>
      <c r="H803" s="8"/>
      <c r="I803" s="8"/>
      <c r="J803" s="78" t="str">
        <f>IF($D803="","",
IF($E803="","",
IF($D803="MATE","",
IF(VLOOKUP($B803,'Baremos actuales'!A:D,4,FALSE)=J$9,$E803*$F803,IF(VLOOKUP($B803,'Baremos anteriores'!A:D,4,FALSE)="Sin Definir",$E803*$F803,"")))))</f>
        <v/>
      </c>
      <c r="K803" s="79" t="str">
        <f>IF($D803="","",
IF($E803="","",
IF($D803="MATE","",
IF(VLOOKUP($B803,'Baremos actuales'!$A:$D,4,FALSE)=K$9,$E803*$F803,IF(VLOOKUP($B803,'Baremos anteriores'!$A:$D,4,FALSE)="Desmonte",$E803*$F803,"")))))</f>
        <v/>
      </c>
      <c r="L803" s="80" t="str">
        <f>IF($D803="","",
IF($E803="","",
IF($D803="MATE","",
IF(VLOOKUP($B803,'Baremos actuales'!$A:$D,4,FALSE)=L$9,$E803*$F803,""))))</f>
        <v/>
      </c>
      <c r="M803" s="91" t="str">
        <f t="shared" si="12"/>
        <v/>
      </c>
      <c r="N803" s="96"/>
      <c r="O803" s="95"/>
      <c r="P803" s="96"/>
      <c r="Q803" s="98"/>
    </row>
    <row r="804" spans="1:17" ht="15.75" x14ac:dyDescent="0.2">
      <c r="A804" s="17"/>
      <c r="B804" s="18"/>
      <c r="C804" s="87" t="str">
        <f>IF(B804="","",
IF(M804=$H$5,IFERROR(VLOOKUP(B804,'Baremos actuales'!A:E,5,FALSE),"No encontrado. Revisar código, fecha ejecución y/o contrato."),
IF(M804=$H$4,IFERROR(VLOOKUP(B804,'Baremos anteriores'!A:E,5,FALSE),"No encontrado. Revisar código, fecha ejecución y/o contrato."),
IF(M804=$H$3,IFERROR(VLOOKUP(B804,#REF!,5,FALSE),"No encontrado. Revisar código, fecha ejecución y/o contrato."),
IF(D804="","Código no encontrado",
IF(D804="ERROR","No encontrado. Revisar Código, fecha de ejecución y/o contrato.",
IF(D804="MATE",
IF(C803="DESCRIPCION","NO SE PUEDE COMENZAR SIN CÓDIGO DE TAREA",
IF(C803="","FALTA CÓDIGO DE TAREA",
CONCATENATE("          ",VLOOKUP(B804,'Maestro Materiales'!A:C,3,FALSE)))),IFERROR(VLOOKUP(B804,#REF!,5,FALSE),"No encontrado. Revisar código, fecha ejecución y/o contrato."))))))))</f>
        <v/>
      </c>
      <c r="D804" s="88" t="str">
        <f>IF(B804="","",
IFERROR(VLOOKUP(B804,'Maestro Materiales'!A:C,2,FALSE),
IFERROR(VLOOKUP(B804,'Baremos actuales'!A:B,2,FALSE),
IFERROR(VLOOKUP(B804,'Baremos anteriores'!A:B,2,FALSE),
""))))</f>
        <v/>
      </c>
      <c r="E804" s="9"/>
      <c r="F804" s="89" t="str">
        <f>IF(D804="MATE",
IF(E804="","¿Unidades?",""),
IF(D804="",IF(E804="","","¿Código?"),
IF(E804="","¿Unidades?",
IF(D804="TARE",
IF(M804=$H$3,IFERROR(VLOOKUP(B804,'Baremos actuales'!A:C,3,FALSE),0),
IF(M804=$H$4,IFERROR(VLOOKUP(B804,'Baremos anteriores'!A:C,3,FALSE),0),0))))))</f>
        <v/>
      </c>
      <c r="G804" s="7"/>
      <c r="H804" s="8"/>
      <c r="I804" s="8"/>
      <c r="J804" s="78" t="str">
        <f>IF($D804="","",
IF($E804="","",
IF($D804="MATE","",
IF(VLOOKUP($B804,'Baremos actuales'!A:D,4,FALSE)=J$9,$E804*$F804,IF(VLOOKUP($B804,'Baremos anteriores'!A:D,4,FALSE)="Sin Definir",$E804*$F804,"")))))</f>
        <v/>
      </c>
      <c r="K804" s="79" t="str">
        <f>IF($D804="","",
IF($E804="","",
IF($D804="MATE","",
IF(VLOOKUP($B804,'Baremos actuales'!$A:$D,4,FALSE)=K$9,$E804*$F804,IF(VLOOKUP($B804,'Baremos anteriores'!$A:$D,4,FALSE)="Desmonte",$E804*$F804,"")))))</f>
        <v/>
      </c>
      <c r="L804" s="80" t="str">
        <f>IF($D804="","",
IF($E804="","",
IF($D804="MATE","",
IF(VLOOKUP($B804,'Baremos actuales'!$A:$D,4,FALSE)=L$9,$E804*$F804,""))))</f>
        <v/>
      </c>
      <c r="M804" s="91" t="str">
        <f t="shared" si="12"/>
        <v/>
      </c>
      <c r="N804" s="96"/>
      <c r="O804" s="95"/>
      <c r="P804" s="96"/>
      <c r="Q804" s="98"/>
    </row>
    <row r="805" spans="1:17" ht="15.75" x14ac:dyDescent="0.2">
      <c r="A805" s="17"/>
      <c r="B805" s="18"/>
      <c r="C805" s="87" t="str">
        <f>IF(B805="","",
IF(M805=$H$5,IFERROR(VLOOKUP(B805,'Baremos actuales'!A:E,5,FALSE),"No encontrado. Revisar código, fecha ejecución y/o contrato."),
IF(M805=$H$4,IFERROR(VLOOKUP(B805,'Baremos anteriores'!A:E,5,FALSE),"No encontrado. Revisar código, fecha ejecución y/o contrato."),
IF(M805=$H$3,IFERROR(VLOOKUP(B805,#REF!,5,FALSE),"No encontrado. Revisar código, fecha ejecución y/o contrato."),
IF(D805="","Código no encontrado",
IF(D805="ERROR","No encontrado. Revisar Código, fecha de ejecución y/o contrato.",
IF(D805="MATE",
IF(C804="DESCRIPCION","NO SE PUEDE COMENZAR SIN CÓDIGO DE TAREA",
IF(C804="","FALTA CÓDIGO DE TAREA",
CONCATENATE("          ",VLOOKUP(B805,'Maestro Materiales'!A:C,3,FALSE)))),IFERROR(VLOOKUP(B805,#REF!,5,FALSE),"No encontrado. Revisar código, fecha ejecución y/o contrato."))))))))</f>
        <v/>
      </c>
      <c r="D805" s="88" t="str">
        <f>IF(B805="","",
IFERROR(VLOOKUP(B805,'Maestro Materiales'!A:C,2,FALSE),
IFERROR(VLOOKUP(B805,'Baremos actuales'!A:B,2,FALSE),
IFERROR(VLOOKUP(B805,'Baremos anteriores'!A:B,2,FALSE),
""))))</f>
        <v/>
      </c>
      <c r="E805" s="9"/>
      <c r="F805" s="89" t="str">
        <f>IF(D805="MATE",
IF(E805="","¿Unidades?",""),
IF(D805="",IF(E805="","","¿Código?"),
IF(E805="","¿Unidades?",
IF(D805="TARE",
IF(M805=$H$3,IFERROR(VLOOKUP(B805,'Baremos actuales'!A:C,3,FALSE),0),
IF(M805=$H$4,IFERROR(VLOOKUP(B805,'Baremos anteriores'!A:C,3,FALSE),0),0))))))</f>
        <v/>
      </c>
      <c r="G805" s="7"/>
      <c r="H805" s="8"/>
      <c r="I805" s="8"/>
      <c r="J805" s="78" t="str">
        <f>IF($D805="","",
IF($E805="","",
IF($D805="MATE","",
IF(VLOOKUP($B805,'Baremos actuales'!A:D,4,FALSE)=J$9,$E805*$F805,IF(VLOOKUP($B805,'Baremos anteriores'!A:D,4,FALSE)="Sin Definir",$E805*$F805,"")))))</f>
        <v/>
      </c>
      <c r="K805" s="79" t="str">
        <f>IF($D805="","",
IF($E805="","",
IF($D805="MATE","",
IF(VLOOKUP($B805,'Baremos actuales'!$A:$D,4,FALSE)=K$9,$E805*$F805,IF(VLOOKUP($B805,'Baremos anteriores'!$A:$D,4,FALSE)="Desmonte",$E805*$F805,"")))))</f>
        <v/>
      </c>
      <c r="L805" s="80" t="str">
        <f>IF($D805="","",
IF($E805="","",
IF($D805="MATE","",
IF(VLOOKUP($B805,'Baremos actuales'!$A:$D,4,FALSE)=L$9,$E805*$F805,""))))</f>
        <v/>
      </c>
      <c r="M805" s="91" t="str">
        <f t="shared" si="12"/>
        <v/>
      </c>
      <c r="N805" s="96"/>
      <c r="O805" s="95"/>
      <c r="P805" s="96"/>
      <c r="Q805" s="98"/>
    </row>
    <row r="806" spans="1:17" ht="15.75" x14ac:dyDescent="0.2">
      <c r="A806" s="17"/>
      <c r="B806" s="18"/>
      <c r="C806" s="87" t="str">
        <f>IF(B806="","",
IF(M806=$H$5,IFERROR(VLOOKUP(B806,'Baremos actuales'!A:E,5,FALSE),"No encontrado. Revisar código, fecha ejecución y/o contrato."),
IF(M806=$H$4,IFERROR(VLOOKUP(B806,'Baremos anteriores'!A:E,5,FALSE),"No encontrado. Revisar código, fecha ejecución y/o contrato."),
IF(M806=$H$3,IFERROR(VLOOKUP(B806,#REF!,5,FALSE),"No encontrado. Revisar código, fecha ejecución y/o contrato."),
IF(D806="","Código no encontrado",
IF(D806="ERROR","No encontrado. Revisar Código, fecha de ejecución y/o contrato.",
IF(D806="MATE",
IF(C805="DESCRIPCION","NO SE PUEDE COMENZAR SIN CÓDIGO DE TAREA",
IF(C805="","FALTA CÓDIGO DE TAREA",
CONCATENATE("          ",VLOOKUP(B806,'Maestro Materiales'!A:C,3,FALSE)))),IFERROR(VLOOKUP(B806,#REF!,5,FALSE),"No encontrado. Revisar código, fecha ejecución y/o contrato."))))))))</f>
        <v/>
      </c>
      <c r="D806" s="88" t="str">
        <f>IF(B806="","",
IFERROR(VLOOKUP(B806,'Maestro Materiales'!A:C,2,FALSE),
IFERROR(VLOOKUP(B806,'Baremos actuales'!A:B,2,FALSE),
IFERROR(VLOOKUP(B806,'Baremos anteriores'!A:B,2,FALSE),
""))))</f>
        <v/>
      </c>
      <c r="E806" s="9"/>
      <c r="F806" s="89" t="str">
        <f>IF(D806="MATE",
IF(E806="","¿Unidades?",""),
IF(D806="",IF(E806="","","¿Código?"),
IF(E806="","¿Unidades?",
IF(D806="TARE",
IF(M806=$H$3,IFERROR(VLOOKUP(B806,'Baremos actuales'!A:C,3,FALSE),0),
IF(M806=$H$4,IFERROR(VLOOKUP(B806,'Baremos anteriores'!A:C,3,FALSE),0),0))))))</f>
        <v/>
      </c>
      <c r="G806" s="7"/>
      <c r="H806" s="8"/>
      <c r="I806" s="8"/>
      <c r="J806" s="78" t="str">
        <f>IF($D806="","",
IF($E806="","",
IF($D806="MATE","",
IF(VLOOKUP($B806,'Baremos actuales'!A:D,4,FALSE)=J$9,$E806*$F806,IF(VLOOKUP($B806,'Baremos anteriores'!A:D,4,FALSE)="Sin Definir",$E806*$F806,"")))))</f>
        <v/>
      </c>
      <c r="K806" s="79" t="str">
        <f>IF($D806="","",
IF($E806="","",
IF($D806="MATE","",
IF(VLOOKUP($B806,'Baremos actuales'!$A:$D,4,FALSE)=K$9,$E806*$F806,IF(VLOOKUP($B806,'Baremos anteriores'!$A:$D,4,FALSE)="Desmonte",$E806*$F806,"")))))</f>
        <v/>
      </c>
      <c r="L806" s="80" t="str">
        <f>IF($D806="","",
IF($E806="","",
IF($D806="MATE","",
IF(VLOOKUP($B806,'Baremos actuales'!$A:$D,4,FALSE)=L$9,$E806*$F806,""))))</f>
        <v/>
      </c>
      <c r="M806" s="91" t="str">
        <f t="shared" si="12"/>
        <v/>
      </c>
      <c r="N806" s="96"/>
      <c r="O806" s="95"/>
      <c r="P806" s="96"/>
      <c r="Q806" s="98"/>
    </row>
    <row r="807" spans="1:17" ht="15.75" x14ac:dyDescent="0.2">
      <c r="A807" s="17"/>
      <c r="B807" s="18"/>
      <c r="C807" s="87" t="str">
        <f>IF(B807="","",
IF(M807=$H$5,IFERROR(VLOOKUP(B807,'Baremos actuales'!A:E,5,FALSE),"No encontrado. Revisar código, fecha ejecución y/o contrato."),
IF(M807=$H$4,IFERROR(VLOOKUP(B807,'Baremos anteriores'!A:E,5,FALSE),"No encontrado. Revisar código, fecha ejecución y/o contrato."),
IF(M807=$H$3,IFERROR(VLOOKUP(B807,#REF!,5,FALSE),"No encontrado. Revisar código, fecha ejecución y/o contrato."),
IF(D807="","Código no encontrado",
IF(D807="ERROR","No encontrado. Revisar Código, fecha de ejecución y/o contrato.",
IF(D807="MATE",
IF(C806="DESCRIPCION","NO SE PUEDE COMENZAR SIN CÓDIGO DE TAREA",
IF(C806="","FALTA CÓDIGO DE TAREA",
CONCATENATE("          ",VLOOKUP(B807,'Maestro Materiales'!A:C,3,FALSE)))),IFERROR(VLOOKUP(B807,#REF!,5,FALSE),"No encontrado. Revisar código, fecha ejecución y/o contrato."))))))))</f>
        <v/>
      </c>
      <c r="D807" s="88" t="str">
        <f>IF(B807="","",
IFERROR(VLOOKUP(B807,'Maestro Materiales'!A:C,2,FALSE),
IFERROR(VLOOKUP(B807,'Baremos actuales'!A:B,2,FALSE),
IFERROR(VLOOKUP(B807,'Baremos anteriores'!A:B,2,FALSE),
""))))</f>
        <v/>
      </c>
      <c r="E807" s="9"/>
      <c r="F807" s="89" t="str">
        <f>IF(D807="MATE",
IF(E807="","¿Unidades?",""),
IF(D807="",IF(E807="","","¿Código?"),
IF(E807="","¿Unidades?",
IF(D807="TARE",
IF(M807=$H$3,IFERROR(VLOOKUP(B807,'Baremos actuales'!A:C,3,FALSE),0),
IF(M807=$H$4,IFERROR(VLOOKUP(B807,'Baremos anteriores'!A:C,3,FALSE),0),0))))))</f>
        <v/>
      </c>
      <c r="G807" s="7"/>
      <c r="H807" s="8"/>
      <c r="I807" s="8"/>
      <c r="J807" s="78" t="str">
        <f>IF($D807="","",
IF($E807="","",
IF($D807="MATE","",
IF(VLOOKUP($B807,'Baremos actuales'!A:D,4,FALSE)=J$9,$E807*$F807,IF(VLOOKUP($B807,'Baremos anteriores'!A:D,4,FALSE)="Sin Definir",$E807*$F807,"")))))</f>
        <v/>
      </c>
      <c r="K807" s="79" t="str">
        <f>IF($D807="","",
IF($E807="","",
IF($D807="MATE","",
IF(VLOOKUP($B807,'Baremos actuales'!$A:$D,4,FALSE)=K$9,$E807*$F807,IF(VLOOKUP($B807,'Baremos anteriores'!$A:$D,4,FALSE)="Desmonte",$E807*$F807,"")))))</f>
        <v/>
      </c>
      <c r="L807" s="80" t="str">
        <f>IF($D807="","",
IF($E807="","",
IF($D807="MATE","",
IF(VLOOKUP($B807,'Baremos actuales'!$A:$D,4,FALSE)=L$9,$E807*$F807,""))))</f>
        <v/>
      </c>
      <c r="M807" s="91" t="str">
        <f t="shared" si="12"/>
        <v/>
      </c>
      <c r="N807" s="96"/>
      <c r="O807" s="95"/>
      <c r="P807" s="96"/>
      <c r="Q807" s="98"/>
    </row>
    <row r="808" spans="1:17" ht="15.75" x14ac:dyDescent="0.2">
      <c r="A808" s="17"/>
      <c r="B808" s="18"/>
      <c r="C808" s="87" t="str">
        <f>IF(B808="","",
IF(M808=$H$5,IFERROR(VLOOKUP(B808,'Baremos actuales'!A:E,5,FALSE),"No encontrado. Revisar código, fecha ejecución y/o contrato."),
IF(M808=$H$4,IFERROR(VLOOKUP(B808,'Baremos anteriores'!A:E,5,FALSE),"No encontrado. Revisar código, fecha ejecución y/o contrato."),
IF(M808=$H$3,IFERROR(VLOOKUP(B808,#REF!,5,FALSE),"No encontrado. Revisar código, fecha ejecución y/o contrato."),
IF(D808="","Código no encontrado",
IF(D808="ERROR","No encontrado. Revisar Código, fecha de ejecución y/o contrato.",
IF(D808="MATE",
IF(C807="DESCRIPCION","NO SE PUEDE COMENZAR SIN CÓDIGO DE TAREA",
IF(C807="","FALTA CÓDIGO DE TAREA",
CONCATENATE("          ",VLOOKUP(B808,'Maestro Materiales'!A:C,3,FALSE)))),IFERROR(VLOOKUP(B808,#REF!,5,FALSE),"No encontrado. Revisar código, fecha ejecución y/o contrato."))))))))</f>
        <v/>
      </c>
      <c r="D808" s="88" t="str">
        <f>IF(B808="","",
IFERROR(VLOOKUP(B808,'Maestro Materiales'!A:C,2,FALSE),
IFERROR(VLOOKUP(B808,'Baremos actuales'!A:B,2,FALSE),
IFERROR(VLOOKUP(B808,'Baremos anteriores'!A:B,2,FALSE),
""))))</f>
        <v/>
      </c>
      <c r="E808" s="9"/>
      <c r="F808" s="89" t="str">
        <f>IF(D808="MATE",
IF(E808="","¿Unidades?",""),
IF(D808="",IF(E808="","","¿Código?"),
IF(E808="","¿Unidades?",
IF(D808="TARE",
IF(M808=$H$3,IFERROR(VLOOKUP(B808,'Baremos actuales'!A:C,3,FALSE),0),
IF(M808=$H$4,IFERROR(VLOOKUP(B808,'Baremos anteriores'!A:C,3,FALSE),0),0))))))</f>
        <v/>
      </c>
      <c r="G808" s="7"/>
      <c r="H808" s="8"/>
      <c r="I808" s="8"/>
      <c r="J808" s="78" t="str">
        <f>IF($D808="","",
IF($E808="","",
IF($D808="MATE","",
IF(VLOOKUP($B808,'Baremos actuales'!A:D,4,FALSE)=J$9,$E808*$F808,IF(VLOOKUP($B808,'Baremos anteriores'!A:D,4,FALSE)="Sin Definir",$E808*$F808,"")))))</f>
        <v/>
      </c>
      <c r="K808" s="79" t="str">
        <f>IF($D808="","",
IF($E808="","",
IF($D808="MATE","",
IF(VLOOKUP($B808,'Baremos actuales'!$A:$D,4,FALSE)=K$9,$E808*$F808,IF(VLOOKUP($B808,'Baremos anteriores'!$A:$D,4,FALSE)="Desmonte",$E808*$F808,"")))))</f>
        <v/>
      </c>
      <c r="L808" s="80" t="str">
        <f>IF($D808="","",
IF($E808="","",
IF($D808="MATE","",
IF(VLOOKUP($B808,'Baremos actuales'!$A:$D,4,FALSE)=L$9,$E808*$F808,""))))</f>
        <v/>
      </c>
      <c r="M808" s="91" t="str">
        <f t="shared" si="12"/>
        <v/>
      </c>
      <c r="N808" s="96"/>
      <c r="O808" s="95"/>
      <c r="P808" s="96"/>
      <c r="Q808" s="98"/>
    </row>
    <row r="809" spans="1:17" ht="15.75" x14ac:dyDescent="0.2">
      <c r="A809" s="17"/>
      <c r="B809" s="18"/>
      <c r="C809" s="87" t="str">
        <f>IF(B809="","",
IF(M809=$H$5,IFERROR(VLOOKUP(B809,'Baremos actuales'!A:E,5,FALSE),"No encontrado. Revisar código, fecha ejecución y/o contrato."),
IF(M809=$H$4,IFERROR(VLOOKUP(B809,'Baremos anteriores'!A:E,5,FALSE),"No encontrado. Revisar código, fecha ejecución y/o contrato."),
IF(M809=$H$3,IFERROR(VLOOKUP(B809,#REF!,5,FALSE),"No encontrado. Revisar código, fecha ejecución y/o contrato."),
IF(D809="","Código no encontrado",
IF(D809="ERROR","No encontrado. Revisar Código, fecha de ejecución y/o contrato.",
IF(D809="MATE",
IF(C808="DESCRIPCION","NO SE PUEDE COMENZAR SIN CÓDIGO DE TAREA",
IF(C808="","FALTA CÓDIGO DE TAREA",
CONCATENATE("          ",VLOOKUP(B809,'Maestro Materiales'!A:C,3,FALSE)))),IFERROR(VLOOKUP(B809,#REF!,5,FALSE),"No encontrado. Revisar código, fecha ejecución y/o contrato."))))))))</f>
        <v/>
      </c>
      <c r="D809" s="88" t="str">
        <f>IF(B809="","",
IFERROR(VLOOKUP(B809,'Maestro Materiales'!A:C,2,FALSE),
IFERROR(VLOOKUP(B809,'Baremos actuales'!A:B,2,FALSE),
IFERROR(VLOOKUP(B809,'Baremos anteriores'!A:B,2,FALSE),
""))))</f>
        <v/>
      </c>
      <c r="E809" s="9"/>
      <c r="F809" s="89" t="str">
        <f>IF(D809="MATE",
IF(E809="","¿Unidades?",""),
IF(D809="",IF(E809="","","¿Código?"),
IF(E809="","¿Unidades?",
IF(D809="TARE",
IF(M809=$H$3,IFERROR(VLOOKUP(B809,'Baremos actuales'!A:C,3,FALSE),0),
IF(M809=$H$4,IFERROR(VLOOKUP(B809,'Baremos anteriores'!A:C,3,FALSE),0),0))))))</f>
        <v/>
      </c>
      <c r="G809" s="7"/>
      <c r="H809" s="8"/>
      <c r="I809" s="8"/>
      <c r="J809" s="78" t="str">
        <f>IF($D809="","",
IF($E809="","",
IF($D809="MATE","",
IF(VLOOKUP($B809,'Baremos actuales'!A:D,4,FALSE)=J$9,$E809*$F809,IF(VLOOKUP($B809,'Baremos anteriores'!A:D,4,FALSE)="Sin Definir",$E809*$F809,"")))))</f>
        <v/>
      </c>
      <c r="K809" s="79" t="str">
        <f>IF($D809="","",
IF($E809="","",
IF($D809="MATE","",
IF(VLOOKUP($B809,'Baremos actuales'!$A:$D,4,FALSE)=K$9,$E809*$F809,IF(VLOOKUP($B809,'Baremos anteriores'!$A:$D,4,FALSE)="Desmonte",$E809*$F809,"")))))</f>
        <v/>
      </c>
      <c r="L809" s="80" t="str">
        <f>IF($D809="","",
IF($E809="","",
IF($D809="MATE","",
IF(VLOOKUP($B809,'Baremos actuales'!$A:$D,4,FALSE)=L$9,$E809*$F809,""))))</f>
        <v/>
      </c>
      <c r="M809" s="91" t="str">
        <f t="shared" si="12"/>
        <v/>
      </c>
      <c r="N809" s="96"/>
      <c r="O809" s="95"/>
      <c r="P809" s="96"/>
      <c r="Q809" s="98"/>
    </row>
    <row r="810" spans="1:17" ht="15.75" x14ac:dyDescent="0.2">
      <c r="A810" s="17"/>
      <c r="B810" s="18"/>
      <c r="C810" s="87" t="str">
        <f>IF(B810="","",
IF(M810=$H$5,IFERROR(VLOOKUP(B810,'Baremos actuales'!A:E,5,FALSE),"No encontrado. Revisar código, fecha ejecución y/o contrato."),
IF(M810=$H$4,IFERROR(VLOOKUP(B810,'Baremos anteriores'!A:E,5,FALSE),"No encontrado. Revisar código, fecha ejecución y/o contrato."),
IF(M810=$H$3,IFERROR(VLOOKUP(B810,#REF!,5,FALSE),"No encontrado. Revisar código, fecha ejecución y/o contrato."),
IF(D810="","Código no encontrado",
IF(D810="ERROR","No encontrado. Revisar Código, fecha de ejecución y/o contrato.",
IF(D810="MATE",
IF(C809="DESCRIPCION","NO SE PUEDE COMENZAR SIN CÓDIGO DE TAREA",
IF(C809="","FALTA CÓDIGO DE TAREA",
CONCATENATE("          ",VLOOKUP(B810,'Maestro Materiales'!A:C,3,FALSE)))),IFERROR(VLOOKUP(B810,#REF!,5,FALSE),"No encontrado. Revisar código, fecha ejecución y/o contrato."))))))))</f>
        <v/>
      </c>
      <c r="D810" s="88" t="str">
        <f>IF(B810="","",
IFERROR(VLOOKUP(B810,'Maestro Materiales'!A:C,2,FALSE),
IFERROR(VLOOKUP(B810,'Baremos actuales'!A:B,2,FALSE),
IFERROR(VLOOKUP(B810,'Baremos anteriores'!A:B,2,FALSE),
""))))</f>
        <v/>
      </c>
      <c r="E810" s="9"/>
      <c r="F810" s="89" t="str">
        <f>IF(D810="MATE",
IF(E810="","¿Unidades?",""),
IF(D810="",IF(E810="","","¿Código?"),
IF(E810="","¿Unidades?",
IF(D810="TARE",
IF(M810=$H$3,IFERROR(VLOOKUP(B810,'Baremos actuales'!A:C,3,FALSE),0),
IF(M810=$H$4,IFERROR(VLOOKUP(B810,'Baremos anteriores'!A:C,3,FALSE),0),0))))))</f>
        <v/>
      </c>
      <c r="G810" s="7"/>
      <c r="H810" s="8"/>
      <c r="I810" s="8"/>
      <c r="J810" s="78" t="str">
        <f>IF($D810="","",
IF($E810="","",
IF($D810="MATE","",
IF(VLOOKUP($B810,'Baremos actuales'!A:D,4,FALSE)=J$9,$E810*$F810,IF(VLOOKUP($B810,'Baremos anteriores'!A:D,4,FALSE)="Sin Definir",$E810*$F810,"")))))</f>
        <v/>
      </c>
      <c r="K810" s="79" t="str">
        <f>IF($D810="","",
IF($E810="","",
IF($D810="MATE","",
IF(VLOOKUP($B810,'Baremos actuales'!$A:$D,4,FALSE)=K$9,$E810*$F810,IF(VLOOKUP($B810,'Baremos anteriores'!$A:$D,4,FALSE)="Desmonte",$E810*$F810,"")))))</f>
        <v/>
      </c>
      <c r="L810" s="80" t="str">
        <f>IF($D810="","",
IF($E810="","",
IF($D810="MATE","",
IF(VLOOKUP($B810,'Baremos actuales'!$A:$D,4,FALSE)=L$9,$E810*$F810,""))))</f>
        <v/>
      </c>
      <c r="M810" s="91" t="str">
        <f t="shared" si="12"/>
        <v/>
      </c>
      <c r="N810" s="96"/>
      <c r="O810" s="95"/>
      <c r="P810" s="96"/>
      <c r="Q810" s="98"/>
    </row>
    <row r="811" spans="1:17" ht="15.75" x14ac:dyDescent="0.2">
      <c r="A811" s="17"/>
      <c r="B811" s="18"/>
      <c r="C811" s="87" t="str">
        <f>IF(B811="","",
IF(M811=$H$5,IFERROR(VLOOKUP(B811,'Baremos actuales'!A:E,5,FALSE),"No encontrado. Revisar código, fecha ejecución y/o contrato."),
IF(M811=$H$4,IFERROR(VLOOKUP(B811,'Baremos anteriores'!A:E,5,FALSE),"No encontrado. Revisar código, fecha ejecución y/o contrato."),
IF(M811=$H$3,IFERROR(VLOOKUP(B811,#REF!,5,FALSE),"No encontrado. Revisar código, fecha ejecución y/o contrato."),
IF(D811="","Código no encontrado",
IF(D811="ERROR","No encontrado. Revisar Código, fecha de ejecución y/o contrato.",
IF(D811="MATE",
IF(C810="DESCRIPCION","NO SE PUEDE COMENZAR SIN CÓDIGO DE TAREA",
IF(C810="","FALTA CÓDIGO DE TAREA",
CONCATENATE("          ",VLOOKUP(B811,'Maestro Materiales'!A:C,3,FALSE)))),IFERROR(VLOOKUP(B811,#REF!,5,FALSE),"No encontrado. Revisar código, fecha ejecución y/o contrato."))))))))</f>
        <v/>
      </c>
      <c r="D811" s="88" t="str">
        <f>IF(B811="","",
IFERROR(VLOOKUP(B811,'Maestro Materiales'!A:C,2,FALSE),
IFERROR(VLOOKUP(B811,'Baremos actuales'!A:B,2,FALSE),
IFERROR(VLOOKUP(B811,'Baremos anteriores'!A:B,2,FALSE),
""))))</f>
        <v/>
      </c>
      <c r="E811" s="9"/>
      <c r="F811" s="89" t="str">
        <f>IF(D811="MATE",
IF(E811="","¿Unidades?",""),
IF(D811="",IF(E811="","","¿Código?"),
IF(E811="","¿Unidades?",
IF(D811="TARE",
IF(M811=$H$3,IFERROR(VLOOKUP(B811,'Baremos actuales'!A:C,3,FALSE),0),
IF(M811=$H$4,IFERROR(VLOOKUP(B811,'Baremos anteriores'!A:C,3,FALSE),0),0))))))</f>
        <v/>
      </c>
      <c r="G811" s="7"/>
      <c r="H811" s="8"/>
      <c r="I811" s="8"/>
      <c r="J811" s="78" t="str">
        <f>IF($D811="","",
IF($E811="","",
IF($D811="MATE","",
IF(VLOOKUP($B811,'Baremos actuales'!A:D,4,FALSE)=J$9,$E811*$F811,IF(VLOOKUP($B811,'Baremos anteriores'!A:D,4,FALSE)="Sin Definir",$E811*$F811,"")))))</f>
        <v/>
      </c>
      <c r="K811" s="79" t="str">
        <f>IF($D811="","",
IF($E811="","",
IF($D811="MATE","",
IF(VLOOKUP($B811,'Baremos actuales'!$A:$D,4,FALSE)=K$9,$E811*$F811,IF(VLOOKUP($B811,'Baremos anteriores'!$A:$D,4,FALSE)="Desmonte",$E811*$F811,"")))))</f>
        <v/>
      </c>
      <c r="L811" s="80" t="str">
        <f>IF($D811="","",
IF($E811="","",
IF($D811="MATE","",
IF(VLOOKUP($B811,'Baremos actuales'!$A:$D,4,FALSE)=L$9,$E811*$F811,""))))</f>
        <v/>
      </c>
      <c r="M811" s="91" t="str">
        <f t="shared" si="12"/>
        <v/>
      </c>
      <c r="N811" s="96"/>
      <c r="O811" s="95"/>
      <c r="P811" s="96"/>
      <c r="Q811" s="98"/>
    </row>
    <row r="812" spans="1:17" ht="15.75" x14ac:dyDescent="0.2">
      <c r="A812" s="17"/>
      <c r="B812" s="18"/>
      <c r="C812" s="87" t="str">
        <f>IF(B812="","",
IF(M812=$H$5,IFERROR(VLOOKUP(B812,'Baremos actuales'!A:E,5,FALSE),"No encontrado. Revisar código, fecha ejecución y/o contrato."),
IF(M812=$H$4,IFERROR(VLOOKUP(B812,'Baremos anteriores'!A:E,5,FALSE),"No encontrado. Revisar código, fecha ejecución y/o contrato."),
IF(M812=$H$3,IFERROR(VLOOKUP(B812,#REF!,5,FALSE),"No encontrado. Revisar código, fecha ejecución y/o contrato."),
IF(D812="","Código no encontrado",
IF(D812="ERROR","No encontrado. Revisar Código, fecha de ejecución y/o contrato.",
IF(D812="MATE",
IF(C811="DESCRIPCION","NO SE PUEDE COMENZAR SIN CÓDIGO DE TAREA",
IF(C811="","FALTA CÓDIGO DE TAREA",
CONCATENATE("          ",VLOOKUP(B812,'Maestro Materiales'!A:C,3,FALSE)))),IFERROR(VLOOKUP(B812,#REF!,5,FALSE),"No encontrado. Revisar código, fecha ejecución y/o contrato."))))))))</f>
        <v/>
      </c>
      <c r="D812" s="88" t="str">
        <f>IF(B812="","",
IFERROR(VLOOKUP(B812,'Maestro Materiales'!A:C,2,FALSE),
IFERROR(VLOOKUP(B812,'Baremos actuales'!A:B,2,FALSE),
IFERROR(VLOOKUP(B812,'Baremos anteriores'!A:B,2,FALSE),
""))))</f>
        <v/>
      </c>
      <c r="E812" s="9"/>
      <c r="F812" s="89" t="str">
        <f>IF(D812="MATE",
IF(E812="","¿Unidades?",""),
IF(D812="",IF(E812="","","¿Código?"),
IF(E812="","¿Unidades?",
IF(D812="TARE",
IF(M812=$H$3,IFERROR(VLOOKUP(B812,'Baremos actuales'!A:C,3,FALSE),0),
IF(M812=$H$4,IFERROR(VLOOKUP(B812,'Baremos anteriores'!A:C,3,FALSE),0),0))))))</f>
        <v/>
      </c>
      <c r="G812" s="7"/>
      <c r="H812" s="8"/>
      <c r="I812" s="8"/>
      <c r="J812" s="78" t="str">
        <f>IF($D812="","",
IF($E812="","",
IF($D812="MATE","",
IF(VLOOKUP($B812,'Baremos actuales'!A:D,4,FALSE)=J$9,$E812*$F812,IF(VLOOKUP($B812,'Baremos anteriores'!A:D,4,FALSE)="Sin Definir",$E812*$F812,"")))))</f>
        <v/>
      </c>
      <c r="K812" s="79" t="str">
        <f>IF($D812="","",
IF($E812="","",
IF($D812="MATE","",
IF(VLOOKUP($B812,'Baremos actuales'!$A:$D,4,FALSE)=K$9,$E812*$F812,IF(VLOOKUP($B812,'Baremos anteriores'!$A:$D,4,FALSE)="Desmonte",$E812*$F812,"")))))</f>
        <v/>
      </c>
      <c r="L812" s="80" t="str">
        <f>IF($D812="","",
IF($E812="","",
IF($D812="MATE","",
IF(VLOOKUP($B812,'Baremos actuales'!$A:$D,4,FALSE)=L$9,$E812*$F812,""))))</f>
        <v/>
      </c>
      <c r="M812" s="91" t="str">
        <f t="shared" si="12"/>
        <v/>
      </c>
      <c r="N812" s="96"/>
      <c r="O812" s="95"/>
      <c r="P812" s="96"/>
      <c r="Q812" s="98"/>
    </row>
    <row r="813" spans="1:17" ht="15.75" x14ac:dyDescent="0.2">
      <c r="A813" s="17"/>
      <c r="B813" s="18"/>
      <c r="C813" s="87" t="str">
        <f>IF(B813="","",
IF(M813=$H$5,IFERROR(VLOOKUP(B813,'Baremos actuales'!A:E,5,FALSE),"No encontrado. Revisar código, fecha ejecución y/o contrato."),
IF(M813=$H$4,IFERROR(VLOOKUP(B813,'Baremos anteriores'!A:E,5,FALSE),"No encontrado. Revisar código, fecha ejecución y/o contrato."),
IF(M813=$H$3,IFERROR(VLOOKUP(B813,#REF!,5,FALSE),"No encontrado. Revisar código, fecha ejecución y/o contrato."),
IF(D813="","Código no encontrado",
IF(D813="ERROR","No encontrado. Revisar Código, fecha de ejecución y/o contrato.",
IF(D813="MATE",
IF(C812="DESCRIPCION","NO SE PUEDE COMENZAR SIN CÓDIGO DE TAREA",
IF(C812="","FALTA CÓDIGO DE TAREA",
CONCATENATE("          ",VLOOKUP(B813,'Maestro Materiales'!A:C,3,FALSE)))),IFERROR(VLOOKUP(B813,#REF!,5,FALSE),"No encontrado. Revisar código, fecha ejecución y/o contrato."))))))))</f>
        <v/>
      </c>
      <c r="D813" s="88" t="str">
        <f>IF(B813="","",
IFERROR(VLOOKUP(B813,'Maestro Materiales'!A:C,2,FALSE),
IFERROR(VLOOKUP(B813,'Baremos actuales'!A:B,2,FALSE),
IFERROR(VLOOKUP(B813,'Baremos anteriores'!A:B,2,FALSE),
""))))</f>
        <v/>
      </c>
      <c r="E813" s="9"/>
      <c r="F813" s="89" t="str">
        <f>IF(D813="MATE",
IF(E813="","¿Unidades?",""),
IF(D813="",IF(E813="","","¿Código?"),
IF(E813="","¿Unidades?",
IF(D813="TARE",
IF(M813=$H$3,IFERROR(VLOOKUP(B813,'Baremos actuales'!A:C,3,FALSE),0),
IF(M813=$H$4,IFERROR(VLOOKUP(B813,'Baremos anteriores'!A:C,3,FALSE),0),0))))))</f>
        <v/>
      </c>
      <c r="G813" s="7"/>
      <c r="H813" s="8"/>
      <c r="I813" s="8"/>
      <c r="J813" s="78" t="str">
        <f>IF($D813="","",
IF($E813="","",
IF($D813="MATE","",
IF(VLOOKUP($B813,'Baremos actuales'!A:D,4,FALSE)=J$9,$E813*$F813,IF(VLOOKUP($B813,'Baremos anteriores'!A:D,4,FALSE)="Sin Definir",$E813*$F813,"")))))</f>
        <v/>
      </c>
      <c r="K813" s="79" t="str">
        <f>IF($D813="","",
IF($E813="","",
IF($D813="MATE","",
IF(VLOOKUP($B813,'Baremos actuales'!$A:$D,4,FALSE)=K$9,$E813*$F813,IF(VLOOKUP($B813,'Baremos anteriores'!$A:$D,4,FALSE)="Desmonte",$E813*$F813,"")))))</f>
        <v/>
      </c>
      <c r="L813" s="80" t="str">
        <f>IF($D813="","",
IF($E813="","",
IF($D813="MATE","",
IF(VLOOKUP($B813,'Baremos actuales'!$A:$D,4,FALSE)=L$9,$E813*$F813,""))))</f>
        <v/>
      </c>
      <c r="M813" s="91" t="str">
        <f t="shared" si="12"/>
        <v/>
      </c>
      <c r="N813" s="96"/>
      <c r="O813" s="95"/>
      <c r="P813" s="96"/>
      <c r="Q813" s="98"/>
    </row>
    <row r="814" spans="1:17" ht="15.75" x14ac:dyDescent="0.2">
      <c r="A814" s="17"/>
      <c r="B814" s="18"/>
      <c r="C814" s="87" t="str">
        <f>IF(B814="","",
IF(M814=$H$5,IFERROR(VLOOKUP(B814,'Baremos actuales'!A:E,5,FALSE),"No encontrado. Revisar código, fecha ejecución y/o contrato."),
IF(M814=$H$4,IFERROR(VLOOKUP(B814,'Baremos anteriores'!A:E,5,FALSE),"No encontrado. Revisar código, fecha ejecución y/o contrato."),
IF(M814=$H$3,IFERROR(VLOOKUP(B814,#REF!,5,FALSE),"No encontrado. Revisar código, fecha ejecución y/o contrato."),
IF(D814="","Código no encontrado",
IF(D814="ERROR","No encontrado. Revisar Código, fecha de ejecución y/o contrato.",
IF(D814="MATE",
IF(C813="DESCRIPCION","NO SE PUEDE COMENZAR SIN CÓDIGO DE TAREA",
IF(C813="","FALTA CÓDIGO DE TAREA",
CONCATENATE("          ",VLOOKUP(B814,'Maestro Materiales'!A:C,3,FALSE)))),IFERROR(VLOOKUP(B814,#REF!,5,FALSE),"No encontrado. Revisar código, fecha ejecución y/o contrato."))))))))</f>
        <v/>
      </c>
      <c r="D814" s="88" t="str">
        <f>IF(B814="","",
IFERROR(VLOOKUP(B814,'Maestro Materiales'!A:C,2,FALSE),
IFERROR(VLOOKUP(B814,'Baremos actuales'!A:B,2,FALSE),
IFERROR(VLOOKUP(B814,'Baremos anteriores'!A:B,2,FALSE),
""))))</f>
        <v/>
      </c>
      <c r="E814" s="9"/>
      <c r="F814" s="89" t="str">
        <f>IF(D814="MATE",
IF(E814="","¿Unidades?",""),
IF(D814="",IF(E814="","","¿Código?"),
IF(E814="","¿Unidades?",
IF(D814="TARE",
IF(M814=$H$3,IFERROR(VLOOKUP(B814,'Baremos actuales'!A:C,3,FALSE),0),
IF(M814=$H$4,IFERROR(VLOOKUP(B814,'Baremos anteriores'!A:C,3,FALSE),0),0))))))</f>
        <v/>
      </c>
      <c r="G814" s="7"/>
      <c r="H814" s="8"/>
      <c r="I814" s="8"/>
      <c r="J814" s="78" t="str">
        <f>IF($D814="","",
IF($E814="","",
IF($D814="MATE","",
IF(VLOOKUP($B814,'Baremos actuales'!A:D,4,FALSE)=J$9,$E814*$F814,IF(VLOOKUP($B814,'Baremos anteriores'!A:D,4,FALSE)="Sin Definir",$E814*$F814,"")))))</f>
        <v/>
      </c>
      <c r="K814" s="79" t="str">
        <f>IF($D814="","",
IF($E814="","",
IF($D814="MATE","",
IF(VLOOKUP($B814,'Baremos actuales'!$A:$D,4,FALSE)=K$9,$E814*$F814,IF(VLOOKUP($B814,'Baremos anteriores'!$A:$D,4,FALSE)="Desmonte",$E814*$F814,"")))))</f>
        <v/>
      </c>
      <c r="L814" s="80" t="str">
        <f>IF($D814="","",
IF($E814="","",
IF($D814="MATE","",
IF(VLOOKUP($B814,'Baremos actuales'!$A:$D,4,FALSE)=L$9,$E814*$F814,""))))</f>
        <v/>
      </c>
      <c r="M814" s="91" t="str">
        <f t="shared" si="12"/>
        <v/>
      </c>
      <c r="N814" s="96"/>
      <c r="O814" s="95"/>
      <c r="P814" s="96"/>
      <c r="Q814" s="98"/>
    </row>
    <row r="815" spans="1:17" ht="15.75" x14ac:dyDescent="0.2">
      <c r="A815" s="17"/>
      <c r="B815" s="18"/>
      <c r="C815" s="87" t="str">
        <f>IF(B815="","",
IF(M815=$H$5,IFERROR(VLOOKUP(B815,'Baremos actuales'!A:E,5,FALSE),"No encontrado. Revisar código, fecha ejecución y/o contrato."),
IF(M815=$H$4,IFERROR(VLOOKUP(B815,'Baremos anteriores'!A:E,5,FALSE),"No encontrado. Revisar código, fecha ejecución y/o contrato."),
IF(M815=$H$3,IFERROR(VLOOKUP(B815,#REF!,5,FALSE),"No encontrado. Revisar código, fecha ejecución y/o contrato."),
IF(D815="","Código no encontrado",
IF(D815="ERROR","No encontrado. Revisar Código, fecha de ejecución y/o contrato.",
IF(D815="MATE",
IF(C814="DESCRIPCION","NO SE PUEDE COMENZAR SIN CÓDIGO DE TAREA",
IF(C814="","FALTA CÓDIGO DE TAREA",
CONCATENATE("          ",VLOOKUP(B815,'Maestro Materiales'!A:C,3,FALSE)))),IFERROR(VLOOKUP(B815,#REF!,5,FALSE),"No encontrado. Revisar código, fecha ejecución y/o contrato."))))))))</f>
        <v/>
      </c>
      <c r="D815" s="88" t="str">
        <f>IF(B815="","",
IFERROR(VLOOKUP(B815,'Maestro Materiales'!A:C,2,FALSE),
IFERROR(VLOOKUP(B815,'Baremos actuales'!A:B,2,FALSE),
IFERROR(VLOOKUP(B815,'Baremos anteriores'!A:B,2,FALSE),
""))))</f>
        <v/>
      </c>
      <c r="E815" s="9"/>
      <c r="F815" s="89" t="str">
        <f>IF(D815="MATE",
IF(E815="","¿Unidades?",""),
IF(D815="",IF(E815="","","¿Código?"),
IF(E815="","¿Unidades?",
IF(D815="TARE",
IF(M815=$H$3,IFERROR(VLOOKUP(B815,'Baremos actuales'!A:C,3,FALSE),0),
IF(M815=$H$4,IFERROR(VLOOKUP(B815,'Baremos anteriores'!A:C,3,FALSE),0),0))))))</f>
        <v/>
      </c>
      <c r="G815" s="7"/>
      <c r="H815" s="8"/>
      <c r="I815" s="8"/>
      <c r="J815" s="78" t="str">
        <f>IF($D815="","",
IF($E815="","",
IF($D815="MATE","",
IF(VLOOKUP($B815,'Baremos actuales'!A:D,4,FALSE)=J$9,$E815*$F815,IF(VLOOKUP($B815,'Baremos anteriores'!A:D,4,FALSE)="Sin Definir",$E815*$F815,"")))))</f>
        <v/>
      </c>
      <c r="K815" s="79" t="str">
        <f>IF($D815="","",
IF($E815="","",
IF($D815="MATE","",
IF(VLOOKUP($B815,'Baremos actuales'!$A:$D,4,FALSE)=K$9,$E815*$F815,IF(VLOOKUP($B815,'Baremos anteriores'!$A:$D,4,FALSE)="Desmonte",$E815*$F815,"")))))</f>
        <v/>
      </c>
      <c r="L815" s="80" t="str">
        <f>IF($D815="","",
IF($E815="","",
IF($D815="MATE","",
IF(VLOOKUP($B815,'Baremos actuales'!$A:$D,4,FALSE)=L$9,$E815*$F815,""))))</f>
        <v/>
      </c>
      <c r="M815" s="91" t="str">
        <f t="shared" si="12"/>
        <v/>
      </c>
      <c r="N815" s="96"/>
      <c r="O815" s="95"/>
      <c r="P815" s="96"/>
      <c r="Q815" s="98"/>
    </row>
    <row r="816" spans="1:17" ht="15.75" x14ac:dyDescent="0.2">
      <c r="A816" s="17"/>
      <c r="B816" s="18"/>
      <c r="C816" s="87" t="str">
        <f>IF(B816="","",
IF(M816=$H$5,IFERROR(VLOOKUP(B816,'Baremos actuales'!A:E,5,FALSE),"No encontrado. Revisar código, fecha ejecución y/o contrato."),
IF(M816=$H$4,IFERROR(VLOOKUP(B816,'Baremos anteriores'!A:E,5,FALSE),"No encontrado. Revisar código, fecha ejecución y/o contrato."),
IF(M816=$H$3,IFERROR(VLOOKUP(B816,#REF!,5,FALSE),"No encontrado. Revisar código, fecha ejecución y/o contrato."),
IF(D816="","Código no encontrado",
IF(D816="ERROR","No encontrado. Revisar Código, fecha de ejecución y/o contrato.",
IF(D816="MATE",
IF(C815="DESCRIPCION","NO SE PUEDE COMENZAR SIN CÓDIGO DE TAREA",
IF(C815="","FALTA CÓDIGO DE TAREA",
CONCATENATE("          ",VLOOKUP(B816,'Maestro Materiales'!A:C,3,FALSE)))),IFERROR(VLOOKUP(B816,#REF!,5,FALSE),"No encontrado. Revisar código, fecha ejecución y/o contrato."))))))))</f>
        <v/>
      </c>
      <c r="D816" s="88" t="str">
        <f>IF(B816="","",
IFERROR(VLOOKUP(B816,'Maestro Materiales'!A:C,2,FALSE),
IFERROR(VLOOKUP(B816,'Baremos actuales'!A:B,2,FALSE),
IFERROR(VLOOKUP(B816,'Baremos anteriores'!A:B,2,FALSE),
""))))</f>
        <v/>
      </c>
      <c r="E816" s="9"/>
      <c r="F816" s="89" t="str">
        <f>IF(D816="MATE",
IF(E816="","¿Unidades?",""),
IF(D816="",IF(E816="","","¿Código?"),
IF(E816="","¿Unidades?",
IF(D816="TARE",
IF(M816=$H$3,IFERROR(VLOOKUP(B816,'Baremos actuales'!A:C,3,FALSE),0),
IF(M816=$H$4,IFERROR(VLOOKUP(B816,'Baremos anteriores'!A:C,3,FALSE),0),0))))))</f>
        <v/>
      </c>
      <c r="G816" s="7"/>
      <c r="H816" s="8"/>
      <c r="I816" s="8"/>
      <c r="J816" s="78" t="str">
        <f>IF($D816="","",
IF($E816="","",
IF($D816="MATE","",
IF(VLOOKUP($B816,'Baremos actuales'!A:D,4,FALSE)=J$9,$E816*$F816,IF(VLOOKUP($B816,'Baremos anteriores'!A:D,4,FALSE)="Sin Definir",$E816*$F816,"")))))</f>
        <v/>
      </c>
      <c r="K816" s="79" t="str">
        <f>IF($D816="","",
IF($E816="","",
IF($D816="MATE","",
IF(VLOOKUP($B816,'Baremos actuales'!$A:$D,4,FALSE)=K$9,$E816*$F816,IF(VLOOKUP($B816,'Baremos anteriores'!$A:$D,4,FALSE)="Desmonte",$E816*$F816,"")))))</f>
        <v/>
      </c>
      <c r="L816" s="80" t="str">
        <f>IF($D816="","",
IF($E816="","",
IF($D816="MATE","",
IF(VLOOKUP($B816,'Baremos actuales'!$A:$D,4,FALSE)=L$9,$E816*$F816,""))))</f>
        <v/>
      </c>
      <c r="M816" s="91" t="str">
        <f t="shared" si="12"/>
        <v/>
      </c>
      <c r="N816" s="96"/>
      <c r="O816" s="95"/>
      <c r="P816" s="96"/>
      <c r="Q816" s="98"/>
    </row>
    <row r="817" spans="1:17" ht="15.75" x14ac:dyDescent="0.2">
      <c r="A817" s="17"/>
      <c r="B817" s="18"/>
      <c r="C817" s="87" t="str">
        <f>IF(B817="","",
IF(M817=$H$5,IFERROR(VLOOKUP(B817,'Baremos actuales'!A:E,5,FALSE),"No encontrado. Revisar código, fecha ejecución y/o contrato."),
IF(M817=$H$4,IFERROR(VLOOKUP(B817,'Baremos anteriores'!A:E,5,FALSE),"No encontrado. Revisar código, fecha ejecución y/o contrato."),
IF(M817=$H$3,IFERROR(VLOOKUP(B817,#REF!,5,FALSE),"No encontrado. Revisar código, fecha ejecución y/o contrato."),
IF(D817="","Código no encontrado",
IF(D817="ERROR","No encontrado. Revisar Código, fecha de ejecución y/o contrato.",
IF(D817="MATE",
IF(C816="DESCRIPCION","NO SE PUEDE COMENZAR SIN CÓDIGO DE TAREA",
IF(C816="","FALTA CÓDIGO DE TAREA",
CONCATENATE("          ",VLOOKUP(B817,'Maestro Materiales'!A:C,3,FALSE)))),IFERROR(VLOOKUP(B817,#REF!,5,FALSE),"No encontrado. Revisar código, fecha ejecución y/o contrato."))))))))</f>
        <v/>
      </c>
      <c r="D817" s="88" t="str">
        <f>IF(B817="","",
IFERROR(VLOOKUP(B817,'Maestro Materiales'!A:C,2,FALSE),
IFERROR(VLOOKUP(B817,'Baremos actuales'!A:B,2,FALSE),
IFERROR(VLOOKUP(B817,'Baremos anteriores'!A:B,2,FALSE),
""))))</f>
        <v/>
      </c>
      <c r="E817" s="9"/>
      <c r="F817" s="89" t="str">
        <f>IF(D817="MATE",
IF(E817="","¿Unidades?",""),
IF(D817="",IF(E817="","","¿Código?"),
IF(E817="","¿Unidades?",
IF(D817="TARE",
IF(M817=$H$3,IFERROR(VLOOKUP(B817,'Baremos actuales'!A:C,3,FALSE),0),
IF(M817=$H$4,IFERROR(VLOOKUP(B817,'Baremos anteriores'!A:C,3,FALSE),0),0))))))</f>
        <v/>
      </c>
      <c r="G817" s="7"/>
      <c r="H817" s="8"/>
      <c r="I817" s="8"/>
      <c r="J817" s="78" t="str">
        <f>IF($D817="","",
IF($E817="","",
IF($D817="MATE","",
IF(VLOOKUP($B817,'Baremos actuales'!A:D,4,FALSE)=J$9,$E817*$F817,IF(VLOOKUP($B817,'Baremos anteriores'!A:D,4,FALSE)="Sin Definir",$E817*$F817,"")))))</f>
        <v/>
      </c>
      <c r="K817" s="79" t="str">
        <f>IF($D817="","",
IF($E817="","",
IF($D817="MATE","",
IF(VLOOKUP($B817,'Baremos actuales'!$A:$D,4,FALSE)=K$9,$E817*$F817,IF(VLOOKUP($B817,'Baremos anteriores'!$A:$D,4,FALSE)="Desmonte",$E817*$F817,"")))))</f>
        <v/>
      </c>
      <c r="L817" s="80" t="str">
        <f>IF($D817="","",
IF($E817="","",
IF($D817="MATE","",
IF(VLOOKUP($B817,'Baremos actuales'!$A:$D,4,FALSE)=L$9,$E817*$F817,""))))</f>
        <v/>
      </c>
      <c r="M817" s="91" t="str">
        <f t="shared" si="12"/>
        <v/>
      </c>
      <c r="N817" s="96"/>
      <c r="O817" s="95"/>
      <c r="P817" s="96"/>
      <c r="Q817" s="98"/>
    </row>
    <row r="818" spans="1:17" ht="15.75" x14ac:dyDescent="0.2">
      <c r="A818" s="17"/>
      <c r="B818" s="18"/>
      <c r="C818" s="87" t="str">
        <f>IF(B818="","",
IF(M818=$H$5,IFERROR(VLOOKUP(B818,'Baremos actuales'!A:E,5,FALSE),"No encontrado. Revisar código, fecha ejecución y/o contrato."),
IF(M818=$H$4,IFERROR(VLOOKUP(B818,'Baremos anteriores'!A:E,5,FALSE),"No encontrado. Revisar código, fecha ejecución y/o contrato."),
IF(M818=$H$3,IFERROR(VLOOKUP(B818,#REF!,5,FALSE),"No encontrado. Revisar código, fecha ejecución y/o contrato."),
IF(D818="","Código no encontrado",
IF(D818="ERROR","No encontrado. Revisar Código, fecha de ejecución y/o contrato.",
IF(D818="MATE",
IF(C817="DESCRIPCION","NO SE PUEDE COMENZAR SIN CÓDIGO DE TAREA",
IF(C817="","FALTA CÓDIGO DE TAREA",
CONCATENATE("          ",VLOOKUP(B818,'Maestro Materiales'!A:C,3,FALSE)))),IFERROR(VLOOKUP(B818,#REF!,5,FALSE),"No encontrado. Revisar código, fecha ejecución y/o contrato."))))))))</f>
        <v/>
      </c>
      <c r="D818" s="88" t="str">
        <f>IF(B818="","",
IFERROR(VLOOKUP(B818,'Maestro Materiales'!A:C,2,FALSE),
IFERROR(VLOOKUP(B818,'Baremos actuales'!A:B,2,FALSE),
IFERROR(VLOOKUP(B818,'Baremos anteriores'!A:B,2,FALSE),
""))))</f>
        <v/>
      </c>
      <c r="E818" s="9"/>
      <c r="F818" s="89" t="str">
        <f>IF(D818="MATE",
IF(E818="","¿Unidades?",""),
IF(D818="",IF(E818="","","¿Código?"),
IF(E818="","¿Unidades?",
IF(D818="TARE",
IF(M818=$H$3,IFERROR(VLOOKUP(B818,'Baremos actuales'!A:C,3,FALSE),0),
IF(M818=$H$4,IFERROR(VLOOKUP(B818,'Baremos anteriores'!A:C,3,FALSE),0),0))))))</f>
        <v/>
      </c>
      <c r="G818" s="7"/>
      <c r="H818" s="8"/>
      <c r="I818" s="8"/>
      <c r="J818" s="78" t="str">
        <f>IF($D818="","",
IF($E818="","",
IF($D818="MATE","",
IF(VLOOKUP($B818,'Baremos actuales'!A:D,4,FALSE)=J$9,$E818*$F818,IF(VLOOKUP($B818,'Baremos anteriores'!A:D,4,FALSE)="Sin Definir",$E818*$F818,"")))))</f>
        <v/>
      </c>
      <c r="K818" s="79" t="str">
        <f>IF($D818="","",
IF($E818="","",
IF($D818="MATE","",
IF(VLOOKUP($B818,'Baremos actuales'!$A:$D,4,FALSE)=K$9,$E818*$F818,IF(VLOOKUP($B818,'Baremos anteriores'!$A:$D,4,FALSE)="Desmonte",$E818*$F818,"")))))</f>
        <v/>
      </c>
      <c r="L818" s="80" t="str">
        <f>IF($D818="","",
IF($E818="","",
IF($D818="MATE","",
IF(VLOOKUP($B818,'Baremos actuales'!$A:$D,4,FALSE)=L$9,$E818*$F818,""))))</f>
        <v/>
      </c>
      <c r="M818" s="91" t="str">
        <f t="shared" si="12"/>
        <v/>
      </c>
      <c r="N818" s="96"/>
      <c r="O818" s="95"/>
      <c r="P818" s="96"/>
      <c r="Q818" s="98"/>
    </row>
    <row r="819" spans="1:17" ht="15.75" x14ac:dyDescent="0.2">
      <c r="A819" s="17"/>
      <c r="B819" s="18"/>
      <c r="C819" s="87" t="str">
        <f>IF(B819="","",
IF(M819=$H$5,IFERROR(VLOOKUP(B819,'Baremos actuales'!A:E,5,FALSE),"No encontrado. Revisar código, fecha ejecución y/o contrato."),
IF(M819=$H$4,IFERROR(VLOOKUP(B819,'Baremos anteriores'!A:E,5,FALSE),"No encontrado. Revisar código, fecha ejecución y/o contrato."),
IF(M819=$H$3,IFERROR(VLOOKUP(B819,#REF!,5,FALSE),"No encontrado. Revisar código, fecha ejecución y/o contrato."),
IF(D819="","Código no encontrado",
IF(D819="ERROR","No encontrado. Revisar Código, fecha de ejecución y/o contrato.",
IF(D819="MATE",
IF(C818="DESCRIPCION","NO SE PUEDE COMENZAR SIN CÓDIGO DE TAREA",
IF(C818="","FALTA CÓDIGO DE TAREA",
CONCATENATE("          ",VLOOKUP(B819,'Maestro Materiales'!A:C,3,FALSE)))),IFERROR(VLOOKUP(B819,#REF!,5,FALSE),"No encontrado. Revisar código, fecha ejecución y/o contrato."))))))))</f>
        <v/>
      </c>
      <c r="D819" s="88" t="str">
        <f>IF(B819="","",
IFERROR(VLOOKUP(B819,'Maestro Materiales'!A:C,2,FALSE),
IFERROR(VLOOKUP(B819,'Baremos actuales'!A:B,2,FALSE),
IFERROR(VLOOKUP(B819,'Baremos anteriores'!A:B,2,FALSE),
""))))</f>
        <v/>
      </c>
      <c r="E819" s="9"/>
      <c r="F819" s="89" t="str">
        <f>IF(D819="MATE",
IF(E819="","¿Unidades?",""),
IF(D819="",IF(E819="","","¿Código?"),
IF(E819="","¿Unidades?",
IF(D819="TARE",
IF(M819=$H$3,IFERROR(VLOOKUP(B819,'Baremos actuales'!A:C,3,FALSE),0),
IF(M819=$H$4,IFERROR(VLOOKUP(B819,'Baremos anteriores'!A:C,3,FALSE),0),0))))))</f>
        <v/>
      </c>
      <c r="G819" s="7"/>
      <c r="H819" s="8"/>
      <c r="I819" s="8"/>
      <c r="J819" s="78" t="str">
        <f>IF($D819="","",
IF($E819="","",
IF($D819="MATE","",
IF(VLOOKUP($B819,'Baremos actuales'!A:D,4,FALSE)=J$9,$E819*$F819,IF(VLOOKUP($B819,'Baremos anteriores'!A:D,4,FALSE)="Sin Definir",$E819*$F819,"")))))</f>
        <v/>
      </c>
      <c r="K819" s="79" t="str">
        <f>IF($D819="","",
IF($E819="","",
IF($D819="MATE","",
IF(VLOOKUP($B819,'Baremos actuales'!$A:$D,4,FALSE)=K$9,$E819*$F819,IF(VLOOKUP($B819,'Baremos anteriores'!$A:$D,4,FALSE)="Desmonte",$E819*$F819,"")))))</f>
        <v/>
      </c>
      <c r="L819" s="80" t="str">
        <f>IF($D819="","",
IF($E819="","",
IF($D819="MATE","",
IF(VLOOKUP($B819,'Baremos actuales'!$A:$D,4,FALSE)=L$9,$E819*$F819,""))))</f>
        <v/>
      </c>
      <c r="M819" s="91" t="str">
        <f t="shared" si="12"/>
        <v/>
      </c>
      <c r="N819" s="96"/>
      <c r="O819" s="95"/>
      <c r="P819" s="96"/>
      <c r="Q819" s="98"/>
    </row>
    <row r="820" spans="1:17" ht="15.75" x14ac:dyDescent="0.2">
      <c r="A820" s="17"/>
      <c r="B820" s="18"/>
      <c r="C820" s="87" t="str">
        <f>IF(B820="","",
IF(M820=$H$5,IFERROR(VLOOKUP(B820,'Baremos actuales'!A:E,5,FALSE),"No encontrado. Revisar código, fecha ejecución y/o contrato."),
IF(M820=$H$4,IFERROR(VLOOKUP(B820,'Baremos anteriores'!A:E,5,FALSE),"No encontrado. Revisar código, fecha ejecución y/o contrato."),
IF(M820=$H$3,IFERROR(VLOOKUP(B820,#REF!,5,FALSE),"No encontrado. Revisar código, fecha ejecución y/o contrato."),
IF(D820="","Código no encontrado",
IF(D820="ERROR","No encontrado. Revisar Código, fecha de ejecución y/o contrato.",
IF(D820="MATE",
IF(C819="DESCRIPCION","NO SE PUEDE COMENZAR SIN CÓDIGO DE TAREA",
IF(C819="","FALTA CÓDIGO DE TAREA",
CONCATENATE("          ",VLOOKUP(B820,'Maestro Materiales'!A:C,3,FALSE)))),IFERROR(VLOOKUP(B820,#REF!,5,FALSE),"No encontrado. Revisar código, fecha ejecución y/o contrato."))))))))</f>
        <v/>
      </c>
      <c r="D820" s="88" t="str">
        <f>IF(B820="","",
IFERROR(VLOOKUP(B820,'Maestro Materiales'!A:C,2,FALSE),
IFERROR(VLOOKUP(B820,'Baremos actuales'!A:B,2,FALSE),
IFERROR(VLOOKUP(B820,'Baremos anteriores'!A:B,2,FALSE),
""))))</f>
        <v/>
      </c>
      <c r="E820" s="9"/>
      <c r="F820" s="89" t="str">
        <f>IF(D820="MATE",
IF(E820="","¿Unidades?",""),
IF(D820="",IF(E820="","","¿Código?"),
IF(E820="","¿Unidades?",
IF(D820="TARE",
IF(M820=$H$3,IFERROR(VLOOKUP(B820,'Baremos actuales'!A:C,3,FALSE),0),
IF(M820=$H$4,IFERROR(VLOOKUP(B820,'Baremos anteriores'!A:C,3,FALSE),0),0))))))</f>
        <v/>
      </c>
      <c r="G820" s="7"/>
      <c r="H820" s="8"/>
      <c r="I820" s="8"/>
      <c r="J820" s="78" t="str">
        <f>IF($D820="","",
IF($E820="","",
IF($D820="MATE","",
IF(VLOOKUP($B820,'Baremos actuales'!A:D,4,FALSE)=J$9,$E820*$F820,IF(VLOOKUP($B820,'Baremos anteriores'!A:D,4,FALSE)="Sin Definir",$E820*$F820,"")))))</f>
        <v/>
      </c>
      <c r="K820" s="79" t="str">
        <f>IF($D820="","",
IF($E820="","",
IF($D820="MATE","",
IF(VLOOKUP($B820,'Baremos actuales'!$A:$D,4,FALSE)=K$9,$E820*$F820,IF(VLOOKUP($B820,'Baremos anteriores'!$A:$D,4,FALSE)="Desmonte",$E820*$F820,"")))))</f>
        <v/>
      </c>
      <c r="L820" s="80" t="str">
        <f>IF($D820="","",
IF($E820="","",
IF($D820="MATE","",
IF(VLOOKUP($B820,'Baremos actuales'!$A:$D,4,FALSE)=L$9,$E820*$F820,""))))</f>
        <v/>
      </c>
      <c r="M820" s="91" t="str">
        <f t="shared" si="12"/>
        <v/>
      </c>
      <c r="N820" s="96"/>
      <c r="O820" s="95"/>
      <c r="P820" s="96"/>
      <c r="Q820" s="98"/>
    </row>
    <row r="821" spans="1:17" ht="15.75" x14ac:dyDescent="0.2">
      <c r="A821" s="17"/>
      <c r="B821" s="18"/>
      <c r="C821" s="87" t="str">
        <f>IF(B821="","",
IF(M821=$H$5,IFERROR(VLOOKUP(B821,'Baremos actuales'!A:E,5,FALSE),"No encontrado. Revisar código, fecha ejecución y/o contrato."),
IF(M821=$H$4,IFERROR(VLOOKUP(B821,'Baremos anteriores'!A:E,5,FALSE),"No encontrado. Revisar código, fecha ejecución y/o contrato."),
IF(M821=$H$3,IFERROR(VLOOKUP(B821,#REF!,5,FALSE),"No encontrado. Revisar código, fecha ejecución y/o contrato."),
IF(D821="","Código no encontrado",
IF(D821="ERROR","No encontrado. Revisar Código, fecha de ejecución y/o contrato.",
IF(D821="MATE",
IF(C820="DESCRIPCION","NO SE PUEDE COMENZAR SIN CÓDIGO DE TAREA",
IF(C820="","FALTA CÓDIGO DE TAREA",
CONCATENATE("          ",VLOOKUP(B821,'Maestro Materiales'!A:C,3,FALSE)))),IFERROR(VLOOKUP(B821,#REF!,5,FALSE),"No encontrado. Revisar código, fecha ejecución y/o contrato."))))))))</f>
        <v/>
      </c>
      <c r="D821" s="88" t="str">
        <f>IF(B821="","",
IFERROR(VLOOKUP(B821,'Maestro Materiales'!A:C,2,FALSE),
IFERROR(VLOOKUP(B821,'Baremos actuales'!A:B,2,FALSE),
IFERROR(VLOOKUP(B821,'Baremos anteriores'!A:B,2,FALSE),
""))))</f>
        <v/>
      </c>
      <c r="E821" s="9"/>
      <c r="F821" s="89" t="str">
        <f>IF(D821="MATE",
IF(E821="","¿Unidades?",""),
IF(D821="",IF(E821="","","¿Código?"),
IF(E821="","¿Unidades?",
IF(D821="TARE",
IF(M821=$H$3,IFERROR(VLOOKUP(B821,'Baremos actuales'!A:C,3,FALSE),0),
IF(M821=$H$4,IFERROR(VLOOKUP(B821,'Baremos anteriores'!A:C,3,FALSE),0),0))))))</f>
        <v/>
      </c>
      <c r="G821" s="7"/>
      <c r="H821" s="8"/>
      <c r="I821" s="8"/>
      <c r="J821" s="78" t="str">
        <f>IF($D821="","",
IF($E821="","",
IF($D821="MATE","",
IF(VLOOKUP($B821,'Baremos actuales'!A:D,4,FALSE)=J$9,$E821*$F821,IF(VLOOKUP($B821,'Baremos anteriores'!A:D,4,FALSE)="Sin Definir",$E821*$F821,"")))))</f>
        <v/>
      </c>
      <c r="K821" s="79" t="str">
        <f>IF($D821="","",
IF($E821="","",
IF($D821="MATE","",
IF(VLOOKUP($B821,'Baremos actuales'!$A:$D,4,FALSE)=K$9,$E821*$F821,IF(VLOOKUP($B821,'Baremos anteriores'!$A:$D,4,FALSE)="Desmonte",$E821*$F821,"")))))</f>
        <v/>
      </c>
      <c r="L821" s="80" t="str">
        <f>IF($D821="","",
IF($E821="","",
IF($D821="MATE","",
IF(VLOOKUP($B821,'Baremos actuales'!$A:$D,4,FALSE)=L$9,$E821*$F821,""))))</f>
        <v/>
      </c>
      <c r="M821" s="91" t="str">
        <f t="shared" si="12"/>
        <v/>
      </c>
      <c r="N821" s="96"/>
      <c r="O821" s="95"/>
      <c r="P821" s="96"/>
      <c r="Q821" s="98"/>
    </row>
    <row r="822" spans="1:17" ht="15.75" x14ac:dyDescent="0.2">
      <c r="A822" s="17"/>
      <c r="B822" s="18"/>
      <c r="C822" s="87" t="str">
        <f>IF(B822="","",
IF(M822=$H$5,IFERROR(VLOOKUP(B822,'Baremos actuales'!A:E,5,FALSE),"No encontrado. Revisar código, fecha ejecución y/o contrato."),
IF(M822=$H$4,IFERROR(VLOOKUP(B822,'Baremos anteriores'!A:E,5,FALSE),"No encontrado. Revisar código, fecha ejecución y/o contrato."),
IF(M822=$H$3,IFERROR(VLOOKUP(B822,#REF!,5,FALSE),"No encontrado. Revisar código, fecha ejecución y/o contrato."),
IF(D822="","Código no encontrado",
IF(D822="ERROR","No encontrado. Revisar Código, fecha de ejecución y/o contrato.",
IF(D822="MATE",
IF(C821="DESCRIPCION","NO SE PUEDE COMENZAR SIN CÓDIGO DE TAREA",
IF(C821="","FALTA CÓDIGO DE TAREA",
CONCATENATE("          ",VLOOKUP(B822,'Maestro Materiales'!A:C,3,FALSE)))),IFERROR(VLOOKUP(B822,#REF!,5,FALSE),"No encontrado. Revisar código, fecha ejecución y/o contrato."))))))))</f>
        <v/>
      </c>
      <c r="D822" s="88" t="str">
        <f>IF(B822="","",
IFERROR(VLOOKUP(B822,'Maestro Materiales'!A:C,2,FALSE),
IFERROR(VLOOKUP(B822,'Baremos actuales'!A:B,2,FALSE),
IFERROR(VLOOKUP(B822,'Baremos anteriores'!A:B,2,FALSE),
""))))</f>
        <v/>
      </c>
      <c r="E822" s="9"/>
      <c r="F822" s="89" t="str">
        <f>IF(D822="MATE",
IF(E822="","¿Unidades?",""),
IF(D822="",IF(E822="","","¿Código?"),
IF(E822="","¿Unidades?",
IF(D822="TARE",
IF(M822=$H$3,IFERROR(VLOOKUP(B822,'Baremos actuales'!A:C,3,FALSE),0),
IF(M822=$H$4,IFERROR(VLOOKUP(B822,'Baremos anteriores'!A:C,3,FALSE),0),0))))))</f>
        <v/>
      </c>
      <c r="G822" s="7"/>
      <c r="H822" s="8"/>
      <c r="I822" s="8"/>
      <c r="J822" s="78" t="str">
        <f>IF($D822="","",
IF($E822="","",
IF($D822="MATE","",
IF(VLOOKUP($B822,'Baremos actuales'!A:D,4,FALSE)=J$9,$E822*$F822,IF(VLOOKUP($B822,'Baremos anteriores'!A:D,4,FALSE)="Sin Definir",$E822*$F822,"")))))</f>
        <v/>
      </c>
      <c r="K822" s="79" t="str">
        <f>IF($D822="","",
IF($E822="","",
IF($D822="MATE","",
IF(VLOOKUP($B822,'Baremos actuales'!$A:$D,4,FALSE)=K$9,$E822*$F822,IF(VLOOKUP($B822,'Baremos anteriores'!$A:$D,4,FALSE)="Desmonte",$E822*$F822,"")))))</f>
        <v/>
      </c>
      <c r="L822" s="80" t="str">
        <f>IF($D822="","",
IF($E822="","",
IF($D822="MATE","",
IF(VLOOKUP($B822,'Baremos actuales'!$A:$D,4,FALSE)=L$9,$E822*$F822,""))))</f>
        <v/>
      </c>
      <c r="M822" s="91" t="str">
        <f t="shared" si="12"/>
        <v/>
      </c>
      <c r="N822" s="96"/>
      <c r="O822" s="95"/>
      <c r="P822" s="96"/>
      <c r="Q822" s="98"/>
    </row>
    <row r="823" spans="1:17" ht="15.75" x14ac:dyDescent="0.2">
      <c r="A823" s="17"/>
      <c r="B823" s="18"/>
      <c r="C823" s="87" t="str">
        <f>IF(B823="","",
IF(M823=$H$5,IFERROR(VLOOKUP(B823,'Baremos actuales'!A:E,5,FALSE),"No encontrado. Revisar código, fecha ejecución y/o contrato."),
IF(M823=$H$4,IFERROR(VLOOKUP(B823,'Baremos anteriores'!A:E,5,FALSE),"No encontrado. Revisar código, fecha ejecución y/o contrato."),
IF(M823=$H$3,IFERROR(VLOOKUP(B823,#REF!,5,FALSE),"No encontrado. Revisar código, fecha ejecución y/o contrato."),
IF(D823="","Código no encontrado",
IF(D823="ERROR","No encontrado. Revisar Código, fecha de ejecución y/o contrato.",
IF(D823="MATE",
IF(C822="DESCRIPCION","NO SE PUEDE COMENZAR SIN CÓDIGO DE TAREA",
IF(C822="","FALTA CÓDIGO DE TAREA",
CONCATENATE("          ",VLOOKUP(B823,'Maestro Materiales'!A:C,3,FALSE)))),IFERROR(VLOOKUP(B823,#REF!,5,FALSE),"No encontrado. Revisar código, fecha ejecución y/o contrato."))))))))</f>
        <v/>
      </c>
      <c r="D823" s="88" t="str">
        <f>IF(B823="","",
IFERROR(VLOOKUP(B823,'Maestro Materiales'!A:C,2,FALSE),
IFERROR(VLOOKUP(B823,'Baremos actuales'!A:B,2,FALSE),
IFERROR(VLOOKUP(B823,'Baremos anteriores'!A:B,2,FALSE),
""))))</f>
        <v/>
      </c>
      <c r="E823" s="9"/>
      <c r="F823" s="89" t="str">
        <f>IF(D823="MATE",
IF(E823="","¿Unidades?",""),
IF(D823="",IF(E823="","","¿Código?"),
IF(E823="","¿Unidades?",
IF(D823="TARE",
IF(M823=$H$3,IFERROR(VLOOKUP(B823,'Baremos actuales'!A:C,3,FALSE),0),
IF(M823=$H$4,IFERROR(VLOOKUP(B823,'Baremos anteriores'!A:C,3,FALSE),0),0))))))</f>
        <v/>
      </c>
      <c r="G823" s="7"/>
      <c r="H823" s="8"/>
      <c r="I823" s="8"/>
      <c r="J823" s="78" t="str">
        <f>IF($D823="","",
IF($E823="","",
IF($D823="MATE","",
IF(VLOOKUP($B823,'Baremos actuales'!A:D,4,FALSE)=J$9,$E823*$F823,IF(VLOOKUP($B823,'Baremos anteriores'!A:D,4,FALSE)="Sin Definir",$E823*$F823,"")))))</f>
        <v/>
      </c>
      <c r="K823" s="79" t="str">
        <f>IF($D823="","",
IF($E823="","",
IF($D823="MATE","",
IF(VLOOKUP($B823,'Baremos actuales'!$A:$D,4,FALSE)=K$9,$E823*$F823,IF(VLOOKUP($B823,'Baremos anteriores'!$A:$D,4,FALSE)="Desmonte",$E823*$F823,"")))))</f>
        <v/>
      </c>
      <c r="L823" s="80" t="str">
        <f>IF($D823="","",
IF($E823="","",
IF($D823="MATE","",
IF(VLOOKUP($B823,'Baremos actuales'!$A:$D,4,FALSE)=L$9,$E823*$F823,""))))</f>
        <v/>
      </c>
      <c r="M823" s="91" t="str">
        <f t="shared" si="12"/>
        <v/>
      </c>
      <c r="N823" s="96"/>
      <c r="O823" s="95"/>
      <c r="P823" s="96"/>
      <c r="Q823" s="98"/>
    </row>
    <row r="824" spans="1:17" ht="15.75" x14ac:dyDescent="0.2">
      <c r="A824" s="17"/>
      <c r="B824" s="18"/>
      <c r="C824" s="87" t="str">
        <f>IF(B824="","",
IF(M824=$H$5,IFERROR(VLOOKUP(B824,'Baremos actuales'!A:E,5,FALSE),"No encontrado. Revisar código, fecha ejecución y/o contrato."),
IF(M824=$H$4,IFERROR(VLOOKUP(B824,'Baremos anteriores'!A:E,5,FALSE),"No encontrado. Revisar código, fecha ejecución y/o contrato."),
IF(M824=$H$3,IFERROR(VLOOKUP(B824,#REF!,5,FALSE),"No encontrado. Revisar código, fecha ejecución y/o contrato."),
IF(D824="","Código no encontrado",
IF(D824="ERROR","No encontrado. Revisar Código, fecha de ejecución y/o contrato.",
IF(D824="MATE",
IF(C823="DESCRIPCION","NO SE PUEDE COMENZAR SIN CÓDIGO DE TAREA",
IF(C823="","FALTA CÓDIGO DE TAREA",
CONCATENATE("          ",VLOOKUP(B824,'Maestro Materiales'!A:C,3,FALSE)))),IFERROR(VLOOKUP(B824,#REF!,5,FALSE),"No encontrado. Revisar código, fecha ejecución y/o contrato."))))))))</f>
        <v/>
      </c>
      <c r="D824" s="88" t="str">
        <f>IF(B824="","",
IFERROR(VLOOKUP(B824,'Maestro Materiales'!A:C,2,FALSE),
IFERROR(VLOOKUP(B824,'Baremos actuales'!A:B,2,FALSE),
IFERROR(VLOOKUP(B824,'Baremos anteriores'!A:B,2,FALSE),
""))))</f>
        <v/>
      </c>
      <c r="E824" s="9"/>
      <c r="F824" s="89" t="str">
        <f>IF(D824="MATE",
IF(E824="","¿Unidades?",""),
IF(D824="",IF(E824="","","¿Código?"),
IF(E824="","¿Unidades?",
IF(D824="TARE",
IF(M824=$H$3,IFERROR(VLOOKUP(B824,'Baremos actuales'!A:C,3,FALSE),0),
IF(M824=$H$4,IFERROR(VLOOKUP(B824,'Baremos anteriores'!A:C,3,FALSE),0),0))))))</f>
        <v/>
      </c>
      <c r="G824" s="7"/>
      <c r="H824" s="8"/>
      <c r="I824" s="8"/>
      <c r="J824" s="78" t="str">
        <f>IF($D824="","",
IF($E824="","",
IF($D824="MATE","",
IF(VLOOKUP($B824,'Baremos actuales'!A:D,4,FALSE)=J$9,$E824*$F824,IF(VLOOKUP($B824,'Baremos anteriores'!A:D,4,FALSE)="Sin Definir",$E824*$F824,"")))))</f>
        <v/>
      </c>
      <c r="K824" s="79" t="str">
        <f>IF($D824="","",
IF($E824="","",
IF($D824="MATE","",
IF(VLOOKUP($B824,'Baremos actuales'!$A:$D,4,FALSE)=K$9,$E824*$F824,IF(VLOOKUP($B824,'Baremos anteriores'!$A:$D,4,FALSE)="Desmonte",$E824*$F824,"")))))</f>
        <v/>
      </c>
      <c r="L824" s="80" t="str">
        <f>IF($D824="","",
IF($E824="","",
IF($D824="MATE","",
IF(VLOOKUP($B824,'Baremos actuales'!$A:$D,4,FALSE)=L$9,$E824*$F824,""))))</f>
        <v/>
      </c>
      <c r="M824" s="91" t="str">
        <f t="shared" si="12"/>
        <v/>
      </c>
      <c r="N824" s="96"/>
      <c r="O824" s="95"/>
      <c r="P824" s="96"/>
      <c r="Q824" s="98"/>
    </row>
    <row r="825" spans="1:17" ht="15.75" x14ac:dyDescent="0.2">
      <c r="A825" s="17"/>
      <c r="B825" s="18"/>
      <c r="C825" s="87" t="str">
        <f>IF(B825="","",
IF(M825=$H$5,IFERROR(VLOOKUP(B825,'Baremos actuales'!A:E,5,FALSE),"No encontrado. Revisar código, fecha ejecución y/o contrato."),
IF(M825=$H$4,IFERROR(VLOOKUP(B825,'Baremos anteriores'!A:E,5,FALSE),"No encontrado. Revisar código, fecha ejecución y/o contrato."),
IF(M825=$H$3,IFERROR(VLOOKUP(B825,#REF!,5,FALSE),"No encontrado. Revisar código, fecha ejecución y/o contrato."),
IF(D825="","Código no encontrado",
IF(D825="ERROR","No encontrado. Revisar Código, fecha de ejecución y/o contrato.",
IF(D825="MATE",
IF(C824="DESCRIPCION","NO SE PUEDE COMENZAR SIN CÓDIGO DE TAREA",
IF(C824="","FALTA CÓDIGO DE TAREA",
CONCATENATE("          ",VLOOKUP(B825,'Maestro Materiales'!A:C,3,FALSE)))),IFERROR(VLOOKUP(B825,#REF!,5,FALSE),"No encontrado. Revisar código, fecha ejecución y/o contrato."))))))))</f>
        <v/>
      </c>
      <c r="D825" s="88" t="str">
        <f>IF(B825="","",
IFERROR(VLOOKUP(B825,'Maestro Materiales'!A:C,2,FALSE),
IFERROR(VLOOKUP(B825,'Baremos actuales'!A:B,2,FALSE),
IFERROR(VLOOKUP(B825,'Baremos anteriores'!A:B,2,FALSE),
""))))</f>
        <v/>
      </c>
      <c r="E825" s="9"/>
      <c r="F825" s="89" t="str">
        <f>IF(D825="MATE",
IF(E825="","¿Unidades?",""),
IF(D825="",IF(E825="","","¿Código?"),
IF(E825="","¿Unidades?",
IF(D825="TARE",
IF(M825=$H$3,IFERROR(VLOOKUP(B825,'Baremos actuales'!A:C,3,FALSE),0),
IF(M825=$H$4,IFERROR(VLOOKUP(B825,'Baremos anteriores'!A:C,3,FALSE),0),0))))))</f>
        <v/>
      </c>
      <c r="G825" s="7"/>
      <c r="H825" s="8"/>
      <c r="I825" s="8"/>
      <c r="J825" s="78" t="str">
        <f>IF($D825="","",
IF($E825="","",
IF($D825="MATE","",
IF(VLOOKUP($B825,'Baremos actuales'!A:D,4,FALSE)=J$9,$E825*$F825,IF(VLOOKUP($B825,'Baremos anteriores'!A:D,4,FALSE)="Sin Definir",$E825*$F825,"")))))</f>
        <v/>
      </c>
      <c r="K825" s="79" t="str">
        <f>IF($D825="","",
IF($E825="","",
IF($D825="MATE","",
IF(VLOOKUP($B825,'Baremos actuales'!$A:$D,4,FALSE)=K$9,$E825*$F825,IF(VLOOKUP($B825,'Baremos anteriores'!$A:$D,4,FALSE)="Desmonte",$E825*$F825,"")))))</f>
        <v/>
      </c>
      <c r="L825" s="80" t="str">
        <f>IF($D825="","",
IF($E825="","",
IF($D825="MATE","",
IF(VLOOKUP($B825,'Baremos actuales'!$A:$D,4,FALSE)=L$9,$E825*$F825,""))))</f>
        <v/>
      </c>
      <c r="M825" s="91" t="str">
        <f t="shared" si="12"/>
        <v/>
      </c>
      <c r="N825" s="96"/>
      <c r="O825" s="95"/>
      <c r="P825" s="96"/>
      <c r="Q825" s="98"/>
    </row>
    <row r="826" spans="1:17" ht="15.75" x14ac:dyDescent="0.2">
      <c r="A826" s="17"/>
      <c r="B826" s="18"/>
      <c r="C826" s="87" t="str">
        <f>IF(B826="","",
IF(M826=$H$5,IFERROR(VLOOKUP(B826,'Baremos actuales'!A:E,5,FALSE),"No encontrado. Revisar código, fecha ejecución y/o contrato."),
IF(M826=$H$4,IFERROR(VLOOKUP(B826,'Baremos anteriores'!A:E,5,FALSE),"No encontrado. Revisar código, fecha ejecución y/o contrato."),
IF(M826=$H$3,IFERROR(VLOOKUP(B826,#REF!,5,FALSE),"No encontrado. Revisar código, fecha ejecución y/o contrato."),
IF(D826="","Código no encontrado",
IF(D826="ERROR","No encontrado. Revisar Código, fecha de ejecución y/o contrato.",
IF(D826="MATE",
IF(C825="DESCRIPCION","NO SE PUEDE COMENZAR SIN CÓDIGO DE TAREA",
IF(C825="","FALTA CÓDIGO DE TAREA",
CONCATENATE("          ",VLOOKUP(B826,'Maestro Materiales'!A:C,3,FALSE)))),IFERROR(VLOOKUP(B826,#REF!,5,FALSE),"No encontrado. Revisar código, fecha ejecución y/o contrato."))))))))</f>
        <v/>
      </c>
      <c r="D826" s="88" t="str">
        <f>IF(B826="","",
IFERROR(VLOOKUP(B826,'Maestro Materiales'!A:C,2,FALSE),
IFERROR(VLOOKUP(B826,'Baremos actuales'!A:B,2,FALSE),
IFERROR(VLOOKUP(B826,'Baremos anteriores'!A:B,2,FALSE),
""))))</f>
        <v/>
      </c>
      <c r="E826" s="9"/>
      <c r="F826" s="89" t="str">
        <f>IF(D826="MATE",
IF(E826="","¿Unidades?",""),
IF(D826="",IF(E826="","","¿Código?"),
IF(E826="","¿Unidades?",
IF(D826="TARE",
IF(M826=$H$3,IFERROR(VLOOKUP(B826,'Baremos actuales'!A:C,3,FALSE),0),
IF(M826=$H$4,IFERROR(VLOOKUP(B826,'Baremos anteriores'!A:C,3,FALSE),0),0))))))</f>
        <v/>
      </c>
      <c r="G826" s="7"/>
      <c r="H826" s="8"/>
      <c r="I826" s="8"/>
      <c r="J826" s="78" t="str">
        <f>IF($D826="","",
IF($E826="","",
IF($D826="MATE","",
IF(VLOOKUP($B826,'Baremos actuales'!A:D,4,FALSE)=J$9,$E826*$F826,IF(VLOOKUP($B826,'Baremos anteriores'!A:D,4,FALSE)="Sin Definir",$E826*$F826,"")))))</f>
        <v/>
      </c>
      <c r="K826" s="79" t="str">
        <f>IF($D826="","",
IF($E826="","",
IF($D826="MATE","",
IF(VLOOKUP($B826,'Baremos actuales'!$A:$D,4,FALSE)=K$9,$E826*$F826,IF(VLOOKUP($B826,'Baremos anteriores'!$A:$D,4,FALSE)="Desmonte",$E826*$F826,"")))))</f>
        <v/>
      </c>
      <c r="L826" s="80" t="str">
        <f>IF($D826="","",
IF($E826="","",
IF($D826="MATE","",
IF(VLOOKUP($B826,'Baremos actuales'!$A:$D,4,FALSE)=L$9,$E826*$F826,""))))</f>
        <v/>
      </c>
      <c r="M826" s="91" t="str">
        <f t="shared" si="12"/>
        <v/>
      </c>
      <c r="N826" s="96"/>
      <c r="O826" s="95"/>
      <c r="P826" s="96"/>
      <c r="Q826" s="98"/>
    </row>
    <row r="827" spans="1:17" ht="15.75" x14ac:dyDescent="0.2">
      <c r="A827" s="17"/>
      <c r="B827" s="18"/>
      <c r="C827" s="87" t="str">
        <f>IF(B827="","",
IF(M827=$H$5,IFERROR(VLOOKUP(B827,'Baremos actuales'!A:E,5,FALSE),"No encontrado. Revisar código, fecha ejecución y/o contrato."),
IF(M827=$H$4,IFERROR(VLOOKUP(B827,'Baremos anteriores'!A:E,5,FALSE),"No encontrado. Revisar código, fecha ejecución y/o contrato."),
IF(M827=$H$3,IFERROR(VLOOKUP(B827,#REF!,5,FALSE),"No encontrado. Revisar código, fecha ejecución y/o contrato."),
IF(D827="","Código no encontrado",
IF(D827="ERROR","No encontrado. Revisar Código, fecha de ejecución y/o contrato.",
IF(D827="MATE",
IF(C826="DESCRIPCION","NO SE PUEDE COMENZAR SIN CÓDIGO DE TAREA",
IF(C826="","FALTA CÓDIGO DE TAREA",
CONCATENATE("          ",VLOOKUP(B827,'Maestro Materiales'!A:C,3,FALSE)))),IFERROR(VLOOKUP(B827,#REF!,5,FALSE),"No encontrado. Revisar código, fecha ejecución y/o contrato."))))))))</f>
        <v/>
      </c>
      <c r="D827" s="88" t="str">
        <f>IF(B827="","",
IFERROR(VLOOKUP(B827,'Maestro Materiales'!A:C,2,FALSE),
IFERROR(VLOOKUP(B827,'Baremos actuales'!A:B,2,FALSE),
IFERROR(VLOOKUP(B827,'Baremos anteriores'!A:B,2,FALSE),
""))))</f>
        <v/>
      </c>
      <c r="E827" s="9"/>
      <c r="F827" s="89" t="str">
        <f>IF(D827="MATE",
IF(E827="","¿Unidades?",""),
IF(D827="",IF(E827="","","¿Código?"),
IF(E827="","¿Unidades?",
IF(D827="TARE",
IF(M827=$H$3,IFERROR(VLOOKUP(B827,'Baremos actuales'!A:C,3,FALSE),0),
IF(M827=$H$4,IFERROR(VLOOKUP(B827,'Baremos anteriores'!A:C,3,FALSE),0),0))))))</f>
        <v/>
      </c>
      <c r="G827" s="7"/>
      <c r="H827" s="8"/>
      <c r="I827" s="8"/>
      <c r="J827" s="78" t="str">
        <f>IF($D827="","",
IF($E827="","",
IF($D827="MATE","",
IF(VLOOKUP($B827,'Baremos actuales'!A:D,4,FALSE)=J$9,$E827*$F827,IF(VLOOKUP($B827,'Baremos anteriores'!A:D,4,FALSE)="Sin Definir",$E827*$F827,"")))))</f>
        <v/>
      </c>
      <c r="K827" s="79" t="str">
        <f>IF($D827="","",
IF($E827="","",
IF($D827="MATE","",
IF(VLOOKUP($B827,'Baremos actuales'!$A:$D,4,FALSE)=K$9,$E827*$F827,IF(VLOOKUP($B827,'Baremos anteriores'!$A:$D,4,FALSE)="Desmonte",$E827*$F827,"")))))</f>
        <v/>
      </c>
      <c r="L827" s="80" t="str">
        <f>IF($D827="","",
IF($E827="","",
IF($D827="MATE","",
IF(VLOOKUP($B827,'Baremos actuales'!$A:$D,4,FALSE)=L$9,$E827*$F827,""))))</f>
        <v/>
      </c>
      <c r="M827" s="91" t="str">
        <f t="shared" si="12"/>
        <v/>
      </c>
      <c r="N827" s="96"/>
      <c r="O827" s="95"/>
      <c r="P827" s="96"/>
      <c r="Q827" s="98"/>
    </row>
    <row r="828" spans="1:17" ht="15.75" x14ac:dyDescent="0.2">
      <c r="A828" s="17"/>
      <c r="B828" s="18"/>
      <c r="C828" s="87" t="str">
        <f>IF(B828="","",
IF(M828=$H$5,IFERROR(VLOOKUP(B828,'Baremos actuales'!A:E,5,FALSE),"No encontrado. Revisar código, fecha ejecución y/o contrato."),
IF(M828=$H$4,IFERROR(VLOOKUP(B828,'Baremos anteriores'!A:E,5,FALSE),"No encontrado. Revisar código, fecha ejecución y/o contrato."),
IF(M828=$H$3,IFERROR(VLOOKUP(B828,#REF!,5,FALSE),"No encontrado. Revisar código, fecha ejecución y/o contrato."),
IF(D828="","Código no encontrado",
IF(D828="ERROR","No encontrado. Revisar Código, fecha de ejecución y/o contrato.",
IF(D828="MATE",
IF(C827="DESCRIPCION","NO SE PUEDE COMENZAR SIN CÓDIGO DE TAREA",
IF(C827="","FALTA CÓDIGO DE TAREA",
CONCATENATE("          ",VLOOKUP(B828,'Maestro Materiales'!A:C,3,FALSE)))),IFERROR(VLOOKUP(B828,#REF!,5,FALSE),"No encontrado. Revisar código, fecha ejecución y/o contrato."))))))))</f>
        <v/>
      </c>
      <c r="D828" s="88" t="str">
        <f>IF(B828="","",
IFERROR(VLOOKUP(B828,'Maestro Materiales'!A:C,2,FALSE),
IFERROR(VLOOKUP(B828,'Baremos actuales'!A:B,2,FALSE),
IFERROR(VLOOKUP(B828,'Baremos anteriores'!A:B,2,FALSE),
""))))</f>
        <v/>
      </c>
      <c r="E828" s="9"/>
      <c r="F828" s="89" t="str">
        <f>IF(D828="MATE",
IF(E828="","¿Unidades?",""),
IF(D828="",IF(E828="","","¿Código?"),
IF(E828="","¿Unidades?",
IF(D828="TARE",
IF(M828=$H$3,IFERROR(VLOOKUP(B828,'Baremos actuales'!A:C,3,FALSE),0),
IF(M828=$H$4,IFERROR(VLOOKUP(B828,'Baremos anteriores'!A:C,3,FALSE),0),0))))))</f>
        <v/>
      </c>
      <c r="G828" s="7"/>
      <c r="H828" s="8"/>
      <c r="I828" s="8"/>
      <c r="J828" s="78" t="str">
        <f>IF($D828="","",
IF($E828="","",
IF($D828="MATE","",
IF(VLOOKUP($B828,'Baremos actuales'!A:D,4,FALSE)=J$9,$E828*$F828,IF(VLOOKUP($B828,'Baremos anteriores'!A:D,4,FALSE)="Sin Definir",$E828*$F828,"")))))</f>
        <v/>
      </c>
      <c r="K828" s="79" t="str">
        <f>IF($D828="","",
IF($E828="","",
IF($D828="MATE","",
IF(VLOOKUP($B828,'Baremos actuales'!$A:$D,4,FALSE)=K$9,$E828*$F828,IF(VLOOKUP($B828,'Baremos anteriores'!$A:$D,4,FALSE)="Desmonte",$E828*$F828,"")))))</f>
        <v/>
      </c>
      <c r="L828" s="80" t="str">
        <f>IF($D828="","",
IF($E828="","",
IF($D828="MATE","",
IF(VLOOKUP($B828,'Baremos actuales'!$A:$D,4,FALSE)=L$9,$E828*$F828,""))))</f>
        <v/>
      </c>
      <c r="M828" s="91" t="str">
        <f t="shared" si="12"/>
        <v/>
      </c>
      <c r="N828" s="96"/>
      <c r="O828" s="95"/>
      <c r="P828" s="96"/>
      <c r="Q828" s="98"/>
    </row>
    <row r="829" spans="1:17" ht="15.75" x14ac:dyDescent="0.2">
      <c r="A829" s="17"/>
      <c r="B829" s="18"/>
      <c r="C829" s="87" t="str">
        <f>IF(B829="","",
IF(M829=$H$5,IFERROR(VLOOKUP(B829,'Baremos actuales'!A:E,5,FALSE),"No encontrado. Revisar código, fecha ejecución y/o contrato."),
IF(M829=$H$4,IFERROR(VLOOKUP(B829,'Baremos anteriores'!A:E,5,FALSE),"No encontrado. Revisar código, fecha ejecución y/o contrato."),
IF(M829=$H$3,IFERROR(VLOOKUP(B829,#REF!,5,FALSE),"No encontrado. Revisar código, fecha ejecución y/o contrato."),
IF(D829="","Código no encontrado",
IF(D829="ERROR","No encontrado. Revisar Código, fecha de ejecución y/o contrato.",
IF(D829="MATE",
IF(C828="DESCRIPCION","NO SE PUEDE COMENZAR SIN CÓDIGO DE TAREA",
IF(C828="","FALTA CÓDIGO DE TAREA",
CONCATENATE("          ",VLOOKUP(B829,'Maestro Materiales'!A:C,3,FALSE)))),IFERROR(VLOOKUP(B829,#REF!,5,FALSE),"No encontrado. Revisar código, fecha ejecución y/o contrato."))))))))</f>
        <v/>
      </c>
      <c r="D829" s="88" t="str">
        <f>IF(B829="","",
IFERROR(VLOOKUP(B829,'Maestro Materiales'!A:C,2,FALSE),
IFERROR(VLOOKUP(B829,'Baremos actuales'!A:B,2,FALSE),
IFERROR(VLOOKUP(B829,'Baremos anteriores'!A:B,2,FALSE),
""))))</f>
        <v/>
      </c>
      <c r="E829" s="9"/>
      <c r="F829" s="89" t="str">
        <f>IF(D829="MATE",
IF(E829="","¿Unidades?",""),
IF(D829="",IF(E829="","","¿Código?"),
IF(E829="","¿Unidades?",
IF(D829="TARE",
IF(M829=$H$3,IFERROR(VLOOKUP(B829,'Baremos actuales'!A:C,3,FALSE),0),
IF(M829=$H$4,IFERROR(VLOOKUP(B829,'Baremos anteriores'!A:C,3,FALSE),0),0))))))</f>
        <v/>
      </c>
      <c r="G829" s="7"/>
      <c r="H829" s="8"/>
      <c r="I829" s="8"/>
      <c r="J829" s="78" t="str">
        <f>IF($D829="","",
IF($E829="","",
IF($D829="MATE","",
IF(VLOOKUP($B829,'Baremos actuales'!A:D,4,FALSE)=J$9,$E829*$F829,IF(VLOOKUP($B829,'Baremos anteriores'!A:D,4,FALSE)="Sin Definir",$E829*$F829,"")))))</f>
        <v/>
      </c>
      <c r="K829" s="79" t="str">
        <f>IF($D829="","",
IF($E829="","",
IF($D829="MATE","",
IF(VLOOKUP($B829,'Baremos actuales'!$A:$D,4,FALSE)=K$9,$E829*$F829,IF(VLOOKUP($B829,'Baremos anteriores'!$A:$D,4,FALSE)="Desmonte",$E829*$F829,"")))))</f>
        <v/>
      </c>
      <c r="L829" s="80" t="str">
        <f>IF($D829="","",
IF($E829="","",
IF($D829="MATE","",
IF(VLOOKUP($B829,'Baremos actuales'!$A:$D,4,FALSE)=L$9,$E829*$F829,""))))</f>
        <v/>
      </c>
      <c r="M829" s="91" t="str">
        <f t="shared" si="12"/>
        <v/>
      </c>
      <c r="N829" s="96"/>
      <c r="O829" s="95"/>
      <c r="P829" s="96"/>
      <c r="Q829" s="98"/>
    </row>
    <row r="830" spans="1:17" ht="15.75" x14ac:dyDescent="0.2">
      <c r="A830" s="17"/>
      <c r="B830" s="18"/>
      <c r="C830" s="87" t="str">
        <f>IF(B830="","",
IF(M830=$H$5,IFERROR(VLOOKUP(B830,'Baremos actuales'!A:E,5,FALSE),"No encontrado. Revisar código, fecha ejecución y/o contrato."),
IF(M830=$H$4,IFERROR(VLOOKUP(B830,'Baremos anteriores'!A:E,5,FALSE),"No encontrado. Revisar código, fecha ejecución y/o contrato."),
IF(M830=$H$3,IFERROR(VLOOKUP(B830,#REF!,5,FALSE),"No encontrado. Revisar código, fecha ejecución y/o contrato."),
IF(D830="","Código no encontrado",
IF(D830="ERROR","No encontrado. Revisar Código, fecha de ejecución y/o contrato.",
IF(D830="MATE",
IF(C829="DESCRIPCION","NO SE PUEDE COMENZAR SIN CÓDIGO DE TAREA",
IF(C829="","FALTA CÓDIGO DE TAREA",
CONCATENATE("          ",VLOOKUP(B830,'Maestro Materiales'!A:C,3,FALSE)))),IFERROR(VLOOKUP(B830,#REF!,5,FALSE),"No encontrado. Revisar código, fecha ejecución y/o contrato."))))))))</f>
        <v/>
      </c>
      <c r="D830" s="88" t="str">
        <f>IF(B830="","",
IFERROR(VLOOKUP(B830,'Maestro Materiales'!A:C,2,FALSE),
IFERROR(VLOOKUP(B830,'Baremos actuales'!A:B,2,FALSE),
IFERROR(VLOOKUP(B830,'Baremos anteriores'!A:B,2,FALSE),
""))))</f>
        <v/>
      </c>
      <c r="E830" s="9"/>
      <c r="F830" s="89" t="str">
        <f>IF(D830="MATE",
IF(E830="","¿Unidades?",""),
IF(D830="",IF(E830="","","¿Código?"),
IF(E830="","¿Unidades?",
IF(D830="TARE",
IF(M830=$H$3,IFERROR(VLOOKUP(B830,'Baremos actuales'!A:C,3,FALSE),0),
IF(M830=$H$4,IFERROR(VLOOKUP(B830,'Baremos anteriores'!A:C,3,FALSE),0),0))))))</f>
        <v/>
      </c>
      <c r="G830" s="7"/>
      <c r="H830" s="8"/>
      <c r="I830" s="8"/>
      <c r="J830" s="78" t="str">
        <f>IF($D830="","",
IF($E830="","",
IF($D830="MATE","",
IF(VLOOKUP($B830,'Baremos actuales'!A:D,4,FALSE)=J$9,$E830*$F830,IF(VLOOKUP($B830,'Baremos anteriores'!A:D,4,FALSE)="Sin Definir",$E830*$F830,"")))))</f>
        <v/>
      </c>
      <c r="K830" s="79" t="str">
        <f>IF($D830="","",
IF($E830="","",
IF($D830="MATE","",
IF(VLOOKUP($B830,'Baremos actuales'!$A:$D,4,FALSE)=K$9,$E830*$F830,IF(VLOOKUP($B830,'Baremos anteriores'!$A:$D,4,FALSE)="Desmonte",$E830*$F830,"")))))</f>
        <v/>
      </c>
      <c r="L830" s="80" t="str">
        <f>IF($D830="","",
IF($E830="","",
IF($D830="MATE","",
IF(VLOOKUP($B830,'Baremos actuales'!$A:$D,4,FALSE)=L$9,$E830*$F830,""))))</f>
        <v/>
      </c>
      <c r="M830" s="91" t="str">
        <f t="shared" si="12"/>
        <v/>
      </c>
      <c r="N830" s="96"/>
      <c r="O830" s="95"/>
      <c r="P830" s="96"/>
      <c r="Q830" s="98"/>
    </row>
    <row r="831" spans="1:17" ht="15.75" x14ac:dyDescent="0.2">
      <c r="A831" s="17"/>
      <c r="B831" s="18"/>
      <c r="C831" s="87" t="str">
        <f>IF(B831="","",
IF(M831=$H$5,IFERROR(VLOOKUP(B831,'Baremos actuales'!A:E,5,FALSE),"No encontrado. Revisar código, fecha ejecución y/o contrato."),
IF(M831=$H$4,IFERROR(VLOOKUP(B831,'Baremos anteriores'!A:E,5,FALSE),"No encontrado. Revisar código, fecha ejecución y/o contrato."),
IF(M831=$H$3,IFERROR(VLOOKUP(B831,#REF!,5,FALSE),"No encontrado. Revisar código, fecha ejecución y/o contrato."),
IF(D831="","Código no encontrado",
IF(D831="ERROR","No encontrado. Revisar Código, fecha de ejecución y/o contrato.",
IF(D831="MATE",
IF(C830="DESCRIPCION","NO SE PUEDE COMENZAR SIN CÓDIGO DE TAREA",
IF(C830="","FALTA CÓDIGO DE TAREA",
CONCATENATE("          ",VLOOKUP(B831,'Maestro Materiales'!A:C,3,FALSE)))),IFERROR(VLOOKUP(B831,#REF!,5,FALSE),"No encontrado. Revisar código, fecha ejecución y/o contrato."))))))))</f>
        <v/>
      </c>
      <c r="D831" s="88" t="str">
        <f>IF(B831="","",
IFERROR(VLOOKUP(B831,'Maestro Materiales'!A:C,2,FALSE),
IFERROR(VLOOKUP(B831,'Baremos actuales'!A:B,2,FALSE),
IFERROR(VLOOKUP(B831,'Baremos anteriores'!A:B,2,FALSE),
""))))</f>
        <v/>
      </c>
      <c r="E831" s="9"/>
      <c r="F831" s="89" t="str">
        <f>IF(D831="MATE",
IF(E831="","¿Unidades?",""),
IF(D831="",IF(E831="","","¿Código?"),
IF(E831="","¿Unidades?",
IF(D831="TARE",
IF(M831=$H$3,IFERROR(VLOOKUP(B831,'Baremos actuales'!A:C,3,FALSE),0),
IF(M831=$H$4,IFERROR(VLOOKUP(B831,'Baremos anteriores'!A:C,3,FALSE),0),0))))))</f>
        <v/>
      </c>
      <c r="G831" s="7"/>
      <c r="H831" s="8"/>
      <c r="I831" s="8"/>
      <c r="J831" s="78" t="str">
        <f>IF($D831="","",
IF($E831="","",
IF($D831="MATE","",
IF(VLOOKUP($B831,'Baremos actuales'!A:D,4,FALSE)=J$9,$E831*$F831,IF(VLOOKUP($B831,'Baremos anteriores'!A:D,4,FALSE)="Sin Definir",$E831*$F831,"")))))</f>
        <v/>
      </c>
      <c r="K831" s="79" t="str">
        <f>IF($D831="","",
IF($E831="","",
IF($D831="MATE","",
IF(VLOOKUP($B831,'Baremos actuales'!$A:$D,4,FALSE)=K$9,$E831*$F831,IF(VLOOKUP($B831,'Baremos anteriores'!$A:$D,4,FALSE)="Desmonte",$E831*$F831,"")))))</f>
        <v/>
      </c>
      <c r="L831" s="80" t="str">
        <f>IF($D831="","",
IF($E831="","",
IF($D831="MATE","",
IF(VLOOKUP($B831,'Baremos actuales'!$A:$D,4,FALSE)=L$9,$E831*$F831,""))))</f>
        <v/>
      </c>
      <c r="M831" s="91" t="str">
        <f t="shared" si="12"/>
        <v/>
      </c>
      <c r="N831" s="96"/>
      <c r="O831" s="95"/>
      <c r="P831" s="96"/>
      <c r="Q831" s="98"/>
    </row>
    <row r="832" spans="1:17" ht="15.75" x14ac:dyDescent="0.2">
      <c r="A832" s="17"/>
      <c r="B832" s="18"/>
      <c r="C832" s="87" t="str">
        <f>IF(B832="","",
IF(M832=$H$5,IFERROR(VLOOKUP(B832,'Baremos actuales'!A:E,5,FALSE),"No encontrado. Revisar código, fecha ejecución y/o contrato."),
IF(M832=$H$4,IFERROR(VLOOKUP(B832,'Baremos anteriores'!A:E,5,FALSE),"No encontrado. Revisar código, fecha ejecución y/o contrato."),
IF(M832=$H$3,IFERROR(VLOOKUP(B832,#REF!,5,FALSE),"No encontrado. Revisar código, fecha ejecución y/o contrato."),
IF(D832="","Código no encontrado",
IF(D832="ERROR","No encontrado. Revisar Código, fecha de ejecución y/o contrato.",
IF(D832="MATE",
IF(C831="DESCRIPCION","NO SE PUEDE COMENZAR SIN CÓDIGO DE TAREA",
IF(C831="","FALTA CÓDIGO DE TAREA",
CONCATENATE("          ",VLOOKUP(B832,'Maestro Materiales'!A:C,3,FALSE)))),IFERROR(VLOOKUP(B832,#REF!,5,FALSE),"No encontrado. Revisar código, fecha ejecución y/o contrato."))))))))</f>
        <v/>
      </c>
      <c r="D832" s="88" t="str">
        <f>IF(B832="","",
IFERROR(VLOOKUP(B832,'Maestro Materiales'!A:C,2,FALSE),
IFERROR(VLOOKUP(B832,'Baremos actuales'!A:B,2,FALSE),
IFERROR(VLOOKUP(B832,'Baremos anteriores'!A:B,2,FALSE),
""))))</f>
        <v/>
      </c>
      <c r="E832" s="9"/>
      <c r="F832" s="89" t="str">
        <f>IF(D832="MATE",
IF(E832="","¿Unidades?",""),
IF(D832="",IF(E832="","","¿Código?"),
IF(E832="","¿Unidades?",
IF(D832="TARE",
IF(M832=$H$3,IFERROR(VLOOKUP(B832,'Baremos actuales'!A:C,3,FALSE),0),
IF(M832=$H$4,IFERROR(VLOOKUP(B832,'Baremos anteriores'!A:C,3,FALSE),0),0))))))</f>
        <v/>
      </c>
      <c r="G832" s="7"/>
      <c r="H832" s="8"/>
      <c r="I832" s="8"/>
      <c r="J832" s="78" t="str">
        <f>IF($D832="","",
IF($E832="","",
IF($D832="MATE","",
IF(VLOOKUP($B832,'Baremos actuales'!A:D,4,FALSE)=J$9,$E832*$F832,IF(VLOOKUP($B832,'Baremos anteriores'!A:D,4,FALSE)="Sin Definir",$E832*$F832,"")))))</f>
        <v/>
      </c>
      <c r="K832" s="79" t="str">
        <f>IF($D832="","",
IF($E832="","",
IF($D832="MATE","",
IF(VLOOKUP($B832,'Baremos actuales'!$A:$D,4,FALSE)=K$9,$E832*$F832,IF(VLOOKUP($B832,'Baremos anteriores'!$A:$D,4,FALSE)="Desmonte",$E832*$F832,"")))))</f>
        <v/>
      </c>
      <c r="L832" s="80" t="str">
        <f>IF($D832="","",
IF($E832="","",
IF($D832="MATE","",
IF(VLOOKUP($B832,'Baremos actuales'!$A:$D,4,FALSE)=L$9,$E832*$F832,""))))</f>
        <v/>
      </c>
      <c r="M832" s="91" t="str">
        <f t="shared" si="12"/>
        <v/>
      </c>
      <c r="N832" s="96"/>
      <c r="O832" s="95"/>
      <c r="P832" s="96"/>
      <c r="Q832" s="98"/>
    </row>
    <row r="833" spans="1:17" ht="15.75" x14ac:dyDescent="0.2">
      <c r="A833" s="17"/>
      <c r="B833" s="18"/>
      <c r="C833" s="87" t="str">
        <f>IF(B833="","",
IF(M833=$H$5,IFERROR(VLOOKUP(B833,'Baremos actuales'!A:E,5,FALSE),"No encontrado. Revisar código, fecha ejecución y/o contrato."),
IF(M833=$H$4,IFERROR(VLOOKUP(B833,'Baremos anteriores'!A:E,5,FALSE),"No encontrado. Revisar código, fecha ejecución y/o contrato."),
IF(M833=$H$3,IFERROR(VLOOKUP(B833,#REF!,5,FALSE),"No encontrado. Revisar código, fecha ejecución y/o contrato."),
IF(D833="","Código no encontrado",
IF(D833="ERROR","No encontrado. Revisar Código, fecha de ejecución y/o contrato.",
IF(D833="MATE",
IF(C832="DESCRIPCION","NO SE PUEDE COMENZAR SIN CÓDIGO DE TAREA",
IF(C832="","FALTA CÓDIGO DE TAREA",
CONCATENATE("          ",VLOOKUP(B833,'Maestro Materiales'!A:C,3,FALSE)))),IFERROR(VLOOKUP(B833,#REF!,5,FALSE),"No encontrado. Revisar código, fecha ejecución y/o contrato."))))))))</f>
        <v/>
      </c>
      <c r="D833" s="88" t="str">
        <f>IF(B833="","",
IFERROR(VLOOKUP(B833,'Maestro Materiales'!A:C,2,FALSE),
IFERROR(VLOOKUP(B833,'Baremos actuales'!A:B,2,FALSE),
IFERROR(VLOOKUP(B833,'Baremos anteriores'!A:B,2,FALSE),
""))))</f>
        <v/>
      </c>
      <c r="E833" s="9"/>
      <c r="F833" s="89" t="str">
        <f>IF(D833="MATE",
IF(E833="","¿Unidades?",""),
IF(D833="",IF(E833="","","¿Código?"),
IF(E833="","¿Unidades?",
IF(D833="TARE",
IF(M833=$H$3,IFERROR(VLOOKUP(B833,'Baremos actuales'!A:C,3,FALSE),0),
IF(M833=$H$4,IFERROR(VLOOKUP(B833,'Baremos anteriores'!A:C,3,FALSE),0),0))))))</f>
        <v/>
      </c>
      <c r="G833" s="7"/>
      <c r="H833" s="8"/>
      <c r="I833" s="8"/>
      <c r="J833" s="78" t="str">
        <f>IF($D833="","",
IF($E833="","",
IF($D833="MATE","",
IF(VLOOKUP($B833,'Baremos actuales'!A:D,4,FALSE)=J$9,$E833*$F833,IF(VLOOKUP($B833,'Baremos anteriores'!A:D,4,FALSE)="Sin Definir",$E833*$F833,"")))))</f>
        <v/>
      </c>
      <c r="K833" s="79" t="str">
        <f>IF($D833="","",
IF($E833="","",
IF($D833="MATE","",
IF(VLOOKUP($B833,'Baremos actuales'!$A:$D,4,FALSE)=K$9,$E833*$F833,IF(VLOOKUP($B833,'Baremos anteriores'!$A:$D,4,FALSE)="Desmonte",$E833*$F833,"")))))</f>
        <v/>
      </c>
      <c r="L833" s="80" t="str">
        <f>IF($D833="","",
IF($E833="","",
IF($D833="MATE","",
IF(VLOOKUP($B833,'Baremos actuales'!$A:$D,4,FALSE)=L$9,$E833*$F833,""))))</f>
        <v/>
      </c>
      <c r="M833" s="91" t="str">
        <f t="shared" si="12"/>
        <v/>
      </c>
      <c r="N833" s="96"/>
      <c r="O833" s="95"/>
      <c r="P833" s="96"/>
      <c r="Q833" s="98"/>
    </row>
    <row r="834" spans="1:17" ht="15.75" x14ac:dyDescent="0.2">
      <c r="A834" s="17"/>
      <c r="B834" s="18"/>
      <c r="C834" s="87" t="str">
        <f>IF(B834="","",
IF(M834=$H$5,IFERROR(VLOOKUP(B834,'Baremos actuales'!A:E,5,FALSE),"No encontrado. Revisar código, fecha ejecución y/o contrato."),
IF(M834=$H$4,IFERROR(VLOOKUP(B834,'Baremos anteriores'!A:E,5,FALSE),"No encontrado. Revisar código, fecha ejecución y/o contrato."),
IF(M834=$H$3,IFERROR(VLOOKUP(B834,#REF!,5,FALSE),"No encontrado. Revisar código, fecha ejecución y/o contrato."),
IF(D834="","Código no encontrado",
IF(D834="ERROR","No encontrado. Revisar Código, fecha de ejecución y/o contrato.",
IF(D834="MATE",
IF(C833="DESCRIPCION","NO SE PUEDE COMENZAR SIN CÓDIGO DE TAREA",
IF(C833="","FALTA CÓDIGO DE TAREA",
CONCATENATE("          ",VLOOKUP(B834,'Maestro Materiales'!A:C,3,FALSE)))),IFERROR(VLOOKUP(B834,#REF!,5,FALSE),"No encontrado. Revisar código, fecha ejecución y/o contrato."))))))))</f>
        <v/>
      </c>
      <c r="D834" s="88" t="str">
        <f>IF(B834="","",
IFERROR(VLOOKUP(B834,'Maestro Materiales'!A:C,2,FALSE),
IFERROR(VLOOKUP(B834,'Baremos actuales'!A:B,2,FALSE),
IFERROR(VLOOKUP(B834,'Baremos anteriores'!A:B,2,FALSE),
""))))</f>
        <v/>
      </c>
      <c r="E834" s="9"/>
      <c r="F834" s="89" t="str">
        <f>IF(D834="MATE",
IF(E834="","¿Unidades?",""),
IF(D834="",IF(E834="","","¿Código?"),
IF(E834="","¿Unidades?",
IF(D834="TARE",
IF(M834=$H$3,IFERROR(VLOOKUP(B834,'Baremos actuales'!A:C,3,FALSE),0),
IF(M834=$H$4,IFERROR(VLOOKUP(B834,'Baremos anteriores'!A:C,3,FALSE),0),0))))))</f>
        <v/>
      </c>
      <c r="G834" s="7"/>
      <c r="H834" s="8"/>
      <c r="I834" s="8"/>
      <c r="J834" s="78" t="str">
        <f>IF($D834="","",
IF($E834="","",
IF($D834="MATE","",
IF(VLOOKUP($B834,'Baremos actuales'!A:D,4,FALSE)=J$9,$E834*$F834,IF(VLOOKUP($B834,'Baremos anteriores'!A:D,4,FALSE)="Sin Definir",$E834*$F834,"")))))</f>
        <v/>
      </c>
      <c r="K834" s="79" t="str">
        <f>IF($D834="","",
IF($E834="","",
IF($D834="MATE","",
IF(VLOOKUP($B834,'Baremos actuales'!$A:$D,4,FALSE)=K$9,$E834*$F834,IF(VLOOKUP($B834,'Baremos anteriores'!$A:$D,4,FALSE)="Desmonte",$E834*$F834,"")))))</f>
        <v/>
      </c>
      <c r="L834" s="80" t="str">
        <f>IF($D834="","",
IF($E834="","",
IF($D834="MATE","",
IF(VLOOKUP($B834,'Baremos actuales'!$A:$D,4,FALSE)=L$9,$E834*$F834,""))))</f>
        <v/>
      </c>
      <c r="M834" s="91" t="str">
        <f t="shared" si="12"/>
        <v/>
      </c>
      <c r="N834" s="96"/>
      <c r="O834" s="95"/>
      <c r="P834" s="96"/>
      <c r="Q834" s="98"/>
    </row>
    <row r="835" spans="1:17" ht="15.75" x14ac:dyDescent="0.2">
      <c r="A835" s="17"/>
      <c r="B835" s="18"/>
      <c r="C835" s="87" t="str">
        <f>IF(B835="","",
IF(M835=$H$5,IFERROR(VLOOKUP(B835,'Baremos actuales'!A:E,5,FALSE),"No encontrado. Revisar código, fecha ejecución y/o contrato."),
IF(M835=$H$4,IFERROR(VLOOKUP(B835,'Baremos anteriores'!A:E,5,FALSE),"No encontrado. Revisar código, fecha ejecución y/o contrato."),
IF(M835=$H$3,IFERROR(VLOOKUP(B835,#REF!,5,FALSE),"No encontrado. Revisar código, fecha ejecución y/o contrato."),
IF(D835="","Código no encontrado",
IF(D835="ERROR","No encontrado. Revisar Código, fecha de ejecución y/o contrato.",
IF(D835="MATE",
IF(C834="DESCRIPCION","NO SE PUEDE COMENZAR SIN CÓDIGO DE TAREA",
IF(C834="","FALTA CÓDIGO DE TAREA",
CONCATENATE("          ",VLOOKUP(B835,'Maestro Materiales'!A:C,3,FALSE)))),IFERROR(VLOOKUP(B835,#REF!,5,FALSE),"No encontrado. Revisar código, fecha ejecución y/o contrato."))))))))</f>
        <v/>
      </c>
      <c r="D835" s="88" t="str">
        <f>IF(B835="","",
IFERROR(VLOOKUP(B835,'Maestro Materiales'!A:C,2,FALSE),
IFERROR(VLOOKUP(B835,'Baremos actuales'!A:B,2,FALSE),
IFERROR(VLOOKUP(B835,'Baremos anteriores'!A:B,2,FALSE),
""))))</f>
        <v/>
      </c>
      <c r="E835" s="9"/>
      <c r="F835" s="89" t="str">
        <f>IF(D835="MATE",
IF(E835="","¿Unidades?",""),
IF(D835="",IF(E835="","","¿Código?"),
IF(E835="","¿Unidades?",
IF(D835="TARE",
IF(M835=$H$3,IFERROR(VLOOKUP(B835,'Baremos actuales'!A:C,3,FALSE),0),
IF(M835=$H$4,IFERROR(VLOOKUP(B835,'Baremos anteriores'!A:C,3,FALSE),0),0))))))</f>
        <v/>
      </c>
      <c r="G835" s="7"/>
      <c r="H835" s="8"/>
      <c r="I835" s="8"/>
      <c r="J835" s="78" t="str">
        <f>IF($D835="","",
IF($E835="","",
IF($D835="MATE","",
IF(VLOOKUP($B835,'Baremos actuales'!A:D,4,FALSE)=J$9,$E835*$F835,IF(VLOOKUP($B835,'Baremos anteriores'!A:D,4,FALSE)="Sin Definir",$E835*$F835,"")))))</f>
        <v/>
      </c>
      <c r="K835" s="79" t="str">
        <f>IF($D835="","",
IF($E835="","",
IF($D835="MATE","",
IF(VLOOKUP($B835,'Baremos actuales'!$A:$D,4,FALSE)=K$9,$E835*$F835,IF(VLOOKUP($B835,'Baremos anteriores'!$A:$D,4,FALSE)="Desmonte",$E835*$F835,"")))))</f>
        <v/>
      </c>
      <c r="L835" s="80" t="str">
        <f>IF($D835="","",
IF($E835="","",
IF($D835="MATE","",
IF(VLOOKUP($B835,'Baremos actuales'!$A:$D,4,FALSE)=L$9,$E835*$F835,""))))</f>
        <v/>
      </c>
      <c r="M835" s="91" t="str">
        <f t="shared" si="12"/>
        <v/>
      </c>
      <c r="N835" s="96"/>
      <c r="O835" s="95"/>
      <c r="P835" s="96"/>
      <c r="Q835" s="98"/>
    </row>
    <row r="836" spans="1:17" ht="15.75" x14ac:dyDescent="0.2">
      <c r="A836" s="17"/>
      <c r="B836" s="18"/>
      <c r="C836" s="87" t="str">
        <f>IF(B836="","",
IF(M836=$H$5,IFERROR(VLOOKUP(B836,'Baremos actuales'!A:E,5,FALSE),"No encontrado. Revisar código, fecha ejecución y/o contrato."),
IF(M836=$H$4,IFERROR(VLOOKUP(B836,'Baremos anteriores'!A:E,5,FALSE),"No encontrado. Revisar código, fecha ejecución y/o contrato."),
IF(M836=$H$3,IFERROR(VLOOKUP(B836,#REF!,5,FALSE),"No encontrado. Revisar código, fecha ejecución y/o contrato."),
IF(D836="","Código no encontrado",
IF(D836="ERROR","No encontrado. Revisar Código, fecha de ejecución y/o contrato.",
IF(D836="MATE",
IF(C835="DESCRIPCION","NO SE PUEDE COMENZAR SIN CÓDIGO DE TAREA",
IF(C835="","FALTA CÓDIGO DE TAREA",
CONCATENATE("          ",VLOOKUP(B836,'Maestro Materiales'!A:C,3,FALSE)))),IFERROR(VLOOKUP(B836,#REF!,5,FALSE),"No encontrado. Revisar código, fecha ejecución y/o contrato."))))))))</f>
        <v/>
      </c>
      <c r="D836" s="88" t="str">
        <f>IF(B836="","",
IFERROR(VLOOKUP(B836,'Maestro Materiales'!A:C,2,FALSE),
IFERROR(VLOOKUP(B836,'Baremos actuales'!A:B,2,FALSE),
IFERROR(VLOOKUP(B836,'Baremos anteriores'!A:B,2,FALSE),
""))))</f>
        <v/>
      </c>
      <c r="E836" s="9"/>
      <c r="F836" s="89" t="str">
        <f>IF(D836="MATE",
IF(E836="","¿Unidades?",""),
IF(D836="",IF(E836="","","¿Código?"),
IF(E836="","¿Unidades?",
IF(D836="TARE",
IF(M836=$H$3,IFERROR(VLOOKUP(B836,'Baremos actuales'!A:C,3,FALSE),0),
IF(M836=$H$4,IFERROR(VLOOKUP(B836,'Baremos anteriores'!A:C,3,FALSE),0),0))))))</f>
        <v/>
      </c>
      <c r="G836" s="7"/>
      <c r="H836" s="8"/>
      <c r="I836" s="8"/>
      <c r="J836" s="78" t="str">
        <f>IF($D836="","",
IF($E836="","",
IF($D836="MATE","",
IF(VLOOKUP($B836,'Baremos actuales'!A:D,4,FALSE)=J$9,$E836*$F836,IF(VLOOKUP($B836,'Baremos anteriores'!A:D,4,FALSE)="Sin Definir",$E836*$F836,"")))))</f>
        <v/>
      </c>
      <c r="K836" s="79" t="str">
        <f>IF($D836="","",
IF($E836="","",
IF($D836="MATE","",
IF(VLOOKUP($B836,'Baremos actuales'!$A:$D,4,FALSE)=K$9,$E836*$F836,IF(VLOOKUP($B836,'Baremos anteriores'!$A:$D,4,FALSE)="Desmonte",$E836*$F836,"")))))</f>
        <v/>
      </c>
      <c r="L836" s="80" t="str">
        <f>IF($D836="","",
IF($E836="","",
IF($D836="MATE","",
IF(VLOOKUP($B836,'Baremos actuales'!$A:$D,4,FALSE)=L$9,$E836*$F836,""))))</f>
        <v/>
      </c>
      <c r="M836" s="91" t="str">
        <f t="shared" si="12"/>
        <v/>
      </c>
      <c r="N836" s="96"/>
      <c r="O836" s="95"/>
      <c r="P836" s="96"/>
      <c r="Q836" s="98"/>
    </row>
    <row r="837" spans="1:17" ht="15.75" x14ac:dyDescent="0.2">
      <c r="A837" s="17"/>
      <c r="B837" s="18"/>
      <c r="C837" s="87" t="str">
        <f>IF(B837="","",
IF(M837=$H$5,IFERROR(VLOOKUP(B837,'Baremos actuales'!A:E,5,FALSE),"No encontrado. Revisar código, fecha ejecución y/o contrato."),
IF(M837=$H$4,IFERROR(VLOOKUP(B837,'Baremos anteriores'!A:E,5,FALSE),"No encontrado. Revisar código, fecha ejecución y/o contrato."),
IF(M837=$H$3,IFERROR(VLOOKUP(B837,#REF!,5,FALSE),"No encontrado. Revisar código, fecha ejecución y/o contrato."),
IF(D837="","Código no encontrado",
IF(D837="ERROR","No encontrado. Revisar Código, fecha de ejecución y/o contrato.",
IF(D837="MATE",
IF(C836="DESCRIPCION","NO SE PUEDE COMENZAR SIN CÓDIGO DE TAREA",
IF(C836="","FALTA CÓDIGO DE TAREA",
CONCATENATE("          ",VLOOKUP(B837,'Maestro Materiales'!A:C,3,FALSE)))),IFERROR(VLOOKUP(B837,#REF!,5,FALSE),"No encontrado. Revisar código, fecha ejecución y/o contrato."))))))))</f>
        <v/>
      </c>
      <c r="D837" s="88" t="str">
        <f>IF(B837="","",
IFERROR(VLOOKUP(B837,'Maestro Materiales'!A:C,2,FALSE),
IFERROR(VLOOKUP(B837,'Baremos actuales'!A:B,2,FALSE),
IFERROR(VLOOKUP(B837,'Baremos anteriores'!A:B,2,FALSE),
""))))</f>
        <v/>
      </c>
      <c r="E837" s="9"/>
      <c r="F837" s="89" t="str">
        <f>IF(D837="MATE",
IF(E837="","¿Unidades?",""),
IF(D837="",IF(E837="","","¿Código?"),
IF(E837="","¿Unidades?",
IF(D837="TARE",
IF(M837=$H$3,IFERROR(VLOOKUP(B837,'Baremos actuales'!A:C,3,FALSE),0),
IF(M837=$H$4,IFERROR(VLOOKUP(B837,'Baremos anteriores'!A:C,3,FALSE),0),0))))))</f>
        <v/>
      </c>
      <c r="G837" s="7"/>
      <c r="H837" s="8"/>
      <c r="I837" s="8"/>
      <c r="J837" s="78" t="str">
        <f>IF($D837="","",
IF($E837="","",
IF($D837="MATE","",
IF(VLOOKUP($B837,'Baremos actuales'!A:D,4,FALSE)=J$9,$E837*$F837,IF(VLOOKUP($B837,'Baremos anteriores'!A:D,4,FALSE)="Sin Definir",$E837*$F837,"")))))</f>
        <v/>
      </c>
      <c r="K837" s="79" t="str">
        <f>IF($D837="","",
IF($E837="","",
IF($D837="MATE","",
IF(VLOOKUP($B837,'Baremos actuales'!$A:$D,4,FALSE)=K$9,$E837*$F837,IF(VLOOKUP($B837,'Baremos anteriores'!$A:$D,4,FALSE)="Desmonte",$E837*$F837,"")))))</f>
        <v/>
      </c>
      <c r="L837" s="80" t="str">
        <f>IF($D837="","",
IF($E837="","",
IF($D837="MATE","",
IF(VLOOKUP($B837,'Baremos actuales'!$A:$D,4,FALSE)=L$9,$E837*$F837,""))))</f>
        <v/>
      </c>
      <c r="M837" s="91" t="str">
        <f t="shared" si="12"/>
        <v/>
      </c>
      <c r="N837" s="96"/>
      <c r="O837" s="95"/>
      <c r="P837" s="96"/>
      <c r="Q837" s="98"/>
    </row>
    <row r="838" spans="1:17" ht="15.75" x14ac:dyDescent="0.2">
      <c r="A838" s="17"/>
      <c r="B838" s="18"/>
      <c r="C838" s="87" t="str">
        <f>IF(B838="","",
IF(M838=$H$5,IFERROR(VLOOKUP(B838,'Baremos actuales'!A:E,5,FALSE),"No encontrado. Revisar código, fecha ejecución y/o contrato."),
IF(M838=$H$4,IFERROR(VLOOKUP(B838,'Baremos anteriores'!A:E,5,FALSE),"No encontrado. Revisar código, fecha ejecución y/o contrato."),
IF(M838=$H$3,IFERROR(VLOOKUP(B838,#REF!,5,FALSE),"No encontrado. Revisar código, fecha ejecución y/o contrato."),
IF(D838="","Código no encontrado",
IF(D838="ERROR","No encontrado. Revisar Código, fecha de ejecución y/o contrato.",
IF(D838="MATE",
IF(C837="DESCRIPCION","NO SE PUEDE COMENZAR SIN CÓDIGO DE TAREA",
IF(C837="","FALTA CÓDIGO DE TAREA",
CONCATENATE("          ",VLOOKUP(B838,'Maestro Materiales'!A:C,3,FALSE)))),IFERROR(VLOOKUP(B838,#REF!,5,FALSE),"No encontrado. Revisar código, fecha ejecución y/o contrato."))))))))</f>
        <v/>
      </c>
      <c r="D838" s="88" t="str">
        <f>IF(B838="","",
IFERROR(VLOOKUP(B838,'Maestro Materiales'!A:C,2,FALSE),
IFERROR(VLOOKUP(B838,'Baremos actuales'!A:B,2,FALSE),
IFERROR(VLOOKUP(B838,'Baremos anteriores'!A:B,2,FALSE),
""))))</f>
        <v/>
      </c>
      <c r="E838" s="9"/>
      <c r="F838" s="89" t="str">
        <f>IF(D838="MATE",
IF(E838="","¿Unidades?",""),
IF(D838="",IF(E838="","","¿Código?"),
IF(E838="","¿Unidades?",
IF(D838="TARE",
IF(M838=$H$3,IFERROR(VLOOKUP(B838,'Baremos actuales'!A:C,3,FALSE),0),
IF(M838=$H$4,IFERROR(VLOOKUP(B838,'Baremos anteriores'!A:C,3,FALSE),0),0))))))</f>
        <v/>
      </c>
      <c r="G838" s="7"/>
      <c r="H838" s="8"/>
      <c r="I838" s="8"/>
      <c r="J838" s="78" t="str">
        <f>IF($D838="","",
IF($E838="","",
IF($D838="MATE","",
IF(VLOOKUP($B838,'Baremos actuales'!A:D,4,FALSE)=J$9,$E838*$F838,IF(VLOOKUP($B838,'Baremos anteriores'!A:D,4,FALSE)="Sin Definir",$E838*$F838,"")))))</f>
        <v/>
      </c>
      <c r="K838" s="79" t="str">
        <f>IF($D838="","",
IF($E838="","",
IF($D838="MATE","",
IF(VLOOKUP($B838,'Baremos actuales'!$A:$D,4,FALSE)=K$9,$E838*$F838,IF(VLOOKUP($B838,'Baremos anteriores'!$A:$D,4,FALSE)="Desmonte",$E838*$F838,"")))))</f>
        <v/>
      </c>
      <c r="L838" s="80" t="str">
        <f>IF($D838="","",
IF($E838="","",
IF($D838="MATE","",
IF(VLOOKUP($B838,'Baremos actuales'!$A:$D,4,FALSE)=L$9,$E838*$F838,""))))</f>
        <v/>
      </c>
      <c r="M838" s="91" t="str">
        <f t="shared" si="12"/>
        <v/>
      </c>
      <c r="N838" s="96"/>
      <c r="O838" s="95"/>
      <c r="P838" s="96"/>
      <c r="Q838" s="98"/>
    </row>
    <row r="839" spans="1:17" ht="15.75" x14ac:dyDescent="0.2">
      <c r="A839" s="17"/>
      <c r="B839" s="18"/>
      <c r="C839" s="87" t="str">
        <f>IF(B839="","",
IF(M839=$H$5,IFERROR(VLOOKUP(B839,'Baremos actuales'!A:E,5,FALSE),"No encontrado. Revisar código, fecha ejecución y/o contrato."),
IF(M839=$H$4,IFERROR(VLOOKUP(B839,'Baremos anteriores'!A:E,5,FALSE),"No encontrado. Revisar código, fecha ejecución y/o contrato."),
IF(M839=$H$3,IFERROR(VLOOKUP(B839,#REF!,5,FALSE),"No encontrado. Revisar código, fecha ejecución y/o contrato."),
IF(D839="","Código no encontrado",
IF(D839="ERROR","No encontrado. Revisar Código, fecha de ejecución y/o contrato.",
IF(D839="MATE",
IF(C838="DESCRIPCION","NO SE PUEDE COMENZAR SIN CÓDIGO DE TAREA",
IF(C838="","FALTA CÓDIGO DE TAREA",
CONCATENATE("          ",VLOOKUP(B839,'Maestro Materiales'!A:C,3,FALSE)))),IFERROR(VLOOKUP(B839,#REF!,5,FALSE),"No encontrado. Revisar código, fecha ejecución y/o contrato."))))))))</f>
        <v/>
      </c>
      <c r="D839" s="88" t="str">
        <f>IF(B839="","",
IFERROR(VLOOKUP(B839,'Maestro Materiales'!A:C,2,FALSE),
IFERROR(VLOOKUP(B839,'Baremos actuales'!A:B,2,FALSE),
IFERROR(VLOOKUP(B839,'Baremos anteriores'!A:B,2,FALSE),
""))))</f>
        <v/>
      </c>
      <c r="E839" s="9"/>
      <c r="F839" s="89" t="str">
        <f>IF(D839="MATE",
IF(E839="","¿Unidades?",""),
IF(D839="",IF(E839="","","¿Código?"),
IF(E839="","¿Unidades?",
IF(D839="TARE",
IF(M839=$H$3,IFERROR(VLOOKUP(B839,'Baremos actuales'!A:C,3,FALSE),0),
IF(M839=$H$4,IFERROR(VLOOKUP(B839,'Baremos anteriores'!A:C,3,FALSE),0),0))))))</f>
        <v/>
      </c>
      <c r="G839" s="7"/>
      <c r="H839" s="8"/>
      <c r="I839" s="8"/>
      <c r="J839" s="78" t="str">
        <f>IF($D839="","",
IF($E839="","",
IF($D839="MATE","",
IF(VLOOKUP($B839,'Baremos actuales'!A:D,4,FALSE)=J$9,$E839*$F839,IF(VLOOKUP($B839,'Baremos anteriores'!A:D,4,FALSE)="Sin Definir",$E839*$F839,"")))))</f>
        <v/>
      </c>
      <c r="K839" s="79" t="str">
        <f>IF($D839="","",
IF($E839="","",
IF($D839="MATE","",
IF(VLOOKUP($B839,'Baremos actuales'!$A:$D,4,FALSE)=K$9,$E839*$F839,IF(VLOOKUP($B839,'Baremos anteriores'!$A:$D,4,FALSE)="Desmonte",$E839*$F839,"")))))</f>
        <v/>
      </c>
      <c r="L839" s="80" t="str">
        <f>IF($D839="","",
IF($E839="","",
IF($D839="MATE","",
IF(VLOOKUP($B839,'Baremos actuales'!$A:$D,4,FALSE)=L$9,$E839*$F839,""))))</f>
        <v/>
      </c>
      <c r="M839" s="91" t="str">
        <f t="shared" si="12"/>
        <v/>
      </c>
      <c r="N839" s="96"/>
      <c r="O839" s="95"/>
      <c r="P839" s="96"/>
      <c r="Q839" s="98"/>
    </row>
    <row r="840" spans="1:17" ht="15.75" x14ac:dyDescent="0.2">
      <c r="A840" s="17"/>
      <c r="B840" s="18"/>
      <c r="C840" s="87" t="str">
        <f>IF(B840="","",
IF(M840=$H$5,IFERROR(VLOOKUP(B840,'Baremos actuales'!A:E,5,FALSE),"No encontrado. Revisar código, fecha ejecución y/o contrato."),
IF(M840=$H$4,IFERROR(VLOOKUP(B840,'Baremos anteriores'!A:E,5,FALSE),"No encontrado. Revisar código, fecha ejecución y/o contrato."),
IF(M840=$H$3,IFERROR(VLOOKUP(B840,#REF!,5,FALSE),"No encontrado. Revisar código, fecha ejecución y/o contrato."),
IF(D840="","Código no encontrado",
IF(D840="ERROR","No encontrado. Revisar Código, fecha de ejecución y/o contrato.",
IF(D840="MATE",
IF(C839="DESCRIPCION","NO SE PUEDE COMENZAR SIN CÓDIGO DE TAREA",
IF(C839="","FALTA CÓDIGO DE TAREA",
CONCATENATE("          ",VLOOKUP(B840,'Maestro Materiales'!A:C,3,FALSE)))),IFERROR(VLOOKUP(B840,#REF!,5,FALSE),"No encontrado. Revisar código, fecha ejecución y/o contrato."))))))))</f>
        <v/>
      </c>
      <c r="D840" s="88" t="str">
        <f>IF(B840="","",
IFERROR(VLOOKUP(B840,'Maestro Materiales'!A:C,2,FALSE),
IFERROR(VLOOKUP(B840,'Baremos actuales'!A:B,2,FALSE),
IFERROR(VLOOKUP(B840,'Baremos anteriores'!A:B,2,FALSE),
""))))</f>
        <v/>
      </c>
      <c r="E840" s="9"/>
      <c r="F840" s="89" t="str">
        <f>IF(D840="MATE",
IF(E840="","¿Unidades?",""),
IF(D840="",IF(E840="","","¿Código?"),
IF(E840="","¿Unidades?",
IF(D840="TARE",
IF(M840=$H$3,IFERROR(VLOOKUP(B840,'Baremos actuales'!A:C,3,FALSE),0),
IF(M840=$H$4,IFERROR(VLOOKUP(B840,'Baremos anteriores'!A:C,3,FALSE),0),0))))))</f>
        <v/>
      </c>
      <c r="G840" s="7"/>
      <c r="H840" s="8"/>
      <c r="I840" s="8"/>
      <c r="J840" s="78" t="str">
        <f>IF($D840="","",
IF($E840="","",
IF($D840="MATE","",
IF(VLOOKUP($B840,'Baremos actuales'!A:D,4,FALSE)=J$9,$E840*$F840,IF(VLOOKUP($B840,'Baremos anteriores'!A:D,4,FALSE)="Sin Definir",$E840*$F840,"")))))</f>
        <v/>
      </c>
      <c r="K840" s="79" t="str">
        <f>IF($D840="","",
IF($E840="","",
IF($D840="MATE","",
IF(VLOOKUP($B840,'Baremos actuales'!$A:$D,4,FALSE)=K$9,$E840*$F840,IF(VLOOKUP($B840,'Baremos anteriores'!$A:$D,4,FALSE)="Desmonte",$E840*$F840,"")))))</f>
        <v/>
      </c>
      <c r="L840" s="80" t="str">
        <f>IF($D840="","",
IF($E840="","",
IF($D840="MATE","",
IF(VLOOKUP($B840,'Baremos actuales'!$A:$D,4,FALSE)=L$9,$E840*$F840,""))))</f>
        <v/>
      </c>
      <c r="M840" s="91" t="str">
        <f t="shared" si="12"/>
        <v/>
      </c>
      <c r="N840" s="96"/>
      <c r="O840" s="95"/>
      <c r="P840" s="96"/>
      <c r="Q840" s="98"/>
    </row>
    <row r="841" spans="1:17" ht="15.75" x14ac:dyDescent="0.2">
      <c r="A841" s="17"/>
      <c r="B841" s="18"/>
      <c r="C841" s="87" t="str">
        <f>IF(B841="","",
IF(M841=$H$5,IFERROR(VLOOKUP(B841,'Baremos actuales'!A:E,5,FALSE),"No encontrado. Revisar código, fecha ejecución y/o contrato."),
IF(M841=$H$4,IFERROR(VLOOKUP(B841,'Baremos anteriores'!A:E,5,FALSE),"No encontrado. Revisar código, fecha ejecución y/o contrato."),
IF(M841=$H$3,IFERROR(VLOOKUP(B841,#REF!,5,FALSE),"No encontrado. Revisar código, fecha ejecución y/o contrato."),
IF(D841="","Código no encontrado",
IF(D841="ERROR","No encontrado. Revisar Código, fecha de ejecución y/o contrato.",
IF(D841="MATE",
IF(C840="DESCRIPCION","NO SE PUEDE COMENZAR SIN CÓDIGO DE TAREA",
IF(C840="","FALTA CÓDIGO DE TAREA",
CONCATENATE("          ",VLOOKUP(B841,'Maestro Materiales'!A:C,3,FALSE)))),IFERROR(VLOOKUP(B841,#REF!,5,FALSE),"No encontrado. Revisar código, fecha ejecución y/o contrato."))))))))</f>
        <v/>
      </c>
      <c r="D841" s="88" t="str">
        <f>IF(B841="","",
IFERROR(VLOOKUP(B841,'Maestro Materiales'!A:C,2,FALSE),
IFERROR(VLOOKUP(B841,'Baremos actuales'!A:B,2,FALSE),
IFERROR(VLOOKUP(B841,'Baremos anteriores'!A:B,2,FALSE),
""))))</f>
        <v/>
      </c>
      <c r="E841" s="9"/>
      <c r="F841" s="89" t="str">
        <f>IF(D841="MATE",
IF(E841="","¿Unidades?",""),
IF(D841="",IF(E841="","","¿Código?"),
IF(E841="","¿Unidades?",
IF(D841="TARE",
IF(M841=$H$3,IFERROR(VLOOKUP(B841,'Baremos actuales'!A:C,3,FALSE),0),
IF(M841=$H$4,IFERROR(VLOOKUP(B841,'Baremos anteriores'!A:C,3,FALSE),0),0))))))</f>
        <v/>
      </c>
      <c r="G841" s="7"/>
      <c r="H841" s="8"/>
      <c r="I841" s="8"/>
      <c r="J841" s="78" t="str">
        <f>IF($D841="","",
IF($E841="","",
IF($D841="MATE","",
IF(VLOOKUP($B841,'Baremos actuales'!A:D,4,FALSE)=J$9,$E841*$F841,IF(VLOOKUP($B841,'Baremos anteriores'!A:D,4,FALSE)="Sin Definir",$E841*$F841,"")))))</f>
        <v/>
      </c>
      <c r="K841" s="79" t="str">
        <f>IF($D841="","",
IF($E841="","",
IF($D841="MATE","",
IF(VLOOKUP($B841,'Baremos actuales'!$A:$D,4,FALSE)=K$9,$E841*$F841,IF(VLOOKUP($B841,'Baremos anteriores'!$A:$D,4,FALSE)="Desmonte",$E841*$F841,"")))))</f>
        <v/>
      </c>
      <c r="L841" s="80" t="str">
        <f>IF($D841="","",
IF($E841="","",
IF($D841="MATE","",
IF(VLOOKUP($B841,'Baremos actuales'!$A:$D,4,FALSE)=L$9,$E841*$F841,""))))</f>
        <v/>
      </c>
      <c r="M841" s="91" t="str">
        <f t="shared" si="12"/>
        <v/>
      </c>
      <c r="N841" s="96"/>
      <c r="O841" s="95"/>
      <c r="P841" s="96"/>
      <c r="Q841" s="98"/>
    </row>
    <row r="842" spans="1:17" ht="15.75" x14ac:dyDescent="0.2">
      <c r="A842" s="17"/>
      <c r="B842" s="18"/>
      <c r="C842" s="87" t="str">
        <f>IF(B842="","",
IF(M842=$H$5,IFERROR(VLOOKUP(B842,'Baremos actuales'!A:E,5,FALSE),"No encontrado. Revisar código, fecha ejecución y/o contrato."),
IF(M842=$H$4,IFERROR(VLOOKUP(B842,'Baremos anteriores'!A:E,5,FALSE),"No encontrado. Revisar código, fecha ejecución y/o contrato."),
IF(M842=$H$3,IFERROR(VLOOKUP(B842,#REF!,5,FALSE),"No encontrado. Revisar código, fecha ejecución y/o contrato."),
IF(D842="","Código no encontrado",
IF(D842="ERROR","No encontrado. Revisar Código, fecha de ejecución y/o contrato.",
IF(D842="MATE",
IF(C841="DESCRIPCION","NO SE PUEDE COMENZAR SIN CÓDIGO DE TAREA",
IF(C841="","FALTA CÓDIGO DE TAREA",
CONCATENATE("          ",VLOOKUP(B842,'Maestro Materiales'!A:C,3,FALSE)))),IFERROR(VLOOKUP(B842,#REF!,5,FALSE),"No encontrado. Revisar código, fecha ejecución y/o contrato."))))))))</f>
        <v/>
      </c>
      <c r="D842" s="88" t="str">
        <f>IF(B842="","",
IFERROR(VLOOKUP(B842,'Maestro Materiales'!A:C,2,FALSE),
IFERROR(VLOOKUP(B842,'Baremos actuales'!A:B,2,FALSE),
IFERROR(VLOOKUP(B842,'Baremos anteriores'!A:B,2,FALSE),
""))))</f>
        <v/>
      </c>
      <c r="E842" s="9"/>
      <c r="F842" s="89" t="str">
        <f>IF(D842="MATE",
IF(E842="","¿Unidades?",""),
IF(D842="",IF(E842="","","¿Código?"),
IF(E842="","¿Unidades?",
IF(D842="TARE",
IF(M842=$H$3,IFERROR(VLOOKUP(B842,'Baremos actuales'!A:C,3,FALSE),0),
IF(M842=$H$4,IFERROR(VLOOKUP(B842,'Baremos anteriores'!A:C,3,FALSE),0),0))))))</f>
        <v/>
      </c>
      <c r="G842" s="7"/>
      <c r="H842" s="8"/>
      <c r="I842" s="8"/>
      <c r="J842" s="78" t="str">
        <f>IF($D842="","",
IF($E842="","",
IF($D842="MATE","",
IF(VLOOKUP($B842,'Baremos actuales'!A:D,4,FALSE)=J$9,$E842*$F842,IF(VLOOKUP($B842,'Baremos anteriores'!A:D,4,FALSE)="Sin Definir",$E842*$F842,"")))))</f>
        <v/>
      </c>
      <c r="K842" s="79" t="str">
        <f>IF($D842="","",
IF($E842="","",
IF($D842="MATE","",
IF(VLOOKUP($B842,'Baremos actuales'!$A:$D,4,FALSE)=K$9,$E842*$F842,IF(VLOOKUP($B842,'Baremos anteriores'!$A:$D,4,FALSE)="Desmonte",$E842*$F842,"")))))</f>
        <v/>
      </c>
      <c r="L842" s="80" t="str">
        <f>IF($D842="","",
IF($E842="","",
IF($D842="MATE","",
IF(VLOOKUP($B842,'Baremos actuales'!$A:$D,4,FALSE)=L$9,$E842*$F842,""))))</f>
        <v/>
      </c>
      <c r="M842" s="91" t="str">
        <f t="shared" si="12"/>
        <v/>
      </c>
      <c r="N842" s="96"/>
      <c r="O842" s="95"/>
      <c r="P842" s="96"/>
      <c r="Q842" s="98"/>
    </row>
    <row r="843" spans="1:17" ht="15.75" x14ac:dyDescent="0.2">
      <c r="A843" s="17"/>
      <c r="B843" s="18"/>
      <c r="C843" s="87" t="str">
        <f>IF(B843="","",
IF(M843=$H$5,IFERROR(VLOOKUP(B843,'Baremos actuales'!A:E,5,FALSE),"No encontrado. Revisar código, fecha ejecución y/o contrato."),
IF(M843=$H$4,IFERROR(VLOOKUP(B843,'Baremos anteriores'!A:E,5,FALSE),"No encontrado. Revisar código, fecha ejecución y/o contrato."),
IF(M843=$H$3,IFERROR(VLOOKUP(B843,#REF!,5,FALSE),"No encontrado. Revisar código, fecha ejecución y/o contrato."),
IF(D843="","Código no encontrado",
IF(D843="ERROR","No encontrado. Revisar Código, fecha de ejecución y/o contrato.",
IF(D843="MATE",
IF(C842="DESCRIPCION","NO SE PUEDE COMENZAR SIN CÓDIGO DE TAREA",
IF(C842="","FALTA CÓDIGO DE TAREA",
CONCATENATE("          ",VLOOKUP(B843,'Maestro Materiales'!A:C,3,FALSE)))),IFERROR(VLOOKUP(B843,#REF!,5,FALSE),"No encontrado. Revisar código, fecha ejecución y/o contrato."))))))))</f>
        <v/>
      </c>
      <c r="D843" s="88" t="str">
        <f>IF(B843="","",
IFERROR(VLOOKUP(B843,'Maestro Materiales'!A:C,2,FALSE),
IFERROR(VLOOKUP(B843,'Baremos actuales'!A:B,2,FALSE),
IFERROR(VLOOKUP(B843,'Baremos anteriores'!A:B,2,FALSE),
""))))</f>
        <v/>
      </c>
      <c r="E843" s="9"/>
      <c r="F843" s="89" t="str">
        <f>IF(D843="MATE",
IF(E843="","¿Unidades?",""),
IF(D843="",IF(E843="","","¿Código?"),
IF(E843="","¿Unidades?",
IF(D843="TARE",
IF(M843=$H$3,IFERROR(VLOOKUP(B843,'Baremos actuales'!A:C,3,FALSE),0),
IF(M843=$H$4,IFERROR(VLOOKUP(B843,'Baremos anteriores'!A:C,3,FALSE),0),0))))))</f>
        <v/>
      </c>
      <c r="G843" s="7"/>
      <c r="H843" s="8"/>
      <c r="I843" s="8"/>
      <c r="J843" s="78" t="str">
        <f>IF($D843="","",
IF($E843="","",
IF($D843="MATE","",
IF(VLOOKUP($B843,'Baremos actuales'!A:D,4,FALSE)=J$9,$E843*$F843,IF(VLOOKUP($B843,'Baremos anteriores'!A:D,4,FALSE)="Sin Definir",$E843*$F843,"")))))</f>
        <v/>
      </c>
      <c r="K843" s="79" t="str">
        <f>IF($D843="","",
IF($E843="","",
IF($D843="MATE","",
IF(VLOOKUP($B843,'Baremos actuales'!$A:$D,4,FALSE)=K$9,$E843*$F843,IF(VLOOKUP($B843,'Baremos anteriores'!$A:$D,4,FALSE)="Desmonte",$E843*$F843,"")))))</f>
        <v/>
      </c>
      <c r="L843" s="80" t="str">
        <f>IF($D843="","",
IF($E843="","",
IF($D843="MATE","",
IF(VLOOKUP($B843,'Baremos actuales'!$A:$D,4,FALSE)=L$9,$E843*$F843,""))))</f>
        <v/>
      </c>
      <c r="M843" s="91" t="str">
        <f t="shared" ref="M843:M906" si="13">IF(D843="MATE","Materiales",IF(B843="","",
IF($Q$1="O","Obsoleto",$F$2)))</f>
        <v/>
      </c>
      <c r="N843" s="96"/>
      <c r="O843" s="95"/>
      <c r="P843" s="96"/>
      <c r="Q843" s="98"/>
    </row>
    <row r="844" spans="1:17" ht="15.75" x14ac:dyDescent="0.2">
      <c r="A844" s="17"/>
      <c r="B844" s="18"/>
      <c r="C844" s="87" t="str">
        <f>IF(B844="","",
IF(M844=$H$5,IFERROR(VLOOKUP(B844,'Baremos actuales'!A:E,5,FALSE),"No encontrado. Revisar código, fecha ejecución y/o contrato."),
IF(M844=$H$4,IFERROR(VLOOKUP(B844,'Baremos anteriores'!A:E,5,FALSE),"No encontrado. Revisar código, fecha ejecución y/o contrato."),
IF(M844=$H$3,IFERROR(VLOOKUP(B844,#REF!,5,FALSE),"No encontrado. Revisar código, fecha ejecución y/o contrato."),
IF(D844="","Código no encontrado",
IF(D844="ERROR","No encontrado. Revisar Código, fecha de ejecución y/o contrato.",
IF(D844="MATE",
IF(C843="DESCRIPCION","NO SE PUEDE COMENZAR SIN CÓDIGO DE TAREA",
IF(C843="","FALTA CÓDIGO DE TAREA",
CONCATENATE("          ",VLOOKUP(B844,'Maestro Materiales'!A:C,3,FALSE)))),IFERROR(VLOOKUP(B844,#REF!,5,FALSE),"No encontrado. Revisar código, fecha ejecución y/o contrato."))))))))</f>
        <v/>
      </c>
      <c r="D844" s="88" t="str">
        <f>IF(B844="","",
IFERROR(VLOOKUP(B844,'Maestro Materiales'!A:C,2,FALSE),
IFERROR(VLOOKUP(B844,'Baremos actuales'!A:B,2,FALSE),
IFERROR(VLOOKUP(B844,'Baremos anteriores'!A:B,2,FALSE),
""))))</f>
        <v/>
      </c>
      <c r="E844" s="9"/>
      <c r="F844" s="89" t="str">
        <f>IF(D844="MATE",
IF(E844="","¿Unidades?",""),
IF(D844="",IF(E844="","","¿Código?"),
IF(E844="","¿Unidades?",
IF(D844="TARE",
IF(M844=$H$3,IFERROR(VLOOKUP(B844,'Baremos actuales'!A:C,3,FALSE),0),
IF(M844=$H$4,IFERROR(VLOOKUP(B844,'Baremos anteriores'!A:C,3,FALSE),0),0))))))</f>
        <v/>
      </c>
      <c r="G844" s="7"/>
      <c r="H844" s="8"/>
      <c r="I844" s="8"/>
      <c r="J844" s="78" t="str">
        <f>IF($D844="","",
IF($E844="","",
IF($D844="MATE","",
IF(VLOOKUP($B844,'Baremos actuales'!A:D,4,FALSE)=J$9,$E844*$F844,IF(VLOOKUP($B844,'Baremos anteriores'!A:D,4,FALSE)="Sin Definir",$E844*$F844,"")))))</f>
        <v/>
      </c>
      <c r="K844" s="79" t="str">
        <f>IF($D844="","",
IF($E844="","",
IF($D844="MATE","",
IF(VLOOKUP($B844,'Baremos actuales'!$A:$D,4,FALSE)=K$9,$E844*$F844,IF(VLOOKUP($B844,'Baremos anteriores'!$A:$D,4,FALSE)="Desmonte",$E844*$F844,"")))))</f>
        <v/>
      </c>
      <c r="L844" s="80" t="str">
        <f>IF($D844="","",
IF($E844="","",
IF($D844="MATE","",
IF(VLOOKUP($B844,'Baremos actuales'!$A:$D,4,FALSE)=L$9,$E844*$F844,""))))</f>
        <v/>
      </c>
      <c r="M844" s="91" t="str">
        <f t="shared" si="13"/>
        <v/>
      </c>
      <c r="N844" s="96"/>
      <c r="O844" s="95"/>
      <c r="P844" s="96"/>
      <c r="Q844" s="98"/>
    </row>
    <row r="845" spans="1:17" ht="15.75" x14ac:dyDescent="0.2">
      <c r="A845" s="17"/>
      <c r="B845" s="18"/>
      <c r="C845" s="87" t="str">
        <f>IF(B845="","",
IF(M845=$H$5,IFERROR(VLOOKUP(B845,'Baremos actuales'!A:E,5,FALSE),"No encontrado. Revisar código, fecha ejecución y/o contrato."),
IF(M845=$H$4,IFERROR(VLOOKUP(B845,'Baremos anteriores'!A:E,5,FALSE),"No encontrado. Revisar código, fecha ejecución y/o contrato."),
IF(M845=$H$3,IFERROR(VLOOKUP(B845,#REF!,5,FALSE),"No encontrado. Revisar código, fecha ejecución y/o contrato."),
IF(D845="","Código no encontrado",
IF(D845="ERROR","No encontrado. Revisar Código, fecha de ejecución y/o contrato.",
IF(D845="MATE",
IF(C844="DESCRIPCION","NO SE PUEDE COMENZAR SIN CÓDIGO DE TAREA",
IF(C844="","FALTA CÓDIGO DE TAREA",
CONCATENATE("          ",VLOOKUP(B845,'Maestro Materiales'!A:C,3,FALSE)))),IFERROR(VLOOKUP(B845,#REF!,5,FALSE),"No encontrado. Revisar código, fecha ejecución y/o contrato."))))))))</f>
        <v/>
      </c>
      <c r="D845" s="88" t="str">
        <f>IF(B845="","",
IFERROR(VLOOKUP(B845,'Maestro Materiales'!A:C,2,FALSE),
IFERROR(VLOOKUP(B845,'Baremos actuales'!A:B,2,FALSE),
IFERROR(VLOOKUP(B845,'Baremos anteriores'!A:B,2,FALSE),
""))))</f>
        <v/>
      </c>
      <c r="E845" s="9"/>
      <c r="F845" s="89" t="str">
        <f>IF(D845="MATE",
IF(E845="","¿Unidades?",""),
IF(D845="",IF(E845="","","¿Código?"),
IF(E845="","¿Unidades?",
IF(D845="TARE",
IF(M845=$H$3,IFERROR(VLOOKUP(B845,'Baremos actuales'!A:C,3,FALSE),0),
IF(M845=$H$4,IFERROR(VLOOKUP(B845,'Baremos anteriores'!A:C,3,FALSE),0),0))))))</f>
        <v/>
      </c>
      <c r="G845" s="7"/>
      <c r="H845" s="8"/>
      <c r="I845" s="8"/>
      <c r="J845" s="78" t="str">
        <f>IF($D845="","",
IF($E845="","",
IF($D845="MATE","",
IF(VLOOKUP($B845,'Baremos actuales'!A:D,4,FALSE)=J$9,$E845*$F845,IF(VLOOKUP($B845,'Baremos anteriores'!A:D,4,FALSE)="Sin Definir",$E845*$F845,"")))))</f>
        <v/>
      </c>
      <c r="K845" s="79" t="str">
        <f>IF($D845="","",
IF($E845="","",
IF($D845="MATE","",
IF(VLOOKUP($B845,'Baremos actuales'!$A:$D,4,FALSE)=K$9,$E845*$F845,IF(VLOOKUP($B845,'Baremos anteriores'!$A:$D,4,FALSE)="Desmonte",$E845*$F845,"")))))</f>
        <v/>
      </c>
      <c r="L845" s="80" t="str">
        <f>IF($D845="","",
IF($E845="","",
IF($D845="MATE","",
IF(VLOOKUP($B845,'Baremos actuales'!$A:$D,4,FALSE)=L$9,$E845*$F845,""))))</f>
        <v/>
      </c>
      <c r="M845" s="91" t="str">
        <f t="shared" si="13"/>
        <v/>
      </c>
      <c r="N845" s="96"/>
      <c r="O845" s="95"/>
      <c r="P845" s="96"/>
      <c r="Q845" s="98"/>
    </row>
    <row r="846" spans="1:17" ht="15.75" x14ac:dyDescent="0.2">
      <c r="A846" s="17"/>
      <c r="B846" s="18"/>
      <c r="C846" s="87" t="str">
        <f>IF(B846="","",
IF(M846=$H$5,IFERROR(VLOOKUP(B846,'Baremos actuales'!A:E,5,FALSE),"No encontrado. Revisar código, fecha ejecución y/o contrato."),
IF(M846=$H$4,IFERROR(VLOOKUP(B846,'Baremos anteriores'!A:E,5,FALSE),"No encontrado. Revisar código, fecha ejecución y/o contrato."),
IF(M846=$H$3,IFERROR(VLOOKUP(B846,#REF!,5,FALSE),"No encontrado. Revisar código, fecha ejecución y/o contrato."),
IF(D846="","Código no encontrado",
IF(D846="ERROR","No encontrado. Revisar Código, fecha de ejecución y/o contrato.",
IF(D846="MATE",
IF(C845="DESCRIPCION","NO SE PUEDE COMENZAR SIN CÓDIGO DE TAREA",
IF(C845="","FALTA CÓDIGO DE TAREA",
CONCATENATE("          ",VLOOKUP(B846,'Maestro Materiales'!A:C,3,FALSE)))),IFERROR(VLOOKUP(B846,#REF!,5,FALSE),"No encontrado. Revisar código, fecha ejecución y/o contrato."))))))))</f>
        <v/>
      </c>
      <c r="D846" s="88" t="str">
        <f>IF(B846="","",
IFERROR(VLOOKUP(B846,'Maestro Materiales'!A:C,2,FALSE),
IFERROR(VLOOKUP(B846,'Baremos actuales'!A:B,2,FALSE),
IFERROR(VLOOKUP(B846,'Baremos anteriores'!A:B,2,FALSE),
""))))</f>
        <v/>
      </c>
      <c r="E846" s="9"/>
      <c r="F846" s="89" t="str">
        <f>IF(D846="MATE",
IF(E846="","¿Unidades?",""),
IF(D846="",IF(E846="","","¿Código?"),
IF(E846="","¿Unidades?",
IF(D846="TARE",
IF(M846=$H$3,IFERROR(VLOOKUP(B846,'Baremos actuales'!A:C,3,FALSE),0),
IF(M846=$H$4,IFERROR(VLOOKUP(B846,'Baremos anteriores'!A:C,3,FALSE),0),0))))))</f>
        <v/>
      </c>
      <c r="G846" s="7"/>
      <c r="H846" s="8"/>
      <c r="I846" s="8"/>
      <c r="J846" s="78" t="str">
        <f>IF($D846="","",
IF($E846="","",
IF($D846="MATE","",
IF(VLOOKUP($B846,'Baremos actuales'!A:D,4,FALSE)=J$9,$E846*$F846,IF(VLOOKUP($B846,'Baremos anteriores'!A:D,4,FALSE)="Sin Definir",$E846*$F846,"")))))</f>
        <v/>
      </c>
      <c r="K846" s="79" t="str">
        <f>IF($D846="","",
IF($E846="","",
IF($D846="MATE","",
IF(VLOOKUP($B846,'Baremos actuales'!$A:$D,4,FALSE)=K$9,$E846*$F846,IF(VLOOKUP($B846,'Baremos anteriores'!$A:$D,4,FALSE)="Desmonte",$E846*$F846,"")))))</f>
        <v/>
      </c>
      <c r="L846" s="80" t="str">
        <f>IF($D846="","",
IF($E846="","",
IF($D846="MATE","",
IF(VLOOKUP($B846,'Baremos actuales'!$A:$D,4,FALSE)=L$9,$E846*$F846,""))))</f>
        <v/>
      </c>
      <c r="M846" s="91" t="str">
        <f t="shared" si="13"/>
        <v/>
      </c>
      <c r="N846" s="96"/>
      <c r="O846" s="95"/>
      <c r="P846" s="96"/>
      <c r="Q846" s="98"/>
    </row>
    <row r="847" spans="1:17" ht="15.75" x14ac:dyDescent="0.2">
      <c r="A847" s="17"/>
      <c r="B847" s="18"/>
      <c r="C847" s="87" t="str">
        <f>IF(B847="","",
IF(M847=$H$5,IFERROR(VLOOKUP(B847,'Baremos actuales'!A:E,5,FALSE),"No encontrado. Revisar código, fecha ejecución y/o contrato."),
IF(M847=$H$4,IFERROR(VLOOKUP(B847,'Baremos anteriores'!A:E,5,FALSE),"No encontrado. Revisar código, fecha ejecución y/o contrato."),
IF(M847=$H$3,IFERROR(VLOOKUP(B847,#REF!,5,FALSE),"No encontrado. Revisar código, fecha ejecución y/o contrato."),
IF(D847="","Código no encontrado",
IF(D847="ERROR","No encontrado. Revisar Código, fecha de ejecución y/o contrato.",
IF(D847="MATE",
IF(C846="DESCRIPCION","NO SE PUEDE COMENZAR SIN CÓDIGO DE TAREA",
IF(C846="","FALTA CÓDIGO DE TAREA",
CONCATENATE("          ",VLOOKUP(B847,'Maestro Materiales'!A:C,3,FALSE)))),IFERROR(VLOOKUP(B847,#REF!,5,FALSE),"No encontrado. Revisar código, fecha ejecución y/o contrato."))))))))</f>
        <v/>
      </c>
      <c r="D847" s="88" t="str">
        <f>IF(B847="","",
IFERROR(VLOOKUP(B847,'Maestro Materiales'!A:C,2,FALSE),
IFERROR(VLOOKUP(B847,'Baremos actuales'!A:B,2,FALSE),
IFERROR(VLOOKUP(B847,'Baremos anteriores'!A:B,2,FALSE),
""))))</f>
        <v/>
      </c>
      <c r="E847" s="9"/>
      <c r="F847" s="89" t="str">
        <f>IF(D847="MATE",
IF(E847="","¿Unidades?",""),
IF(D847="",IF(E847="","","¿Código?"),
IF(E847="","¿Unidades?",
IF(D847="TARE",
IF(M847=$H$3,IFERROR(VLOOKUP(B847,'Baremos actuales'!A:C,3,FALSE),0),
IF(M847=$H$4,IFERROR(VLOOKUP(B847,'Baremos anteriores'!A:C,3,FALSE),0),0))))))</f>
        <v/>
      </c>
      <c r="G847" s="7"/>
      <c r="H847" s="8"/>
      <c r="I847" s="8"/>
      <c r="J847" s="78" t="str">
        <f>IF($D847="","",
IF($E847="","",
IF($D847="MATE","",
IF(VLOOKUP($B847,'Baremos actuales'!A:D,4,FALSE)=J$9,$E847*$F847,IF(VLOOKUP($B847,'Baremos anteriores'!A:D,4,FALSE)="Sin Definir",$E847*$F847,"")))))</f>
        <v/>
      </c>
      <c r="K847" s="79" t="str">
        <f>IF($D847="","",
IF($E847="","",
IF($D847="MATE","",
IF(VLOOKUP($B847,'Baremos actuales'!$A:$D,4,FALSE)=K$9,$E847*$F847,IF(VLOOKUP($B847,'Baremos anteriores'!$A:$D,4,FALSE)="Desmonte",$E847*$F847,"")))))</f>
        <v/>
      </c>
      <c r="L847" s="80" t="str">
        <f>IF($D847="","",
IF($E847="","",
IF($D847="MATE","",
IF(VLOOKUP($B847,'Baremos actuales'!$A:$D,4,FALSE)=L$9,$E847*$F847,""))))</f>
        <v/>
      </c>
      <c r="M847" s="91" t="str">
        <f t="shared" si="13"/>
        <v/>
      </c>
      <c r="N847" s="96"/>
      <c r="O847" s="95"/>
      <c r="P847" s="96"/>
      <c r="Q847" s="98"/>
    </row>
    <row r="848" spans="1:17" ht="15.75" x14ac:dyDescent="0.2">
      <c r="A848" s="17"/>
      <c r="B848" s="18"/>
      <c r="C848" s="87" t="str">
        <f>IF(B848="","",
IF(M848=$H$5,IFERROR(VLOOKUP(B848,'Baremos actuales'!A:E,5,FALSE),"No encontrado. Revisar código, fecha ejecución y/o contrato."),
IF(M848=$H$4,IFERROR(VLOOKUP(B848,'Baremos anteriores'!A:E,5,FALSE),"No encontrado. Revisar código, fecha ejecución y/o contrato."),
IF(M848=$H$3,IFERROR(VLOOKUP(B848,#REF!,5,FALSE),"No encontrado. Revisar código, fecha ejecución y/o contrato."),
IF(D848="","Código no encontrado",
IF(D848="ERROR","No encontrado. Revisar Código, fecha de ejecución y/o contrato.",
IF(D848="MATE",
IF(C847="DESCRIPCION","NO SE PUEDE COMENZAR SIN CÓDIGO DE TAREA",
IF(C847="","FALTA CÓDIGO DE TAREA",
CONCATENATE("          ",VLOOKUP(B848,'Maestro Materiales'!A:C,3,FALSE)))),IFERROR(VLOOKUP(B848,#REF!,5,FALSE),"No encontrado. Revisar código, fecha ejecución y/o contrato."))))))))</f>
        <v/>
      </c>
      <c r="D848" s="88" t="str">
        <f>IF(B848="","",
IFERROR(VLOOKUP(B848,'Maestro Materiales'!A:C,2,FALSE),
IFERROR(VLOOKUP(B848,'Baremos actuales'!A:B,2,FALSE),
IFERROR(VLOOKUP(B848,'Baremos anteriores'!A:B,2,FALSE),
""))))</f>
        <v/>
      </c>
      <c r="E848" s="9"/>
      <c r="F848" s="89" t="str">
        <f>IF(D848="MATE",
IF(E848="","¿Unidades?",""),
IF(D848="",IF(E848="","","¿Código?"),
IF(E848="","¿Unidades?",
IF(D848="TARE",
IF(M848=$H$3,IFERROR(VLOOKUP(B848,'Baremos actuales'!A:C,3,FALSE),0),
IF(M848=$H$4,IFERROR(VLOOKUP(B848,'Baremos anteriores'!A:C,3,FALSE),0),0))))))</f>
        <v/>
      </c>
      <c r="G848" s="7"/>
      <c r="H848" s="8"/>
      <c r="I848" s="8"/>
      <c r="J848" s="78" t="str">
        <f>IF($D848="","",
IF($E848="","",
IF($D848="MATE","",
IF(VLOOKUP($B848,'Baremos actuales'!A:D,4,FALSE)=J$9,$E848*$F848,IF(VLOOKUP($B848,'Baremos anteriores'!A:D,4,FALSE)="Sin Definir",$E848*$F848,"")))))</f>
        <v/>
      </c>
      <c r="K848" s="79" t="str">
        <f>IF($D848="","",
IF($E848="","",
IF($D848="MATE","",
IF(VLOOKUP($B848,'Baremos actuales'!$A:$D,4,FALSE)=K$9,$E848*$F848,IF(VLOOKUP($B848,'Baremos anteriores'!$A:$D,4,FALSE)="Desmonte",$E848*$F848,"")))))</f>
        <v/>
      </c>
      <c r="L848" s="80" t="str">
        <f>IF($D848="","",
IF($E848="","",
IF($D848="MATE","",
IF(VLOOKUP($B848,'Baremos actuales'!$A:$D,4,FALSE)=L$9,$E848*$F848,""))))</f>
        <v/>
      </c>
      <c r="M848" s="91" t="str">
        <f t="shared" si="13"/>
        <v/>
      </c>
      <c r="N848" s="96"/>
      <c r="O848" s="95"/>
      <c r="P848" s="96"/>
      <c r="Q848" s="98"/>
    </row>
    <row r="849" spans="1:17" ht="15.75" x14ac:dyDescent="0.2">
      <c r="A849" s="17"/>
      <c r="B849" s="18"/>
      <c r="C849" s="87" t="str">
        <f>IF(B849="","",
IF(M849=$H$5,IFERROR(VLOOKUP(B849,'Baremos actuales'!A:E,5,FALSE),"No encontrado. Revisar código, fecha ejecución y/o contrato."),
IF(M849=$H$4,IFERROR(VLOOKUP(B849,'Baremos anteriores'!A:E,5,FALSE),"No encontrado. Revisar código, fecha ejecución y/o contrato."),
IF(M849=$H$3,IFERROR(VLOOKUP(B849,#REF!,5,FALSE),"No encontrado. Revisar código, fecha ejecución y/o contrato."),
IF(D849="","Código no encontrado",
IF(D849="ERROR","No encontrado. Revisar Código, fecha de ejecución y/o contrato.",
IF(D849="MATE",
IF(C848="DESCRIPCION","NO SE PUEDE COMENZAR SIN CÓDIGO DE TAREA",
IF(C848="","FALTA CÓDIGO DE TAREA",
CONCATENATE("          ",VLOOKUP(B849,'Maestro Materiales'!A:C,3,FALSE)))),IFERROR(VLOOKUP(B849,#REF!,5,FALSE),"No encontrado. Revisar código, fecha ejecución y/o contrato."))))))))</f>
        <v/>
      </c>
      <c r="D849" s="88" t="str">
        <f>IF(B849="","",
IFERROR(VLOOKUP(B849,'Maestro Materiales'!A:C,2,FALSE),
IFERROR(VLOOKUP(B849,'Baremos actuales'!A:B,2,FALSE),
IFERROR(VLOOKUP(B849,'Baremos anteriores'!A:B,2,FALSE),
""))))</f>
        <v/>
      </c>
      <c r="E849" s="9"/>
      <c r="F849" s="89" t="str">
        <f>IF(D849="MATE",
IF(E849="","¿Unidades?",""),
IF(D849="",IF(E849="","","¿Código?"),
IF(E849="","¿Unidades?",
IF(D849="TARE",
IF(M849=$H$3,IFERROR(VLOOKUP(B849,'Baremos actuales'!A:C,3,FALSE),0),
IF(M849=$H$4,IFERROR(VLOOKUP(B849,'Baremos anteriores'!A:C,3,FALSE),0),0))))))</f>
        <v/>
      </c>
      <c r="G849" s="7"/>
      <c r="H849" s="8"/>
      <c r="I849" s="8"/>
      <c r="J849" s="78" t="str">
        <f>IF($D849="","",
IF($E849="","",
IF($D849="MATE","",
IF(VLOOKUP($B849,'Baremos actuales'!A:D,4,FALSE)=J$9,$E849*$F849,IF(VLOOKUP($B849,'Baremos anteriores'!A:D,4,FALSE)="Sin Definir",$E849*$F849,"")))))</f>
        <v/>
      </c>
      <c r="K849" s="79" t="str">
        <f>IF($D849="","",
IF($E849="","",
IF($D849="MATE","",
IF(VLOOKUP($B849,'Baremos actuales'!$A:$D,4,FALSE)=K$9,$E849*$F849,IF(VLOOKUP($B849,'Baremos anteriores'!$A:$D,4,FALSE)="Desmonte",$E849*$F849,"")))))</f>
        <v/>
      </c>
      <c r="L849" s="80" t="str">
        <f>IF($D849="","",
IF($E849="","",
IF($D849="MATE","",
IF(VLOOKUP($B849,'Baremos actuales'!$A:$D,4,FALSE)=L$9,$E849*$F849,""))))</f>
        <v/>
      </c>
      <c r="M849" s="91" t="str">
        <f t="shared" si="13"/>
        <v/>
      </c>
      <c r="N849" s="96"/>
      <c r="O849" s="95"/>
      <c r="P849" s="96"/>
      <c r="Q849" s="98"/>
    </row>
    <row r="850" spans="1:17" ht="15.75" x14ac:dyDescent="0.2">
      <c r="A850" s="17"/>
      <c r="B850" s="18"/>
      <c r="C850" s="87" t="str">
        <f>IF(B850="","",
IF(M850=$H$5,IFERROR(VLOOKUP(B850,'Baremos actuales'!A:E,5,FALSE),"No encontrado. Revisar código, fecha ejecución y/o contrato."),
IF(M850=$H$4,IFERROR(VLOOKUP(B850,'Baremos anteriores'!A:E,5,FALSE),"No encontrado. Revisar código, fecha ejecución y/o contrato."),
IF(M850=$H$3,IFERROR(VLOOKUP(B850,#REF!,5,FALSE),"No encontrado. Revisar código, fecha ejecución y/o contrato."),
IF(D850="","Código no encontrado",
IF(D850="ERROR","No encontrado. Revisar Código, fecha de ejecución y/o contrato.",
IF(D850="MATE",
IF(C849="DESCRIPCION","NO SE PUEDE COMENZAR SIN CÓDIGO DE TAREA",
IF(C849="","FALTA CÓDIGO DE TAREA",
CONCATENATE("          ",VLOOKUP(B850,'Maestro Materiales'!A:C,3,FALSE)))),IFERROR(VLOOKUP(B850,#REF!,5,FALSE),"No encontrado. Revisar código, fecha ejecución y/o contrato."))))))))</f>
        <v/>
      </c>
      <c r="D850" s="88" t="str">
        <f>IF(B850="","",
IFERROR(VLOOKUP(B850,'Maestro Materiales'!A:C,2,FALSE),
IFERROR(VLOOKUP(B850,'Baremos actuales'!A:B,2,FALSE),
IFERROR(VLOOKUP(B850,'Baremos anteriores'!A:B,2,FALSE),
""))))</f>
        <v/>
      </c>
      <c r="E850" s="9"/>
      <c r="F850" s="89" t="str">
        <f>IF(D850="MATE",
IF(E850="","¿Unidades?",""),
IF(D850="",IF(E850="","","¿Código?"),
IF(E850="","¿Unidades?",
IF(D850="TARE",
IF(M850=$H$3,IFERROR(VLOOKUP(B850,'Baremos actuales'!A:C,3,FALSE),0),
IF(M850=$H$4,IFERROR(VLOOKUP(B850,'Baremos anteriores'!A:C,3,FALSE),0),0))))))</f>
        <v/>
      </c>
      <c r="G850" s="7"/>
      <c r="H850" s="8"/>
      <c r="I850" s="8"/>
      <c r="J850" s="78" t="str">
        <f>IF($D850="","",
IF($E850="","",
IF($D850="MATE","",
IF(VLOOKUP($B850,'Baremos actuales'!A:D,4,FALSE)=J$9,$E850*$F850,IF(VLOOKUP($B850,'Baremos anteriores'!A:D,4,FALSE)="Sin Definir",$E850*$F850,"")))))</f>
        <v/>
      </c>
      <c r="K850" s="79" t="str">
        <f>IF($D850="","",
IF($E850="","",
IF($D850="MATE","",
IF(VLOOKUP($B850,'Baremos actuales'!$A:$D,4,FALSE)=K$9,$E850*$F850,IF(VLOOKUP($B850,'Baremos anteriores'!$A:$D,4,FALSE)="Desmonte",$E850*$F850,"")))))</f>
        <v/>
      </c>
      <c r="L850" s="80" t="str">
        <f>IF($D850="","",
IF($E850="","",
IF($D850="MATE","",
IF(VLOOKUP($B850,'Baremos actuales'!$A:$D,4,FALSE)=L$9,$E850*$F850,""))))</f>
        <v/>
      </c>
      <c r="M850" s="91" t="str">
        <f t="shared" si="13"/>
        <v/>
      </c>
      <c r="N850" s="96"/>
      <c r="O850" s="95"/>
      <c r="P850" s="96"/>
      <c r="Q850" s="98"/>
    </row>
    <row r="851" spans="1:17" ht="15.75" x14ac:dyDescent="0.2">
      <c r="A851" s="17"/>
      <c r="B851" s="18"/>
      <c r="C851" s="87" t="str">
        <f>IF(B851="","",
IF(M851=$H$5,IFERROR(VLOOKUP(B851,'Baremos actuales'!A:E,5,FALSE),"No encontrado. Revisar código, fecha ejecución y/o contrato."),
IF(M851=$H$4,IFERROR(VLOOKUP(B851,'Baremos anteriores'!A:E,5,FALSE),"No encontrado. Revisar código, fecha ejecución y/o contrato."),
IF(M851=$H$3,IFERROR(VLOOKUP(B851,#REF!,5,FALSE),"No encontrado. Revisar código, fecha ejecución y/o contrato."),
IF(D851="","Código no encontrado",
IF(D851="ERROR","No encontrado. Revisar Código, fecha de ejecución y/o contrato.",
IF(D851="MATE",
IF(C850="DESCRIPCION","NO SE PUEDE COMENZAR SIN CÓDIGO DE TAREA",
IF(C850="","FALTA CÓDIGO DE TAREA",
CONCATENATE("          ",VLOOKUP(B851,'Maestro Materiales'!A:C,3,FALSE)))),IFERROR(VLOOKUP(B851,#REF!,5,FALSE),"No encontrado. Revisar código, fecha ejecución y/o contrato."))))))))</f>
        <v/>
      </c>
      <c r="D851" s="88" t="str">
        <f>IF(B851="","",
IFERROR(VLOOKUP(B851,'Maestro Materiales'!A:C,2,FALSE),
IFERROR(VLOOKUP(B851,'Baremos actuales'!A:B,2,FALSE),
IFERROR(VLOOKUP(B851,'Baremos anteriores'!A:B,2,FALSE),
""))))</f>
        <v/>
      </c>
      <c r="E851" s="9"/>
      <c r="F851" s="89" t="str">
        <f>IF(D851="MATE",
IF(E851="","¿Unidades?",""),
IF(D851="",IF(E851="","","¿Código?"),
IF(E851="","¿Unidades?",
IF(D851="TARE",
IF(M851=$H$3,IFERROR(VLOOKUP(B851,'Baremos actuales'!A:C,3,FALSE),0),
IF(M851=$H$4,IFERROR(VLOOKUP(B851,'Baremos anteriores'!A:C,3,FALSE),0),0))))))</f>
        <v/>
      </c>
      <c r="G851" s="7"/>
      <c r="H851" s="8"/>
      <c r="I851" s="8"/>
      <c r="J851" s="78" t="str">
        <f>IF($D851="","",
IF($E851="","",
IF($D851="MATE","",
IF(VLOOKUP($B851,'Baremos actuales'!A:D,4,FALSE)=J$9,$E851*$F851,IF(VLOOKUP($B851,'Baremos anteriores'!A:D,4,FALSE)="Sin Definir",$E851*$F851,"")))))</f>
        <v/>
      </c>
      <c r="K851" s="79" t="str">
        <f>IF($D851="","",
IF($E851="","",
IF($D851="MATE","",
IF(VLOOKUP($B851,'Baremos actuales'!$A:$D,4,FALSE)=K$9,$E851*$F851,IF(VLOOKUP($B851,'Baremos anteriores'!$A:$D,4,FALSE)="Desmonte",$E851*$F851,"")))))</f>
        <v/>
      </c>
      <c r="L851" s="80" t="str">
        <f>IF($D851="","",
IF($E851="","",
IF($D851="MATE","",
IF(VLOOKUP($B851,'Baremos actuales'!$A:$D,4,FALSE)=L$9,$E851*$F851,""))))</f>
        <v/>
      </c>
      <c r="M851" s="91" t="str">
        <f t="shared" si="13"/>
        <v/>
      </c>
      <c r="N851" s="96"/>
      <c r="O851" s="95"/>
      <c r="P851" s="96"/>
      <c r="Q851" s="98"/>
    </row>
    <row r="852" spans="1:17" ht="15.75" x14ac:dyDescent="0.2">
      <c r="A852" s="17"/>
      <c r="B852" s="18"/>
      <c r="C852" s="87" t="str">
        <f>IF(B852="","",
IF(M852=$H$5,IFERROR(VLOOKUP(B852,'Baremos actuales'!A:E,5,FALSE),"No encontrado. Revisar código, fecha ejecución y/o contrato."),
IF(M852=$H$4,IFERROR(VLOOKUP(B852,'Baremos anteriores'!A:E,5,FALSE),"No encontrado. Revisar código, fecha ejecución y/o contrato."),
IF(M852=$H$3,IFERROR(VLOOKUP(B852,#REF!,5,FALSE),"No encontrado. Revisar código, fecha ejecución y/o contrato."),
IF(D852="","Código no encontrado",
IF(D852="ERROR","No encontrado. Revisar Código, fecha de ejecución y/o contrato.",
IF(D852="MATE",
IF(C851="DESCRIPCION","NO SE PUEDE COMENZAR SIN CÓDIGO DE TAREA",
IF(C851="","FALTA CÓDIGO DE TAREA",
CONCATENATE("          ",VLOOKUP(B852,'Maestro Materiales'!A:C,3,FALSE)))),IFERROR(VLOOKUP(B852,#REF!,5,FALSE),"No encontrado. Revisar código, fecha ejecución y/o contrato."))))))))</f>
        <v/>
      </c>
      <c r="D852" s="88" t="str">
        <f>IF(B852="","",
IFERROR(VLOOKUP(B852,'Maestro Materiales'!A:C,2,FALSE),
IFERROR(VLOOKUP(B852,'Baremos actuales'!A:B,2,FALSE),
IFERROR(VLOOKUP(B852,'Baremos anteriores'!A:B,2,FALSE),
""))))</f>
        <v/>
      </c>
      <c r="E852" s="9"/>
      <c r="F852" s="89" t="str">
        <f>IF(D852="MATE",
IF(E852="","¿Unidades?",""),
IF(D852="",IF(E852="","","¿Código?"),
IF(E852="","¿Unidades?",
IF(D852="TARE",
IF(M852=$H$3,IFERROR(VLOOKUP(B852,'Baremos actuales'!A:C,3,FALSE),0),
IF(M852=$H$4,IFERROR(VLOOKUP(B852,'Baremos anteriores'!A:C,3,FALSE),0),0))))))</f>
        <v/>
      </c>
      <c r="G852" s="7"/>
      <c r="H852" s="8"/>
      <c r="I852" s="8"/>
      <c r="J852" s="78" t="str">
        <f>IF($D852="","",
IF($E852="","",
IF($D852="MATE","",
IF(VLOOKUP($B852,'Baremos actuales'!A:D,4,FALSE)=J$9,$E852*$F852,IF(VLOOKUP($B852,'Baremos anteriores'!A:D,4,FALSE)="Sin Definir",$E852*$F852,"")))))</f>
        <v/>
      </c>
      <c r="K852" s="79" t="str">
        <f>IF($D852="","",
IF($E852="","",
IF($D852="MATE","",
IF(VLOOKUP($B852,'Baremos actuales'!$A:$D,4,FALSE)=K$9,$E852*$F852,IF(VLOOKUP($B852,'Baremos anteriores'!$A:$D,4,FALSE)="Desmonte",$E852*$F852,"")))))</f>
        <v/>
      </c>
      <c r="L852" s="80" t="str">
        <f>IF($D852="","",
IF($E852="","",
IF($D852="MATE","",
IF(VLOOKUP($B852,'Baremos actuales'!$A:$D,4,FALSE)=L$9,$E852*$F852,""))))</f>
        <v/>
      </c>
      <c r="M852" s="91" t="str">
        <f t="shared" si="13"/>
        <v/>
      </c>
      <c r="N852" s="96"/>
      <c r="O852" s="95"/>
      <c r="P852" s="96"/>
      <c r="Q852" s="98"/>
    </row>
    <row r="853" spans="1:17" ht="15.75" x14ac:dyDescent="0.2">
      <c r="A853" s="17"/>
      <c r="B853" s="18"/>
      <c r="C853" s="87" t="str">
        <f>IF(B853="","",
IF(M853=$H$5,IFERROR(VLOOKUP(B853,'Baremos actuales'!A:E,5,FALSE),"No encontrado. Revisar código, fecha ejecución y/o contrato."),
IF(M853=$H$4,IFERROR(VLOOKUP(B853,'Baremos anteriores'!A:E,5,FALSE),"No encontrado. Revisar código, fecha ejecución y/o contrato."),
IF(M853=$H$3,IFERROR(VLOOKUP(B853,#REF!,5,FALSE),"No encontrado. Revisar código, fecha ejecución y/o contrato."),
IF(D853="","Código no encontrado",
IF(D853="ERROR","No encontrado. Revisar Código, fecha de ejecución y/o contrato.",
IF(D853="MATE",
IF(C852="DESCRIPCION","NO SE PUEDE COMENZAR SIN CÓDIGO DE TAREA",
IF(C852="","FALTA CÓDIGO DE TAREA",
CONCATENATE("          ",VLOOKUP(B853,'Maestro Materiales'!A:C,3,FALSE)))),IFERROR(VLOOKUP(B853,#REF!,5,FALSE),"No encontrado. Revisar código, fecha ejecución y/o contrato."))))))))</f>
        <v/>
      </c>
      <c r="D853" s="88" t="str">
        <f>IF(B853="","",
IFERROR(VLOOKUP(B853,'Maestro Materiales'!A:C,2,FALSE),
IFERROR(VLOOKUP(B853,'Baremos actuales'!A:B,2,FALSE),
IFERROR(VLOOKUP(B853,'Baremos anteriores'!A:B,2,FALSE),
""))))</f>
        <v/>
      </c>
      <c r="E853" s="9"/>
      <c r="F853" s="89" t="str">
        <f>IF(D853="MATE",
IF(E853="","¿Unidades?",""),
IF(D853="",IF(E853="","","¿Código?"),
IF(E853="","¿Unidades?",
IF(D853="TARE",
IF(M853=$H$3,IFERROR(VLOOKUP(B853,'Baremos actuales'!A:C,3,FALSE),0),
IF(M853=$H$4,IFERROR(VLOOKUP(B853,'Baremos anteriores'!A:C,3,FALSE),0),0))))))</f>
        <v/>
      </c>
      <c r="G853" s="7"/>
      <c r="H853" s="8"/>
      <c r="I853" s="8"/>
      <c r="J853" s="78" t="str">
        <f>IF($D853="","",
IF($E853="","",
IF($D853="MATE","",
IF(VLOOKUP($B853,'Baremos actuales'!A:D,4,FALSE)=J$9,$E853*$F853,IF(VLOOKUP($B853,'Baremos anteriores'!A:D,4,FALSE)="Sin Definir",$E853*$F853,"")))))</f>
        <v/>
      </c>
      <c r="K853" s="79" t="str">
        <f>IF($D853="","",
IF($E853="","",
IF($D853="MATE","",
IF(VLOOKUP($B853,'Baremos actuales'!$A:$D,4,FALSE)=K$9,$E853*$F853,IF(VLOOKUP($B853,'Baremos anteriores'!$A:$D,4,FALSE)="Desmonte",$E853*$F853,"")))))</f>
        <v/>
      </c>
      <c r="L853" s="80" t="str">
        <f>IF($D853="","",
IF($E853="","",
IF($D853="MATE","",
IF(VLOOKUP($B853,'Baremos actuales'!$A:$D,4,FALSE)=L$9,$E853*$F853,""))))</f>
        <v/>
      </c>
      <c r="M853" s="91" t="str">
        <f t="shared" si="13"/>
        <v/>
      </c>
      <c r="N853" s="96"/>
      <c r="O853" s="95"/>
      <c r="P853" s="96"/>
      <c r="Q853" s="98"/>
    </row>
    <row r="854" spans="1:17" ht="15.75" x14ac:dyDescent="0.2">
      <c r="A854" s="17"/>
      <c r="B854" s="18"/>
      <c r="C854" s="87" t="str">
        <f>IF(B854="","",
IF(M854=$H$5,IFERROR(VLOOKUP(B854,'Baremos actuales'!A:E,5,FALSE),"No encontrado. Revisar código, fecha ejecución y/o contrato."),
IF(M854=$H$4,IFERROR(VLOOKUP(B854,'Baremos anteriores'!A:E,5,FALSE),"No encontrado. Revisar código, fecha ejecución y/o contrato."),
IF(M854=$H$3,IFERROR(VLOOKUP(B854,#REF!,5,FALSE),"No encontrado. Revisar código, fecha ejecución y/o contrato."),
IF(D854="","Código no encontrado",
IF(D854="ERROR","No encontrado. Revisar Código, fecha de ejecución y/o contrato.",
IF(D854="MATE",
IF(C853="DESCRIPCION","NO SE PUEDE COMENZAR SIN CÓDIGO DE TAREA",
IF(C853="","FALTA CÓDIGO DE TAREA",
CONCATENATE("          ",VLOOKUP(B854,'Maestro Materiales'!A:C,3,FALSE)))),IFERROR(VLOOKUP(B854,#REF!,5,FALSE),"No encontrado. Revisar código, fecha ejecución y/o contrato."))))))))</f>
        <v/>
      </c>
      <c r="D854" s="88" t="str">
        <f>IF(B854="","",
IFERROR(VLOOKUP(B854,'Maestro Materiales'!A:C,2,FALSE),
IFERROR(VLOOKUP(B854,'Baremos actuales'!A:B,2,FALSE),
IFERROR(VLOOKUP(B854,'Baremos anteriores'!A:B,2,FALSE),
""))))</f>
        <v/>
      </c>
      <c r="E854" s="9"/>
      <c r="F854" s="89" t="str">
        <f>IF(D854="MATE",
IF(E854="","¿Unidades?",""),
IF(D854="",IF(E854="","","¿Código?"),
IF(E854="","¿Unidades?",
IF(D854="TARE",
IF(M854=$H$3,IFERROR(VLOOKUP(B854,'Baremos actuales'!A:C,3,FALSE),0),
IF(M854=$H$4,IFERROR(VLOOKUP(B854,'Baremos anteriores'!A:C,3,FALSE),0),0))))))</f>
        <v/>
      </c>
      <c r="G854" s="7"/>
      <c r="H854" s="8"/>
      <c r="I854" s="8"/>
      <c r="J854" s="78" t="str">
        <f>IF($D854="","",
IF($E854="","",
IF($D854="MATE","",
IF(VLOOKUP($B854,'Baremos actuales'!A:D,4,FALSE)=J$9,$E854*$F854,IF(VLOOKUP($B854,'Baremos anteriores'!A:D,4,FALSE)="Sin Definir",$E854*$F854,"")))))</f>
        <v/>
      </c>
      <c r="K854" s="79" t="str">
        <f>IF($D854="","",
IF($E854="","",
IF($D854="MATE","",
IF(VLOOKUP($B854,'Baremos actuales'!$A:$D,4,FALSE)=K$9,$E854*$F854,IF(VLOOKUP($B854,'Baremos anteriores'!$A:$D,4,FALSE)="Desmonte",$E854*$F854,"")))))</f>
        <v/>
      </c>
      <c r="L854" s="80" t="str">
        <f>IF($D854="","",
IF($E854="","",
IF($D854="MATE","",
IF(VLOOKUP($B854,'Baremos actuales'!$A:$D,4,FALSE)=L$9,$E854*$F854,""))))</f>
        <v/>
      </c>
      <c r="M854" s="91" t="str">
        <f t="shared" si="13"/>
        <v/>
      </c>
      <c r="N854" s="96"/>
      <c r="O854" s="95"/>
      <c r="P854" s="96"/>
      <c r="Q854" s="98"/>
    </row>
    <row r="855" spans="1:17" ht="15.75" x14ac:dyDescent="0.2">
      <c r="A855" s="17"/>
      <c r="B855" s="18"/>
      <c r="C855" s="87" t="str">
        <f>IF(B855="","",
IF(M855=$H$5,IFERROR(VLOOKUP(B855,'Baremos actuales'!A:E,5,FALSE),"No encontrado. Revisar código, fecha ejecución y/o contrato."),
IF(M855=$H$4,IFERROR(VLOOKUP(B855,'Baremos anteriores'!A:E,5,FALSE),"No encontrado. Revisar código, fecha ejecución y/o contrato."),
IF(M855=$H$3,IFERROR(VLOOKUP(B855,#REF!,5,FALSE),"No encontrado. Revisar código, fecha ejecución y/o contrato."),
IF(D855="","Código no encontrado",
IF(D855="ERROR","No encontrado. Revisar Código, fecha de ejecución y/o contrato.",
IF(D855="MATE",
IF(C854="DESCRIPCION","NO SE PUEDE COMENZAR SIN CÓDIGO DE TAREA",
IF(C854="","FALTA CÓDIGO DE TAREA",
CONCATENATE("          ",VLOOKUP(B855,'Maestro Materiales'!A:C,3,FALSE)))),IFERROR(VLOOKUP(B855,#REF!,5,FALSE),"No encontrado. Revisar código, fecha ejecución y/o contrato."))))))))</f>
        <v/>
      </c>
      <c r="D855" s="88" t="str">
        <f>IF(B855="","",
IFERROR(VLOOKUP(B855,'Maestro Materiales'!A:C,2,FALSE),
IFERROR(VLOOKUP(B855,'Baremos actuales'!A:B,2,FALSE),
IFERROR(VLOOKUP(B855,'Baremos anteriores'!A:B,2,FALSE),
""))))</f>
        <v/>
      </c>
      <c r="E855" s="9"/>
      <c r="F855" s="89" t="str">
        <f>IF(D855="MATE",
IF(E855="","¿Unidades?",""),
IF(D855="",IF(E855="","","¿Código?"),
IF(E855="","¿Unidades?",
IF(D855="TARE",
IF(M855=$H$3,IFERROR(VLOOKUP(B855,'Baremos actuales'!A:C,3,FALSE),0),
IF(M855=$H$4,IFERROR(VLOOKUP(B855,'Baremos anteriores'!A:C,3,FALSE),0),0))))))</f>
        <v/>
      </c>
      <c r="G855" s="7"/>
      <c r="H855" s="8"/>
      <c r="I855" s="8"/>
      <c r="J855" s="78" t="str">
        <f>IF($D855="","",
IF($E855="","",
IF($D855="MATE","",
IF(VLOOKUP($B855,'Baremos actuales'!A:D,4,FALSE)=J$9,$E855*$F855,IF(VLOOKUP($B855,'Baremos anteriores'!A:D,4,FALSE)="Sin Definir",$E855*$F855,"")))))</f>
        <v/>
      </c>
      <c r="K855" s="79" t="str">
        <f>IF($D855="","",
IF($E855="","",
IF($D855="MATE","",
IF(VLOOKUP($B855,'Baremos actuales'!$A:$D,4,FALSE)=K$9,$E855*$F855,IF(VLOOKUP($B855,'Baremos anteriores'!$A:$D,4,FALSE)="Desmonte",$E855*$F855,"")))))</f>
        <v/>
      </c>
      <c r="L855" s="80" t="str">
        <f>IF($D855="","",
IF($E855="","",
IF($D855="MATE","",
IF(VLOOKUP($B855,'Baremos actuales'!$A:$D,4,FALSE)=L$9,$E855*$F855,""))))</f>
        <v/>
      </c>
      <c r="M855" s="91" t="str">
        <f t="shared" si="13"/>
        <v/>
      </c>
      <c r="N855" s="96"/>
      <c r="O855" s="95"/>
      <c r="P855" s="96"/>
      <c r="Q855" s="98"/>
    </row>
    <row r="856" spans="1:17" ht="15.75" x14ac:dyDescent="0.2">
      <c r="A856" s="17"/>
      <c r="B856" s="18"/>
      <c r="C856" s="87" t="str">
        <f>IF(B856="","",
IF(M856=$H$5,IFERROR(VLOOKUP(B856,'Baremos actuales'!A:E,5,FALSE),"No encontrado. Revisar código, fecha ejecución y/o contrato."),
IF(M856=$H$4,IFERROR(VLOOKUP(B856,'Baremos anteriores'!A:E,5,FALSE),"No encontrado. Revisar código, fecha ejecución y/o contrato."),
IF(M856=$H$3,IFERROR(VLOOKUP(B856,#REF!,5,FALSE),"No encontrado. Revisar código, fecha ejecución y/o contrato."),
IF(D856="","Código no encontrado",
IF(D856="ERROR","No encontrado. Revisar Código, fecha de ejecución y/o contrato.",
IF(D856="MATE",
IF(C855="DESCRIPCION","NO SE PUEDE COMENZAR SIN CÓDIGO DE TAREA",
IF(C855="","FALTA CÓDIGO DE TAREA",
CONCATENATE("          ",VLOOKUP(B856,'Maestro Materiales'!A:C,3,FALSE)))),IFERROR(VLOOKUP(B856,#REF!,5,FALSE),"No encontrado. Revisar código, fecha ejecución y/o contrato."))))))))</f>
        <v/>
      </c>
      <c r="D856" s="88" t="str">
        <f>IF(B856="","",
IFERROR(VLOOKUP(B856,'Maestro Materiales'!A:C,2,FALSE),
IFERROR(VLOOKUP(B856,'Baremos actuales'!A:B,2,FALSE),
IFERROR(VLOOKUP(B856,'Baremos anteriores'!A:B,2,FALSE),
""))))</f>
        <v/>
      </c>
      <c r="E856" s="9"/>
      <c r="F856" s="89" t="str">
        <f>IF(D856="MATE",
IF(E856="","¿Unidades?",""),
IF(D856="",IF(E856="","","¿Código?"),
IF(E856="","¿Unidades?",
IF(D856="TARE",
IF(M856=$H$3,IFERROR(VLOOKUP(B856,'Baremos actuales'!A:C,3,FALSE),0),
IF(M856=$H$4,IFERROR(VLOOKUP(B856,'Baremos anteriores'!A:C,3,FALSE),0),0))))))</f>
        <v/>
      </c>
      <c r="G856" s="7"/>
      <c r="H856" s="8"/>
      <c r="I856" s="8"/>
      <c r="J856" s="78" t="str">
        <f>IF($D856="","",
IF($E856="","",
IF($D856="MATE","",
IF(VLOOKUP($B856,'Baremos actuales'!A:D,4,FALSE)=J$9,$E856*$F856,IF(VLOOKUP($B856,'Baremos anteriores'!A:D,4,FALSE)="Sin Definir",$E856*$F856,"")))))</f>
        <v/>
      </c>
      <c r="K856" s="79" t="str">
        <f>IF($D856="","",
IF($E856="","",
IF($D856="MATE","",
IF(VLOOKUP($B856,'Baremos actuales'!$A:$D,4,FALSE)=K$9,$E856*$F856,IF(VLOOKUP($B856,'Baremos anteriores'!$A:$D,4,FALSE)="Desmonte",$E856*$F856,"")))))</f>
        <v/>
      </c>
      <c r="L856" s="80" t="str">
        <f>IF($D856="","",
IF($E856="","",
IF($D856="MATE","",
IF(VLOOKUP($B856,'Baremos actuales'!$A:$D,4,FALSE)=L$9,$E856*$F856,""))))</f>
        <v/>
      </c>
      <c r="M856" s="91" t="str">
        <f t="shared" si="13"/>
        <v/>
      </c>
      <c r="N856" s="96"/>
      <c r="O856" s="95"/>
      <c r="P856" s="96"/>
      <c r="Q856" s="98"/>
    </row>
    <row r="857" spans="1:17" ht="15.75" x14ac:dyDescent="0.2">
      <c r="A857" s="17"/>
      <c r="B857" s="18"/>
      <c r="C857" s="87" t="str">
        <f>IF(B857="","",
IF(M857=$H$5,IFERROR(VLOOKUP(B857,'Baremos actuales'!A:E,5,FALSE),"No encontrado. Revisar código, fecha ejecución y/o contrato."),
IF(M857=$H$4,IFERROR(VLOOKUP(B857,'Baremos anteriores'!A:E,5,FALSE),"No encontrado. Revisar código, fecha ejecución y/o contrato."),
IF(M857=$H$3,IFERROR(VLOOKUP(B857,#REF!,5,FALSE),"No encontrado. Revisar código, fecha ejecución y/o contrato."),
IF(D857="","Código no encontrado",
IF(D857="ERROR","No encontrado. Revisar Código, fecha de ejecución y/o contrato.",
IF(D857="MATE",
IF(C856="DESCRIPCION","NO SE PUEDE COMENZAR SIN CÓDIGO DE TAREA",
IF(C856="","FALTA CÓDIGO DE TAREA",
CONCATENATE("          ",VLOOKUP(B857,'Maestro Materiales'!A:C,3,FALSE)))),IFERROR(VLOOKUP(B857,#REF!,5,FALSE),"No encontrado. Revisar código, fecha ejecución y/o contrato."))))))))</f>
        <v/>
      </c>
      <c r="D857" s="88" t="str">
        <f>IF(B857="","",
IFERROR(VLOOKUP(B857,'Maestro Materiales'!A:C,2,FALSE),
IFERROR(VLOOKUP(B857,'Baremos actuales'!A:B,2,FALSE),
IFERROR(VLOOKUP(B857,'Baremos anteriores'!A:B,2,FALSE),
""))))</f>
        <v/>
      </c>
      <c r="E857" s="9"/>
      <c r="F857" s="89" t="str">
        <f>IF(D857="MATE",
IF(E857="","¿Unidades?",""),
IF(D857="",IF(E857="","","¿Código?"),
IF(E857="","¿Unidades?",
IF(D857="TARE",
IF(M857=$H$3,IFERROR(VLOOKUP(B857,'Baremos actuales'!A:C,3,FALSE),0),
IF(M857=$H$4,IFERROR(VLOOKUP(B857,'Baremos anteriores'!A:C,3,FALSE),0),0))))))</f>
        <v/>
      </c>
      <c r="G857" s="7"/>
      <c r="H857" s="8"/>
      <c r="I857" s="8"/>
      <c r="J857" s="78" t="str">
        <f>IF($D857="","",
IF($E857="","",
IF($D857="MATE","",
IF(VLOOKUP($B857,'Baremos actuales'!A:D,4,FALSE)=J$9,$E857*$F857,IF(VLOOKUP($B857,'Baremos anteriores'!A:D,4,FALSE)="Sin Definir",$E857*$F857,"")))))</f>
        <v/>
      </c>
      <c r="K857" s="79" t="str">
        <f>IF($D857="","",
IF($E857="","",
IF($D857="MATE","",
IF(VLOOKUP($B857,'Baremos actuales'!$A:$D,4,FALSE)=K$9,$E857*$F857,IF(VLOOKUP($B857,'Baremos anteriores'!$A:$D,4,FALSE)="Desmonte",$E857*$F857,"")))))</f>
        <v/>
      </c>
      <c r="L857" s="80" t="str">
        <f>IF($D857="","",
IF($E857="","",
IF($D857="MATE","",
IF(VLOOKUP($B857,'Baremos actuales'!$A:$D,4,FALSE)=L$9,$E857*$F857,""))))</f>
        <v/>
      </c>
      <c r="M857" s="91" t="str">
        <f t="shared" si="13"/>
        <v/>
      </c>
      <c r="N857" s="96"/>
      <c r="O857" s="95"/>
      <c r="P857" s="96"/>
      <c r="Q857" s="98"/>
    </row>
    <row r="858" spans="1:17" ht="15.75" x14ac:dyDescent="0.2">
      <c r="A858" s="17"/>
      <c r="B858" s="18"/>
      <c r="C858" s="87" t="str">
        <f>IF(B858="","",
IF(M858=$H$5,IFERROR(VLOOKUP(B858,'Baremos actuales'!A:E,5,FALSE),"No encontrado. Revisar código, fecha ejecución y/o contrato."),
IF(M858=$H$4,IFERROR(VLOOKUP(B858,'Baremos anteriores'!A:E,5,FALSE),"No encontrado. Revisar código, fecha ejecución y/o contrato."),
IF(M858=$H$3,IFERROR(VLOOKUP(B858,#REF!,5,FALSE),"No encontrado. Revisar código, fecha ejecución y/o contrato."),
IF(D858="","Código no encontrado",
IF(D858="ERROR","No encontrado. Revisar Código, fecha de ejecución y/o contrato.",
IF(D858="MATE",
IF(C857="DESCRIPCION","NO SE PUEDE COMENZAR SIN CÓDIGO DE TAREA",
IF(C857="","FALTA CÓDIGO DE TAREA",
CONCATENATE("          ",VLOOKUP(B858,'Maestro Materiales'!A:C,3,FALSE)))),IFERROR(VLOOKUP(B858,#REF!,5,FALSE),"No encontrado. Revisar código, fecha ejecución y/o contrato."))))))))</f>
        <v/>
      </c>
      <c r="D858" s="88" t="str">
        <f>IF(B858="","",
IFERROR(VLOOKUP(B858,'Maestro Materiales'!A:C,2,FALSE),
IFERROR(VLOOKUP(B858,'Baremos actuales'!A:B,2,FALSE),
IFERROR(VLOOKUP(B858,'Baremos anteriores'!A:B,2,FALSE),
""))))</f>
        <v/>
      </c>
      <c r="E858" s="9"/>
      <c r="F858" s="89" t="str">
        <f>IF(D858="MATE",
IF(E858="","¿Unidades?",""),
IF(D858="",IF(E858="","","¿Código?"),
IF(E858="","¿Unidades?",
IF(D858="TARE",
IF(M858=$H$3,IFERROR(VLOOKUP(B858,'Baremos actuales'!A:C,3,FALSE),0),
IF(M858=$H$4,IFERROR(VLOOKUP(B858,'Baremos anteriores'!A:C,3,FALSE),0),0))))))</f>
        <v/>
      </c>
      <c r="G858" s="7"/>
      <c r="H858" s="8"/>
      <c r="I858" s="8"/>
      <c r="J858" s="78" t="str">
        <f>IF($D858="","",
IF($E858="","",
IF($D858="MATE","",
IF(VLOOKUP($B858,'Baremos actuales'!A:D,4,FALSE)=J$9,$E858*$F858,IF(VLOOKUP($B858,'Baremos anteriores'!A:D,4,FALSE)="Sin Definir",$E858*$F858,"")))))</f>
        <v/>
      </c>
      <c r="K858" s="79" t="str">
        <f>IF($D858="","",
IF($E858="","",
IF($D858="MATE","",
IF(VLOOKUP($B858,'Baremos actuales'!$A:$D,4,FALSE)=K$9,$E858*$F858,IF(VLOOKUP($B858,'Baremos anteriores'!$A:$D,4,FALSE)="Desmonte",$E858*$F858,"")))))</f>
        <v/>
      </c>
      <c r="L858" s="80" t="str">
        <f>IF($D858="","",
IF($E858="","",
IF($D858="MATE","",
IF(VLOOKUP($B858,'Baremos actuales'!$A:$D,4,FALSE)=L$9,$E858*$F858,""))))</f>
        <v/>
      </c>
      <c r="M858" s="91" t="str">
        <f t="shared" si="13"/>
        <v/>
      </c>
      <c r="N858" s="96"/>
      <c r="O858" s="95"/>
      <c r="P858" s="96"/>
      <c r="Q858" s="98"/>
    </row>
    <row r="859" spans="1:17" ht="15.75" x14ac:dyDescent="0.2">
      <c r="A859" s="17"/>
      <c r="B859" s="18"/>
      <c r="C859" s="87" t="str">
        <f>IF(B859="","",
IF(M859=$H$5,IFERROR(VLOOKUP(B859,'Baremos actuales'!A:E,5,FALSE),"No encontrado. Revisar código, fecha ejecución y/o contrato."),
IF(M859=$H$4,IFERROR(VLOOKUP(B859,'Baremos anteriores'!A:E,5,FALSE),"No encontrado. Revisar código, fecha ejecución y/o contrato."),
IF(M859=$H$3,IFERROR(VLOOKUP(B859,#REF!,5,FALSE),"No encontrado. Revisar código, fecha ejecución y/o contrato."),
IF(D859="","Código no encontrado",
IF(D859="ERROR","No encontrado. Revisar Código, fecha de ejecución y/o contrato.",
IF(D859="MATE",
IF(C858="DESCRIPCION","NO SE PUEDE COMENZAR SIN CÓDIGO DE TAREA",
IF(C858="","FALTA CÓDIGO DE TAREA",
CONCATENATE("          ",VLOOKUP(B859,'Maestro Materiales'!A:C,3,FALSE)))),IFERROR(VLOOKUP(B859,#REF!,5,FALSE),"No encontrado. Revisar código, fecha ejecución y/o contrato."))))))))</f>
        <v/>
      </c>
      <c r="D859" s="88" t="str">
        <f>IF(B859="","",
IFERROR(VLOOKUP(B859,'Maestro Materiales'!A:C,2,FALSE),
IFERROR(VLOOKUP(B859,'Baremos actuales'!A:B,2,FALSE),
IFERROR(VLOOKUP(B859,'Baremos anteriores'!A:B,2,FALSE),
""))))</f>
        <v/>
      </c>
      <c r="E859" s="9"/>
      <c r="F859" s="89" t="str">
        <f>IF(D859="MATE",
IF(E859="","¿Unidades?",""),
IF(D859="",IF(E859="","","¿Código?"),
IF(E859="","¿Unidades?",
IF(D859="TARE",
IF(M859=$H$3,IFERROR(VLOOKUP(B859,'Baremos actuales'!A:C,3,FALSE),0),
IF(M859=$H$4,IFERROR(VLOOKUP(B859,'Baremos anteriores'!A:C,3,FALSE),0),0))))))</f>
        <v/>
      </c>
      <c r="G859" s="7"/>
      <c r="H859" s="8"/>
      <c r="I859" s="8"/>
      <c r="J859" s="78" t="str">
        <f>IF($D859="","",
IF($E859="","",
IF($D859="MATE","",
IF(VLOOKUP($B859,'Baremos actuales'!A:D,4,FALSE)=J$9,$E859*$F859,IF(VLOOKUP($B859,'Baremos anteriores'!A:D,4,FALSE)="Sin Definir",$E859*$F859,"")))))</f>
        <v/>
      </c>
      <c r="K859" s="79" t="str">
        <f>IF($D859="","",
IF($E859="","",
IF($D859="MATE","",
IF(VLOOKUP($B859,'Baremos actuales'!$A:$D,4,FALSE)=K$9,$E859*$F859,IF(VLOOKUP($B859,'Baremos anteriores'!$A:$D,4,FALSE)="Desmonte",$E859*$F859,"")))))</f>
        <v/>
      </c>
      <c r="L859" s="80" t="str">
        <f>IF($D859="","",
IF($E859="","",
IF($D859="MATE","",
IF(VLOOKUP($B859,'Baremos actuales'!$A:$D,4,FALSE)=L$9,$E859*$F859,""))))</f>
        <v/>
      </c>
      <c r="M859" s="91" t="str">
        <f t="shared" si="13"/>
        <v/>
      </c>
      <c r="N859" s="96"/>
      <c r="O859" s="95"/>
      <c r="P859" s="96"/>
      <c r="Q859" s="98"/>
    </row>
    <row r="860" spans="1:17" ht="15.75" x14ac:dyDescent="0.2">
      <c r="A860" s="17"/>
      <c r="B860" s="18"/>
      <c r="C860" s="87" t="str">
        <f>IF(B860="","",
IF(M860=$H$5,IFERROR(VLOOKUP(B860,'Baremos actuales'!A:E,5,FALSE),"No encontrado. Revisar código, fecha ejecución y/o contrato."),
IF(M860=$H$4,IFERROR(VLOOKUP(B860,'Baremos anteriores'!A:E,5,FALSE),"No encontrado. Revisar código, fecha ejecución y/o contrato."),
IF(M860=$H$3,IFERROR(VLOOKUP(B860,#REF!,5,FALSE),"No encontrado. Revisar código, fecha ejecución y/o contrato."),
IF(D860="","Código no encontrado",
IF(D860="ERROR","No encontrado. Revisar Código, fecha de ejecución y/o contrato.",
IF(D860="MATE",
IF(C859="DESCRIPCION","NO SE PUEDE COMENZAR SIN CÓDIGO DE TAREA",
IF(C859="","FALTA CÓDIGO DE TAREA",
CONCATENATE("          ",VLOOKUP(B860,'Maestro Materiales'!A:C,3,FALSE)))),IFERROR(VLOOKUP(B860,#REF!,5,FALSE),"No encontrado. Revisar código, fecha ejecución y/o contrato."))))))))</f>
        <v/>
      </c>
      <c r="D860" s="88" t="str">
        <f>IF(B860="","",
IFERROR(VLOOKUP(B860,'Maestro Materiales'!A:C,2,FALSE),
IFERROR(VLOOKUP(B860,'Baremos actuales'!A:B,2,FALSE),
IFERROR(VLOOKUP(B860,'Baremos anteriores'!A:B,2,FALSE),
""))))</f>
        <v/>
      </c>
      <c r="E860" s="9"/>
      <c r="F860" s="89" t="str">
        <f>IF(D860="MATE",
IF(E860="","¿Unidades?",""),
IF(D860="",IF(E860="","","¿Código?"),
IF(E860="","¿Unidades?",
IF(D860="TARE",
IF(M860=$H$3,IFERROR(VLOOKUP(B860,'Baremos actuales'!A:C,3,FALSE),0),
IF(M860=$H$4,IFERROR(VLOOKUP(B860,'Baremos anteriores'!A:C,3,FALSE),0),0))))))</f>
        <v/>
      </c>
      <c r="G860" s="7"/>
      <c r="H860" s="8"/>
      <c r="I860" s="8"/>
      <c r="J860" s="78" t="str">
        <f>IF($D860="","",
IF($E860="","",
IF($D860="MATE","",
IF(VLOOKUP($B860,'Baremos actuales'!A:D,4,FALSE)=J$9,$E860*$F860,IF(VLOOKUP($B860,'Baremos anteriores'!A:D,4,FALSE)="Sin Definir",$E860*$F860,"")))))</f>
        <v/>
      </c>
      <c r="K860" s="79" t="str">
        <f>IF($D860="","",
IF($E860="","",
IF($D860="MATE","",
IF(VLOOKUP($B860,'Baremos actuales'!$A:$D,4,FALSE)=K$9,$E860*$F860,IF(VLOOKUP($B860,'Baremos anteriores'!$A:$D,4,FALSE)="Desmonte",$E860*$F860,"")))))</f>
        <v/>
      </c>
      <c r="L860" s="80" t="str">
        <f>IF($D860="","",
IF($E860="","",
IF($D860="MATE","",
IF(VLOOKUP($B860,'Baremos actuales'!$A:$D,4,FALSE)=L$9,$E860*$F860,""))))</f>
        <v/>
      </c>
      <c r="M860" s="91" t="str">
        <f t="shared" si="13"/>
        <v/>
      </c>
      <c r="N860" s="96"/>
      <c r="O860" s="95"/>
      <c r="P860" s="96"/>
      <c r="Q860" s="98"/>
    </row>
    <row r="861" spans="1:17" ht="15.75" x14ac:dyDescent="0.2">
      <c r="A861" s="17"/>
      <c r="B861" s="18"/>
      <c r="C861" s="87" t="str">
        <f>IF(B861="","",
IF(M861=$H$5,IFERROR(VLOOKUP(B861,'Baremos actuales'!A:E,5,FALSE),"No encontrado. Revisar código, fecha ejecución y/o contrato."),
IF(M861=$H$4,IFERROR(VLOOKUP(B861,'Baremos anteriores'!A:E,5,FALSE),"No encontrado. Revisar código, fecha ejecución y/o contrato."),
IF(M861=$H$3,IFERROR(VLOOKUP(B861,#REF!,5,FALSE),"No encontrado. Revisar código, fecha ejecución y/o contrato."),
IF(D861="","Código no encontrado",
IF(D861="ERROR","No encontrado. Revisar Código, fecha de ejecución y/o contrato.",
IF(D861="MATE",
IF(C860="DESCRIPCION","NO SE PUEDE COMENZAR SIN CÓDIGO DE TAREA",
IF(C860="","FALTA CÓDIGO DE TAREA",
CONCATENATE("          ",VLOOKUP(B861,'Maestro Materiales'!A:C,3,FALSE)))),IFERROR(VLOOKUP(B861,#REF!,5,FALSE),"No encontrado. Revisar código, fecha ejecución y/o contrato."))))))))</f>
        <v/>
      </c>
      <c r="D861" s="88" t="str">
        <f>IF(B861="","",
IFERROR(VLOOKUP(B861,'Maestro Materiales'!A:C,2,FALSE),
IFERROR(VLOOKUP(B861,'Baremos actuales'!A:B,2,FALSE),
IFERROR(VLOOKUP(B861,'Baremos anteriores'!A:B,2,FALSE),
""))))</f>
        <v/>
      </c>
      <c r="E861" s="9"/>
      <c r="F861" s="89" t="str">
        <f>IF(D861="MATE",
IF(E861="","¿Unidades?",""),
IF(D861="",IF(E861="","","¿Código?"),
IF(E861="","¿Unidades?",
IF(D861="TARE",
IF(M861=$H$3,IFERROR(VLOOKUP(B861,'Baremos actuales'!A:C,3,FALSE),0),
IF(M861=$H$4,IFERROR(VLOOKUP(B861,'Baremos anteriores'!A:C,3,FALSE),0),0))))))</f>
        <v/>
      </c>
      <c r="G861" s="7"/>
      <c r="H861" s="8"/>
      <c r="I861" s="8"/>
      <c r="J861" s="78" t="str">
        <f>IF($D861="","",
IF($E861="","",
IF($D861="MATE","",
IF(VLOOKUP($B861,'Baremos actuales'!A:D,4,FALSE)=J$9,$E861*$F861,IF(VLOOKUP($B861,'Baremos anteriores'!A:D,4,FALSE)="Sin Definir",$E861*$F861,"")))))</f>
        <v/>
      </c>
      <c r="K861" s="79" t="str">
        <f>IF($D861="","",
IF($E861="","",
IF($D861="MATE","",
IF(VLOOKUP($B861,'Baremos actuales'!$A:$D,4,FALSE)=K$9,$E861*$F861,IF(VLOOKUP($B861,'Baremos anteriores'!$A:$D,4,FALSE)="Desmonte",$E861*$F861,"")))))</f>
        <v/>
      </c>
      <c r="L861" s="80" t="str">
        <f>IF($D861="","",
IF($E861="","",
IF($D861="MATE","",
IF(VLOOKUP($B861,'Baremos actuales'!$A:$D,4,FALSE)=L$9,$E861*$F861,""))))</f>
        <v/>
      </c>
      <c r="M861" s="91" t="str">
        <f t="shared" si="13"/>
        <v/>
      </c>
      <c r="N861" s="96"/>
      <c r="O861" s="95"/>
      <c r="P861" s="96"/>
      <c r="Q861" s="98"/>
    </row>
    <row r="862" spans="1:17" ht="15.75" x14ac:dyDescent="0.2">
      <c r="A862" s="17"/>
      <c r="B862" s="18"/>
      <c r="C862" s="87" t="str">
        <f>IF(B862="","",
IF(M862=$H$5,IFERROR(VLOOKUP(B862,'Baremos actuales'!A:E,5,FALSE),"No encontrado. Revisar código, fecha ejecución y/o contrato."),
IF(M862=$H$4,IFERROR(VLOOKUP(B862,'Baremos anteriores'!A:E,5,FALSE),"No encontrado. Revisar código, fecha ejecución y/o contrato."),
IF(M862=$H$3,IFERROR(VLOOKUP(B862,#REF!,5,FALSE),"No encontrado. Revisar código, fecha ejecución y/o contrato."),
IF(D862="","Código no encontrado",
IF(D862="ERROR","No encontrado. Revisar Código, fecha de ejecución y/o contrato.",
IF(D862="MATE",
IF(C861="DESCRIPCION","NO SE PUEDE COMENZAR SIN CÓDIGO DE TAREA",
IF(C861="","FALTA CÓDIGO DE TAREA",
CONCATENATE("          ",VLOOKUP(B862,'Maestro Materiales'!A:C,3,FALSE)))),IFERROR(VLOOKUP(B862,#REF!,5,FALSE),"No encontrado. Revisar código, fecha ejecución y/o contrato."))))))))</f>
        <v/>
      </c>
      <c r="D862" s="88" t="str">
        <f>IF(B862="","",
IFERROR(VLOOKUP(B862,'Maestro Materiales'!A:C,2,FALSE),
IFERROR(VLOOKUP(B862,'Baremos actuales'!A:B,2,FALSE),
IFERROR(VLOOKUP(B862,'Baremos anteriores'!A:B,2,FALSE),
""))))</f>
        <v/>
      </c>
      <c r="E862" s="9"/>
      <c r="F862" s="89" t="str">
        <f>IF(D862="MATE",
IF(E862="","¿Unidades?",""),
IF(D862="",IF(E862="","","¿Código?"),
IF(E862="","¿Unidades?",
IF(D862="TARE",
IF(M862=$H$3,IFERROR(VLOOKUP(B862,'Baremos actuales'!A:C,3,FALSE),0),
IF(M862=$H$4,IFERROR(VLOOKUP(B862,'Baremos anteriores'!A:C,3,FALSE),0),0))))))</f>
        <v/>
      </c>
      <c r="G862" s="7"/>
      <c r="H862" s="8"/>
      <c r="I862" s="8"/>
      <c r="J862" s="78" t="str">
        <f>IF($D862="","",
IF($E862="","",
IF($D862="MATE","",
IF(VLOOKUP($B862,'Baremos actuales'!A:D,4,FALSE)=J$9,$E862*$F862,IF(VLOOKUP($B862,'Baremos anteriores'!A:D,4,FALSE)="Sin Definir",$E862*$F862,"")))))</f>
        <v/>
      </c>
      <c r="K862" s="79" t="str">
        <f>IF($D862="","",
IF($E862="","",
IF($D862="MATE","",
IF(VLOOKUP($B862,'Baremos actuales'!$A:$D,4,FALSE)=K$9,$E862*$F862,IF(VLOOKUP($B862,'Baremos anteriores'!$A:$D,4,FALSE)="Desmonte",$E862*$F862,"")))))</f>
        <v/>
      </c>
      <c r="L862" s="80" t="str">
        <f>IF($D862="","",
IF($E862="","",
IF($D862="MATE","",
IF(VLOOKUP($B862,'Baremos actuales'!$A:$D,4,FALSE)=L$9,$E862*$F862,""))))</f>
        <v/>
      </c>
      <c r="M862" s="91" t="str">
        <f t="shared" si="13"/>
        <v/>
      </c>
      <c r="N862" s="96"/>
      <c r="O862" s="95"/>
      <c r="P862" s="96"/>
      <c r="Q862" s="98"/>
    </row>
    <row r="863" spans="1:17" ht="15.75" x14ac:dyDescent="0.2">
      <c r="A863" s="17"/>
      <c r="B863" s="18"/>
      <c r="C863" s="87" t="str">
        <f>IF(B863="","",
IF(M863=$H$5,IFERROR(VLOOKUP(B863,'Baremos actuales'!A:E,5,FALSE),"No encontrado. Revisar código, fecha ejecución y/o contrato."),
IF(M863=$H$4,IFERROR(VLOOKUP(B863,'Baremos anteriores'!A:E,5,FALSE),"No encontrado. Revisar código, fecha ejecución y/o contrato."),
IF(M863=$H$3,IFERROR(VLOOKUP(B863,#REF!,5,FALSE),"No encontrado. Revisar código, fecha ejecución y/o contrato."),
IF(D863="","Código no encontrado",
IF(D863="ERROR","No encontrado. Revisar Código, fecha de ejecución y/o contrato.",
IF(D863="MATE",
IF(C862="DESCRIPCION","NO SE PUEDE COMENZAR SIN CÓDIGO DE TAREA",
IF(C862="","FALTA CÓDIGO DE TAREA",
CONCATENATE("          ",VLOOKUP(B863,'Maestro Materiales'!A:C,3,FALSE)))),IFERROR(VLOOKUP(B863,#REF!,5,FALSE),"No encontrado. Revisar código, fecha ejecución y/o contrato."))))))))</f>
        <v/>
      </c>
      <c r="D863" s="88" t="str">
        <f>IF(B863="","",
IFERROR(VLOOKUP(B863,'Maestro Materiales'!A:C,2,FALSE),
IFERROR(VLOOKUP(B863,'Baremos actuales'!A:B,2,FALSE),
IFERROR(VLOOKUP(B863,'Baremos anteriores'!A:B,2,FALSE),
""))))</f>
        <v/>
      </c>
      <c r="E863" s="9"/>
      <c r="F863" s="89" t="str">
        <f>IF(D863="MATE",
IF(E863="","¿Unidades?",""),
IF(D863="",IF(E863="","","¿Código?"),
IF(E863="","¿Unidades?",
IF(D863="TARE",
IF(M863=$H$3,IFERROR(VLOOKUP(B863,'Baremos actuales'!A:C,3,FALSE),0),
IF(M863=$H$4,IFERROR(VLOOKUP(B863,'Baremos anteriores'!A:C,3,FALSE),0),0))))))</f>
        <v/>
      </c>
      <c r="G863" s="7"/>
      <c r="H863" s="8"/>
      <c r="I863" s="8"/>
      <c r="J863" s="78" t="str">
        <f>IF($D863="","",
IF($E863="","",
IF($D863="MATE","",
IF(VLOOKUP($B863,'Baremos actuales'!A:D,4,FALSE)=J$9,$E863*$F863,IF(VLOOKUP($B863,'Baremos anteriores'!A:D,4,FALSE)="Sin Definir",$E863*$F863,"")))))</f>
        <v/>
      </c>
      <c r="K863" s="79" t="str">
        <f>IF($D863="","",
IF($E863="","",
IF($D863="MATE","",
IF(VLOOKUP($B863,'Baremos actuales'!$A:$D,4,FALSE)=K$9,$E863*$F863,IF(VLOOKUP($B863,'Baremos anteriores'!$A:$D,4,FALSE)="Desmonte",$E863*$F863,"")))))</f>
        <v/>
      </c>
      <c r="L863" s="80" t="str">
        <f>IF($D863="","",
IF($E863="","",
IF($D863="MATE","",
IF(VLOOKUP($B863,'Baremos actuales'!$A:$D,4,FALSE)=L$9,$E863*$F863,""))))</f>
        <v/>
      </c>
      <c r="M863" s="91" t="str">
        <f t="shared" si="13"/>
        <v/>
      </c>
      <c r="N863" s="96"/>
      <c r="O863" s="95"/>
      <c r="P863" s="96"/>
      <c r="Q863" s="98"/>
    </row>
    <row r="864" spans="1:17" ht="15.75" x14ac:dyDescent="0.2">
      <c r="A864" s="17"/>
      <c r="B864" s="18"/>
      <c r="C864" s="87" t="str">
        <f>IF(B864="","",
IF(M864=$H$5,IFERROR(VLOOKUP(B864,'Baremos actuales'!A:E,5,FALSE),"No encontrado. Revisar código, fecha ejecución y/o contrato."),
IF(M864=$H$4,IFERROR(VLOOKUP(B864,'Baremos anteriores'!A:E,5,FALSE),"No encontrado. Revisar código, fecha ejecución y/o contrato."),
IF(M864=$H$3,IFERROR(VLOOKUP(B864,#REF!,5,FALSE),"No encontrado. Revisar código, fecha ejecución y/o contrato."),
IF(D864="","Código no encontrado",
IF(D864="ERROR","No encontrado. Revisar Código, fecha de ejecución y/o contrato.",
IF(D864="MATE",
IF(C863="DESCRIPCION","NO SE PUEDE COMENZAR SIN CÓDIGO DE TAREA",
IF(C863="","FALTA CÓDIGO DE TAREA",
CONCATENATE("          ",VLOOKUP(B864,'Maestro Materiales'!A:C,3,FALSE)))),IFERROR(VLOOKUP(B864,#REF!,5,FALSE),"No encontrado. Revisar código, fecha ejecución y/o contrato."))))))))</f>
        <v/>
      </c>
      <c r="D864" s="88" t="str">
        <f>IF(B864="","",
IFERROR(VLOOKUP(B864,'Maestro Materiales'!A:C,2,FALSE),
IFERROR(VLOOKUP(B864,'Baremos actuales'!A:B,2,FALSE),
IFERROR(VLOOKUP(B864,'Baremos anteriores'!A:B,2,FALSE),
""))))</f>
        <v/>
      </c>
      <c r="E864" s="9"/>
      <c r="F864" s="89" t="str">
        <f>IF(D864="MATE",
IF(E864="","¿Unidades?",""),
IF(D864="",IF(E864="","","¿Código?"),
IF(E864="","¿Unidades?",
IF(D864="TARE",
IF(M864=$H$3,IFERROR(VLOOKUP(B864,'Baremos actuales'!A:C,3,FALSE),0),
IF(M864=$H$4,IFERROR(VLOOKUP(B864,'Baremos anteriores'!A:C,3,FALSE),0),0))))))</f>
        <v/>
      </c>
      <c r="G864" s="7"/>
      <c r="H864" s="8"/>
      <c r="I864" s="8"/>
      <c r="J864" s="78" t="str">
        <f>IF($D864="","",
IF($E864="","",
IF($D864="MATE","",
IF(VLOOKUP($B864,'Baremos actuales'!A:D,4,FALSE)=J$9,$E864*$F864,IF(VLOOKUP($B864,'Baremos anteriores'!A:D,4,FALSE)="Sin Definir",$E864*$F864,"")))))</f>
        <v/>
      </c>
      <c r="K864" s="79" t="str">
        <f>IF($D864="","",
IF($E864="","",
IF($D864="MATE","",
IF(VLOOKUP($B864,'Baremos actuales'!$A:$D,4,FALSE)=K$9,$E864*$F864,IF(VLOOKUP($B864,'Baremos anteriores'!$A:$D,4,FALSE)="Desmonte",$E864*$F864,"")))))</f>
        <v/>
      </c>
      <c r="L864" s="80" t="str">
        <f>IF($D864="","",
IF($E864="","",
IF($D864="MATE","",
IF(VLOOKUP($B864,'Baremos actuales'!$A:$D,4,FALSE)=L$9,$E864*$F864,""))))</f>
        <v/>
      </c>
      <c r="M864" s="91" t="str">
        <f t="shared" si="13"/>
        <v/>
      </c>
      <c r="N864" s="96"/>
      <c r="O864" s="95"/>
      <c r="P864" s="96"/>
      <c r="Q864" s="98"/>
    </row>
    <row r="865" spans="1:17" ht="15.75" x14ac:dyDescent="0.2">
      <c r="A865" s="17"/>
      <c r="B865" s="18"/>
      <c r="C865" s="87" t="str">
        <f>IF(B865="","",
IF(M865=$H$5,IFERROR(VLOOKUP(B865,'Baremos actuales'!A:E,5,FALSE),"No encontrado. Revisar código, fecha ejecución y/o contrato."),
IF(M865=$H$4,IFERROR(VLOOKUP(B865,'Baremos anteriores'!A:E,5,FALSE),"No encontrado. Revisar código, fecha ejecución y/o contrato."),
IF(M865=$H$3,IFERROR(VLOOKUP(B865,#REF!,5,FALSE),"No encontrado. Revisar código, fecha ejecución y/o contrato."),
IF(D865="","Código no encontrado",
IF(D865="ERROR","No encontrado. Revisar Código, fecha de ejecución y/o contrato.",
IF(D865="MATE",
IF(C864="DESCRIPCION","NO SE PUEDE COMENZAR SIN CÓDIGO DE TAREA",
IF(C864="","FALTA CÓDIGO DE TAREA",
CONCATENATE("          ",VLOOKUP(B865,'Maestro Materiales'!A:C,3,FALSE)))),IFERROR(VLOOKUP(B865,#REF!,5,FALSE),"No encontrado. Revisar código, fecha ejecución y/o contrato."))))))))</f>
        <v/>
      </c>
      <c r="D865" s="88" t="str">
        <f>IF(B865="","",
IFERROR(VLOOKUP(B865,'Maestro Materiales'!A:C,2,FALSE),
IFERROR(VLOOKUP(B865,'Baremos actuales'!A:B,2,FALSE),
IFERROR(VLOOKUP(B865,'Baremos anteriores'!A:B,2,FALSE),
""))))</f>
        <v/>
      </c>
      <c r="E865" s="9"/>
      <c r="F865" s="89" t="str">
        <f>IF(D865="MATE",
IF(E865="","¿Unidades?",""),
IF(D865="",IF(E865="","","¿Código?"),
IF(E865="","¿Unidades?",
IF(D865="TARE",
IF(M865=$H$3,IFERROR(VLOOKUP(B865,'Baremos actuales'!A:C,3,FALSE),0),
IF(M865=$H$4,IFERROR(VLOOKUP(B865,'Baremos anteriores'!A:C,3,FALSE),0),0))))))</f>
        <v/>
      </c>
      <c r="G865" s="7"/>
      <c r="H865" s="8"/>
      <c r="I865" s="8"/>
      <c r="J865" s="78" t="str">
        <f>IF($D865="","",
IF($E865="","",
IF($D865="MATE","",
IF(VLOOKUP($B865,'Baremos actuales'!A:D,4,FALSE)=J$9,$E865*$F865,IF(VLOOKUP($B865,'Baremos anteriores'!A:D,4,FALSE)="Sin Definir",$E865*$F865,"")))))</f>
        <v/>
      </c>
      <c r="K865" s="79" t="str">
        <f>IF($D865="","",
IF($E865="","",
IF($D865="MATE","",
IF(VLOOKUP($B865,'Baremos actuales'!$A:$D,4,FALSE)=K$9,$E865*$F865,IF(VLOOKUP($B865,'Baremos anteriores'!$A:$D,4,FALSE)="Desmonte",$E865*$F865,"")))))</f>
        <v/>
      </c>
      <c r="L865" s="80" t="str">
        <f>IF($D865="","",
IF($E865="","",
IF($D865="MATE","",
IF(VLOOKUP($B865,'Baremos actuales'!$A:$D,4,FALSE)=L$9,$E865*$F865,""))))</f>
        <v/>
      </c>
      <c r="M865" s="91" t="str">
        <f t="shared" si="13"/>
        <v/>
      </c>
      <c r="N865" s="96"/>
      <c r="O865" s="95"/>
      <c r="P865" s="96"/>
      <c r="Q865" s="98"/>
    </row>
    <row r="866" spans="1:17" ht="15.75" x14ac:dyDescent="0.2">
      <c r="A866" s="17"/>
      <c r="B866" s="18"/>
      <c r="C866" s="87" t="str">
        <f>IF(B866="","",
IF(M866=$H$5,IFERROR(VLOOKUP(B866,'Baremos actuales'!A:E,5,FALSE),"No encontrado. Revisar código, fecha ejecución y/o contrato."),
IF(M866=$H$4,IFERROR(VLOOKUP(B866,'Baremos anteriores'!A:E,5,FALSE),"No encontrado. Revisar código, fecha ejecución y/o contrato."),
IF(M866=$H$3,IFERROR(VLOOKUP(B866,#REF!,5,FALSE),"No encontrado. Revisar código, fecha ejecución y/o contrato."),
IF(D866="","Código no encontrado",
IF(D866="ERROR","No encontrado. Revisar Código, fecha de ejecución y/o contrato.",
IF(D866="MATE",
IF(C865="DESCRIPCION","NO SE PUEDE COMENZAR SIN CÓDIGO DE TAREA",
IF(C865="","FALTA CÓDIGO DE TAREA",
CONCATENATE("          ",VLOOKUP(B866,'Maestro Materiales'!A:C,3,FALSE)))),IFERROR(VLOOKUP(B866,#REF!,5,FALSE),"No encontrado. Revisar código, fecha ejecución y/o contrato."))))))))</f>
        <v/>
      </c>
      <c r="D866" s="88" t="str">
        <f>IF(B866="","",
IFERROR(VLOOKUP(B866,'Maestro Materiales'!A:C,2,FALSE),
IFERROR(VLOOKUP(B866,'Baremos actuales'!A:B,2,FALSE),
IFERROR(VLOOKUP(B866,'Baremos anteriores'!A:B,2,FALSE),
""))))</f>
        <v/>
      </c>
      <c r="E866" s="9"/>
      <c r="F866" s="89" t="str">
        <f>IF(D866="MATE",
IF(E866="","¿Unidades?",""),
IF(D866="",IF(E866="","","¿Código?"),
IF(E866="","¿Unidades?",
IF(D866="TARE",
IF(M866=$H$3,IFERROR(VLOOKUP(B866,'Baremos actuales'!A:C,3,FALSE),0),
IF(M866=$H$4,IFERROR(VLOOKUP(B866,'Baremos anteriores'!A:C,3,FALSE),0),0))))))</f>
        <v/>
      </c>
      <c r="G866" s="7"/>
      <c r="H866" s="8"/>
      <c r="I866" s="8"/>
      <c r="J866" s="78" t="str">
        <f>IF($D866="","",
IF($E866="","",
IF($D866="MATE","",
IF(VLOOKUP($B866,'Baremos actuales'!A:D,4,FALSE)=J$9,$E866*$F866,IF(VLOOKUP($B866,'Baremos anteriores'!A:D,4,FALSE)="Sin Definir",$E866*$F866,"")))))</f>
        <v/>
      </c>
      <c r="K866" s="79" t="str">
        <f>IF($D866="","",
IF($E866="","",
IF($D866="MATE","",
IF(VLOOKUP($B866,'Baremos actuales'!$A:$D,4,FALSE)=K$9,$E866*$F866,IF(VLOOKUP($B866,'Baremos anteriores'!$A:$D,4,FALSE)="Desmonte",$E866*$F866,"")))))</f>
        <v/>
      </c>
      <c r="L866" s="80" t="str">
        <f>IF($D866="","",
IF($E866="","",
IF($D866="MATE","",
IF(VLOOKUP($B866,'Baremos actuales'!$A:$D,4,FALSE)=L$9,$E866*$F866,""))))</f>
        <v/>
      </c>
      <c r="M866" s="91" t="str">
        <f t="shared" si="13"/>
        <v/>
      </c>
      <c r="N866" s="96"/>
      <c r="O866" s="95"/>
      <c r="P866" s="96"/>
      <c r="Q866" s="98"/>
    </row>
    <row r="867" spans="1:17" ht="15.75" x14ac:dyDescent="0.2">
      <c r="A867" s="17"/>
      <c r="B867" s="18"/>
      <c r="C867" s="87" t="str">
        <f>IF(B867="","",
IF(M867=$H$5,IFERROR(VLOOKUP(B867,'Baremos actuales'!A:E,5,FALSE),"No encontrado. Revisar código, fecha ejecución y/o contrato."),
IF(M867=$H$4,IFERROR(VLOOKUP(B867,'Baremos anteriores'!A:E,5,FALSE),"No encontrado. Revisar código, fecha ejecución y/o contrato."),
IF(M867=$H$3,IFERROR(VLOOKUP(B867,#REF!,5,FALSE),"No encontrado. Revisar código, fecha ejecución y/o contrato."),
IF(D867="","Código no encontrado",
IF(D867="ERROR","No encontrado. Revisar Código, fecha de ejecución y/o contrato.",
IF(D867="MATE",
IF(C866="DESCRIPCION","NO SE PUEDE COMENZAR SIN CÓDIGO DE TAREA",
IF(C866="","FALTA CÓDIGO DE TAREA",
CONCATENATE("          ",VLOOKUP(B867,'Maestro Materiales'!A:C,3,FALSE)))),IFERROR(VLOOKUP(B867,#REF!,5,FALSE),"No encontrado. Revisar código, fecha ejecución y/o contrato."))))))))</f>
        <v/>
      </c>
      <c r="D867" s="88" t="str">
        <f>IF(B867="","",
IFERROR(VLOOKUP(B867,'Maestro Materiales'!A:C,2,FALSE),
IFERROR(VLOOKUP(B867,'Baremos actuales'!A:B,2,FALSE),
IFERROR(VLOOKUP(B867,'Baremos anteriores'!A:B,2,FALSE),
""))))</f>
        <v/>
      </c>
      <c r="E867" s="9"/>
      <c r="F867" s="89" t="str">
        <f>IF(D867="MATE",
IF(E867="","¿Unidades?",""),
IF(D867="",IF(E867="","","¿Código?"),
IF(E867="","¿Unidades?",
IF(D867="TARE",
IF(M867=$H$3,IFERROR(VLOOKUP(B867,'Baremos actuales'!A:C,3,FALSE),0),
IF(M867=$H$4,IFERROR(VLOOKUP(B867,'Baremos anteriores'!A:C,3,FALSE),0),0))))))</f>
        <v/>
      </c>
      <c r="G867" s="7"/>
      <c r="H867" s="8"/>
      <c r="I867" s="8"/>
      <c r="J867" s="78" t="str">
        <f>IF($D867="","",
IF($E867="","",
IF($D867="MATE","",
IF(VLOOKUP($B867,'Baremos actuales'!A:D,4,FALSE)=J$9,$E867*$F867,IF(VLOOKUP($B867,'Baremos anteriores'!A:D,4,FALSE)="Sin Definir",$E867*$F867,"")))))</f>
        <v/>
      </c>
      <c r="K867" s="79" t="str">
        <f>IF($D867="","",
IF($E867="","",
IF($D867="MATE","",
IF(VLOOKUP($B867,'Baremos actuales'!$A:$D,4,FALSE)=K$9,$E867*$F867,IF(VLOOKUP($B867,'Baremos anteriores'!$A:$D,4,FALSE)="Desmonte",$E867*$F867,"")))))</f>
        <v/>
      </c>
      <c r="L867" s="80" t="str">
        <f>IF($D867="","",
IF($E867="","",
IF($D867="MATE","",
IF(VLOOKUP($B867,'Baremos actuales'!$A:$D,4,FALSE)=L$9,$E867*$F867,""))))</f>
        <v/>
      </c>
      <c r="M867" s="91" t="str">
        <f t="shared" si="13"/>
        <v/>
      </c>
      <c r="N867" s="96"/>
      <c r="O867" s="95"/>
      <c r="P867" s="96"/>
      <c r="Q867" s="98"/>
    </row>
    <row r="868" spans="1:17" ht="15.75" x14ac:dyDescent="0.2">
      <c r="A868" s="17"/>
      <c r="B868" s="18"/>
      <c r="C868" s="87" t="str">
        <f>IF(B868="","",
IF(M868=$H$5,IFERROR(VLOOKUP(B868,'Baremos actuales'!A:E,5,FALSE),"No encontrado. Revisar código, fecha ejecución y/o contrato."),
IF(M868=$H$4,IFERROR(VLOOKUP(B868,'Baremos anteriores'!A:E,5,FALSE),"No encontrado. Revisar código, fecha ejecución y/o contrato."),
IF(M868=$H$3,IFERROR(VLOOKUP(B868,#REF!,5,FALSE),"No encontrado. Revisar código, fecha ejecución y/o contrato."),
IF(D868="","Código no encontrado",
IF(D868="ERROR","No encontrado. Revisar Código, fecha de ejecución y/o contrato.",
IF(D868="MATE",
IF(C867="DESCRIPCION","NO SE PUEDE COMENZAR SIN CÓDIGO DE TAREA",
IF(C867="","FALTA CÓDIGO DE TAREA",
CONCATENATE("          ",VLOOKUP(B868,'Maestro Materiales'!A:C,3,FALSE)))),IFERROR(VLOOKUP(B868,#REF!,5,FALSE),"No encontrado. Revisar código, fecha ejecución y/o contrato."))))))))</f>
        <v/>
      </c>
      <c r="D868" s="88" t="str">
        <f>IF(B868="","",
IFERROR(VLOOKUP(B868,'Maestro Materiales'!A:C,2,FALSE),
IFERROR(VLOOKUP(B868,'Baremos actuales'!A:B,2,FALSE),
IFERROR(VLOOKUP(B868,'Baremos anteriores'!A:B,2,FALSE),
""))))</f>
        <v/>
      </c>
      <c r="E868" s="9"/>
      <c r="F868" s="89" t="str">
        <f>IF(D868="MATE",
IF(E868="","¿Unidades?",""),
IF(D868="",IF(E868="","","¿Código?"),
IF(E868="","¿Unidades?",
IF(D868="TARE",
IF(M868=$H$3,IFERROR(VLOOKUP(B868,'Baremos actuales'!A:C,3,FALSE),0),
IF(M868=$H$4,IFERROR(VLOOKUP(B868,'Baremos anteriores'!A:C,3,FALSE),0),0))))))</f>
        <v/>
      </c>
      <c r="G868" s="7"/>
      <c r="H868" s="8"/>
      <c r="I868" s="8"/>
      <c r="J868" s="78" t="str">
        <f>IF($D868="","",
IF($E868="","",
IF($D868="MATE","",
IF(VLOOKUP($B868,'Baremos actuales'!A:D,4,FALSE)=J$9,$E868*$F868,IF(VLOOKUP($B868,'Baremos anteriores'!A:D,4,FALSE)="Sin Definir",$E868*$F868,"")))))</f>
        <v/>
      </c>
      <c r="K868" s="79" t="str">
        <f>IF($D868="","",
IF($E868="","",
IF($D868="MATE","",
IF(VLOOKUP($B868,'Baremos actuales'!$A:$D,4,FALSE)=K$9,$E868*$F868,IF(VLOOKUP($B868,'Baremos anteriores'!$A:$D,4,FALSE)="Desmonte",$E868*$F868,"")))))</f>
        <v/>
      </c>
      <c r="L868" s="80" t="str">
        <f>IF($D868="","",
IF($E868="","",
IF($D868="MATE","",
IF(VLOOKUP($B868,'Baremos actuales'!$A:$D,4,FALSE)=L$9,$E868*$F868,""))))</f>
        <v/>
      </c>
      <c r="M868" s="91" t="str">
        <f t="shared" si="13"/>
        <v/>
      </c>
      <c r="N868" s="96"/>
      <c r="O868" s="95"/>
      <c r="P868" s="96"/>
      <c r="Q868" s="98"/>
    </row>
    <row r="869" spans="1:17" ht="15.75" x14ac:dyDescent="0.2">
      <c r="A869" s="17"/>
      <c r="B869" s="18"/>
      <c r="C869" s="87" t="str">
        <f>IF(B869="","",
IF(M869=$H$5,IFERROR(VLOOKUP(B869,'Baremos actuales'!A:E,5,FALSE),"No encontrado. Revisar código, fecha ejecución y/o contrato."),
IF(M869=$H$4,IFERROR(VLOOKUP(B869,'Baremos anteriores'!A:E,5,FALSE),"No encontrado. Revisar código, fecha ejecución y/o contrato."),
IF(M869=$H$3,IFERROR(VLOOKUP(B869,#REF!,5,FALSE),"No encontrado. Revisar código, fecha ejecución y/o contrato."),
IF(D869="","Código no encontrado",
IF(D869="ERROR","No encontrado. Revisar Código, fecha de ejecución y/o contrato.",
IF(D869="MATE",
IF(C868="DESCRIPCION","NO SE PUEDE COMENZAR SIN CÓDIGO DE TAREA",
IF(C868="","FALTA CÓDIGO DE TAREA",
CONCATENATE("          ",VLOOKUP(B869,'Maestro Materiales'!A:C,3,FALSE)))),IFERROR(VLOOKUP(B869,#REF!,5,FALSE),"No encontrado. Revisar código, fecha ejecución y/o contrato."))))))))</f>
        <v/>
      </c>
      <c r="D869" s="88" t="str">
        <f>IF(B869="","",
IFERROR(VLOOKUP(B869,'Maestro Materiales'!A:C,2,FALSE),
IFERROR(VLOOKUP(B869,'Baremos actuales'!A:B,2,FALSE),
IFERROR(VLOOKUP(B869,'Baremos anteriores'!A:B,2,FALSE),
""))))</f>
        <v/>
      </c>
      <c r="E869" s="9"/>
      <c r="F869" s="89" t="str">
        <f>IF(D869="MATE",
IF(E869="","¿Unidades?",""),
IF(D869="",IF(E869="","","¿Código?"),
IF(E869="","¿Unidades?",
IF(D869="TARE",
IF(M869=$H$3,IFERROR(VLOOKUP(B869,'Baremos actuales'!A:C,3,FALSE),0),
IF(M869=$H$4,IFERROR(VLOOKUP(B869,'Baremos anteriores'!A:C,3,FALSE),0),0))))))</f>
        <v/>
      </c>
      <c r="G869" s="7"/>
      <c r="H869" s="8"/>
      <c r="I869" s="8"/>
      <c r="J869" s="78" t="str">
        <f>IF($D869="","",
IF($E869="","",
IF($D869="MATE","",
IF(VLOOKUP($B869,'Baremos actuales'!A:D,4,FALSE)=J$9,$E869*$F869,IF(VLOOKUP($B869,'Baremos anteriores'!A:D,4,FALSE)="Sin Definir",$E869*$F869,"")))))</f>
        <v/>
      </c>
      <c r="K869" s="79" t="str">
        <f>IF($D869="","",
IF($E869="","",
IF($D869="MATE","",
IF(VLOOKUP($B869,'Baremos actuales'!$A:$D,4,FALSE)=K$9,$E869*$F869,IF(VLOOKUP($B869,'Baremos anteriores'!$A:$D,4,FALSE)="Desmonte",$E869*$F869,"")))))</f>
        <v/>
      </c>
      <c r="L869" s="80" t="str">
        <f>IF($D869="","",
IF($E869="","",
IF($D869="MATE","",
IF(VLOOKUP($B869,'Baremos actuales'!$A:$D,4,FALSE)=L$9,$E869*$F869,""))))</f>
        <v/>
      </c>
      <c r="M869" s="91" t="str">
        <f t="shared" si="13"/>
        <v/>
      </c>
      <c r="N869" s="96"/>
      <c r="O869" s="95"/>
      <c r="P869" s="96"/>
      <c r="Q869" s="98"/>
    </row>
    <row r="870" spans="1:17" ht="15.75" x14ac:dyDescent="0.2">
      <c r="A870" s="17"/>
      <c r="B870" s="18"/>
      <c r="C870" s="87" t="str">
        <f>IF(B870="","",
IF(M870=$H$5,IFERROR(VLOOKUP(B870,'Baremos actuales'!A:E,5,FALSE),"No encontrado. Revisar código, fecha ejecución y/o contrato."),
IF(M870=$H$4,IFERROR(VLOOKUP(B870,'Baremos anteriores'!A:E,5,FALSE),"No encontrado. Revisar código, fecha ejecución y/o contrato."),
IF(M870=$H$3,IFERROR(VLOOKUP(B870,#REF!,5,FALSE),"No encontrado. Revisar código, fecha ejecución y/o contrato."),
IF(D870="","Código no encontrado",
IF(D870="ERROR","No encontrado. Revisar Código, fecha de ejecución y/o contrato.",
IF(D870="MATE",
IF(C869="DESCRIPCION","NO SE PUEDE COMENZAR SIN CÓDIGO DE TAREA",
IF(C869="","FALTA CÓDIGO DE TAREA",
CONCATENATE("          ",VLOOKUP(B870,'Maestro Materiales'!A:C,3,FALSE)))),IFERROR(VLOOKUP(B870,#REF!,5,FALSE),"No encontrado. Revisar código, fecha ejecución y/o contrato."))))))))</f>
        <v/>
      </c>
      <c r="D870" s="88" t="str">
        <f>IF(B870="","",
IFERROR(VLOOKUP(B870,'Maestro Materiales'!A:C,2,FALSE),
IFERROR(VLOOKUP(B870,'Baremos actuales'!A:B,2,FALSE),
IFERROR(VLOOKUP(B870,'Baremos anteriores'!A:B,2,FALSE),
""))))</f>
        <v/>
      </c>
      <c r="E870" s="9"/>
      <c r="F870" s="89" t="str">
        <f>IF(D870="MATE",
IF(E870="","¿Unidades?",""),
IF(D870="",IF(E870="","","¿Código?"),
IF(E870="","¿Unidades?",
IF(D870="TARE",
IF(M870=$H$3,IFERROR(VLOOKUP(B870,'Baremos actuales'!A:C,3,FALSE),0),
IF(M870=$H$4,IFERROR(VLOOKUP(B870,'Baremos anteriores'!A:C,3,FALSE),0),0))))))</f>
        <v/>
      </c>
      <c r="G870" s="7"/>
      <c r="H870" s="8"/>
      <c r="I870" s="8"/>
      <c r="J870" s="78" t="str">
        <f>IF($D870="","",
IF($E870="","",
IF($D870="MATE","",
IF(VLOOKUP($B870,'Baremos actuales'!A:D,4,FALSE)=J$9,$E870*$F870,IF(VLOOKUP($B870,'Baremos anteriores'!A:D,4,FALSE)="Sin Definir",$E870*$F870,"")))))</f>
        <v/>
      </c>
      <c r="K870" s="79" t="str">
        <f>IF($D870="","",
IF($E870="","",
IF($D870="MATE","",
IF(VLOOKUP($B870,'Baremos actuales'!$A:$D,4,FALSE)=K$9,$E870*$F870,IF(VLOOKUP($B870,'Baremos anteriores'!$A:$D,4,FALSE)="Desmonte",$E870*$F870,"")))))</f>
        <v/>
      </c>
      <c r="L870" s="80" t="str">
        <f>IF($D870="","",
IF($E870="","",
IF($D870="MATE","",
IF(VLOOKUP($B870,'Baremos actuales'!$A:$D,4,FALSE)=L$9,$E870*$F870,""))))</f>
        <v/>
      </c>
      <c r="M870" s="91" t="str">
        <f t="shared" si="13"/>
        <v/>
      </c>
      <c r="N870" s="96"/>
      <c r="O870" s="95"/>
      <c r="P870" s="96"/>
      <c r="Q870" s="98"/>
    </row>
    <row r="871" spans="1:17" ht="15.75" x14ac:dyDescent="0.2">
      <c r="A871" s="17"/>
      <c r="B871" s="18"/>
      <c r="C871" s="87" t="str">
        <f>IF(B871="","",
IF(M871=$H$5,IFERROR(VLOOKUP(B871,'Baremos actuales'!A:E,5,FALSE),"No encontrado. Revisar código, fecha ejecución y/o contrato."),
IF(M871=$H$4,IFERROR(VLOOKUP(B871,'Baremos anteriores'!A:E,5,FALSE),"No encontrado. Revisar código, fecha ejecución y/o contrato."),
IF(M871=$H$3,IFERROR(VLOOKUP(B871,#REF!,5,FALSE),"No encontrado. Revisar código, fecha ejecución y/o contrato."),
IF(D871="","Código no encontrado",
IF(D871="ERROR","No encontrado. Revisar Código, fecha de ejecución y/o contrato.",
IF(D871="MATE",
IF(C870="DESCRIPCION","NO SE PUEDE COMENZAR SIN CÓDIGO DE TAREA",
IF(C870="","FALTA CÓDIGO DE TAREA",
CONCATENATE("          ",VLOOKUP(B871,'Maestro Materiales'!A:C,3,FALSE)))),IFERROR(VLOOKUP(B871,#REF!,5,FALSE),"No encontrado. Revisar código, fecha ejecución y/o contrato."))))))))</f>
        <v/>
      </c>
      <c r="D871" s="88" t="str">
        <f>IF(B871="","",
IFERROR(VLOOKUP(B871,'Maestro Materiales'!A:C,2,FALSE),
IFERROR(VLOOKUP(B871,'Baremos actuales'!A:B,2,FALSE),
IFERROR(VLOOKUP(B871,'Baremos anteriores'!A:B,2,FALSE),
""))))</f>
        <v/>
      </c>
      <c r="E871" s="9"/>
      <c r="F871" s="89" t="str">
        <f>IF(D871="MATE",
IF(E871="","¿Unidades?",""),
IF(D871="",IF(E871="","","¿Código?"),
IF(E871="","¿Unidades?",
IF(D871="TARE",
IF(M871=$H$3,IFERROR(VLOOKUP(B871,'Baremos actuales'!A:C,3,FALSE),0),
IF(M871=$H$4,IFERROR(VLOOKUP(B871,'Baremos anteriores'!A:C,3,FALSE),0),0))))))</f>
        <v/>
      </c>
      <c r="G871" s="7"/>
      <c r="H871" s="8"/>
      <c r="I871" s="8"/>
      <c r="J871" s="78" t="str">
        <f>IF($D871="","",
IF($E871="","",
IF($D871="MATE","",
IF(VLOOKUP($B871,'Baremos actuales'!A:D,4,FALSE)=J$9,$E871*$F871,IF(VLOOKUP($B871,'Baremos anteriores'!A:D,4,FALSE)="Sin Definir",$E871*$F871,"")))))</f>
        <v/>
      </c>
      <c r="K871" s="79" t="str">
        <f>IF($D871="","",
IF($E871="","",
IF($D871="MATE","",
IF(VLOOKUP($B871,'Baremos actuales'!$A:$D,4,FALSE)=K$9,$E871*$F871,IF(VLOOKUP($B871,'Baremos anteriores'!$A:$D,4,FALSE)="Desmonte",$E871*$F871,"")))))</f>
        <v/>
      </c>
      <c r="L871" s="80" t="str">
        <f>IF($D871="","",
IF($E871="","",
IF($D871="MATE","",
IF(VLOOKUP($B871,'Baremos actuales'!$A:$D,4,FALSE)=L$9,$E871*$F871,""))))</f>
        <v/>
      </c>
      <c r="M871" s="91" t="str">
        <f t="shared" si="13"/>
        <v/>
      </c>
      <c r="N871" s="96"/>
      <c r="O871" s="95"/>
      <c r="P871" s="96"/>
      <c r="Q871" s="98"/>
    </row>
    <row r="872" spans="1:17" ht="15.75" x14ac:dyDescent="0.2">
      <c r="A872" s="17"/>
      <c r="B872" s="18"/>
      <c r="C872" s="87" t="str">
        <f>IF(B872="","",
IF(M872=$H$5,IFERROR(VLOOKUP(B872,'Baremos actuales'!A:E,5,FALSE),"No encontrado. Revisar código, fecha ejecución y/o contrato."),
IF(M872=$H$4,IFERROR(VLOOKUP(B872,'Baremos anteriores'!A:E,5,FALSE),"No encontrado. Revisar código, fecha ejecución y/o contrato."),
IF(M872=$H$3,IFERROR(VLOOKUP(B872,#REF!,5,FALSE),"No encontrado. Revisar código, fecha ejecución y/o contrato."),
IF(D872="","Código no encontrado",
IF(D872="ERROR","No encontrado. Revisar Código, fecha de ejecución y/o contrato.",
IF(D872="MATE",
IF(C871="DESCRIPCION","NO SE PUEDE COMENZAR SIN CÓDIGO DE TAREA",
IF(C871="","FALTA CÓDIGO DE TAREA",
CONCATENATE("          ",VLOOKUP(B872,'Maestro Materiales'!A:C,3,FALSE)))),IFERROR(VLOOKUP(B872,#REF!,5,FALSE),"No encontrado. Revisar código, fecha ejecución y/o contrato."))))))))</f>
        <v/>
      </c>
      <c r="D872" s="88" t="str">
        <f>IF(B872="","",
IFERROR(VLOOKUP(B872,'Maestro Materiales'!A:C,2,FALSE),
IFERROR(VLOOKUP(B872,'Baremos actuales'!A:B,2,FALSE),
IFERROR(VLOOKUP(B872,'Baremos anteriores'!A:B,2,FALSE),
""))))</f>
        <v/>
      </c>
      <c r="E872" s="9"/>
      <c r="F872" s="89" t="str">
        <f>IF(D872="MATE",
IF(E872="","¿Unidades?",""),
IF(D872="",IF(E872="","","¿Código?"),
IF(E872="","¿Unidades?",
IF(D872="TARE",
IF(M872=$H$3,IFERROR(VLOOKUP(B872,'Baremos actuales'!A:C,3,FALSE),0),
IF(M872=$H$4,IFERROR(VLOOKUP(B872,'Baremos anteriores'!A:C,3,FALSE),0),0))))))</f>
        <v/>
      </c>
      <c r="G872" s="7"/>
      <c r="H872" s="8"/>
      <c r="I872" s="8"/>
      <c r="J872" s="78" t="str">
        <f>IF($D872="","",
IF($E872="","",
IF($D872="MATE","",
IF(VLOOKUP($B872,'Baremos actuales'!A:D,4,FALSE)=J$9,$E872*$F872,IF(VLOOKUP($B872,'Baremos anteriores'!A:D,4,FALSE)="Sin Definir",$E872*$F872,"")))))</f>
        <v/>
      </c>
      <c r="K872" s="79" t="str">
        <f>IF($D872="","",
IF($E872="","",
IF($D872="MATE","",
IF(VLOOKUP($B872,'Baremos actuales'!$A:$D,4,FALSE)=K$9,$E872*$F872,IF(VLOOKUP($B872,'Baremos anteriores'!$A:$D,4,FALSE)="Desmonte",$E872*$F872,"")))))</f>
        <v/>
      </c>
      <c r="L872" s="80" t="str">
        <f>IF($D872="","",
IF($E872="","",
IF($D872="MATE","",
IF(VLOOKUP($B872,'Baremos actuales'!$A:$D,4,FALSE)=L$9,$E872*$F872,""))))</f>
        <v/>
      </c>
      <c r="M872" s="91" t="str">
        <f t="shared" si="13"/>
        <v/>
      </c>
      <c r="N872" s="96"/>
      <c r="O872" s="95"/>
      <c r="P872" s="96"/>
      <c r="Q872" s="98"/>
    </row>
    <row r="873" spans="1:17" ht="15.75" x14ac:dyDescent="0.2">
      <c r="A873" s="17"/>
      <c r="B873" s="18"/>
      <c r="C873" s="87" t="str">
        <f>IF(B873="","",
IF(M873=$H$5,IFERROR(VLOOKUP(B873,'Baremos actuales'!A:E,5,FALSE),"No encontrado. Revisar código, fecha ejecución y/o contrato."),
IF(M873=$H$4,IFERROR(VLOOKUP(B873,'Baremos anteriores'!A:E,5,FALSE),"No encontrado. Revisar código, fecha ejecución y/o contrato."),
IF(M873=$H$3,IFERROR(VLOOKUP(B873,#REF!,5,FALSE),"No encontrado. Revisar código, fecha ejecución y/o contrato."),
IF(D873="","Código no encontrado",
IF(D873="ERROR","No encontrado. Revisar Código, fecha de ejecución y/o contrato.",
IF(D873="MATE",
IF(C872="DESCRIPCION","NO SE PUEDE COMENZAR SIN CÓDIGO DE TAREA",
IF(C872="","FALTA CÓDIGO DE TAREA",
CONCATENATE("          ",VLOOKUP(B873,'Maestro Materiales'!A:C,3,FALSE)))),IFERROR(VLOOKUP(B873,#REF!,5,FALSE),"No encontrado. Revisar código, fecha ejecución y/o contrato."))))))))</f>
        <v/>
      </c>
      <c r="D873" s="88" t="str">
        <f>IF(B873="","",
IFERROR(VLOOKUP(B873,'Maestro Materiales'!A:C,2,FALSE),
IFERROR(VLOOKUP(B873,'Baremos actuales'!A:B,2,FALSE),
IFERROR(VLOOKUP(B873,'Baremos anteriores'!A:B,2,FALSE),
""))))</f>
        <v/>
      </c>
      <c r="E873" s="9"/>
      <c r="F873" s="89" t="str">
        <f>IF(D873="MATE",
IF(E873="","¿Unidades?",""),
IF(D873="",IF(E873="","","¿Código?"),
IF(E873="","¿Unidades?",
IF(D873="TARE",
IF(M873=$H$3,IFERROR(VLOOKUP(B873,'Baremos actuales'!A:C,3,FALSE),0),
IF(M873=$H$4,IFERROR(VLOOKUP(B873,'Baremos anteriores'!A:C,3,FALSE),0),0))))))</f>
        <v/>
      </c>
      <c r="G873" s="7"/>
      <c r="H873" s="8"/>
      <c r="I873" s="8"/>
      <c r="J873" s="78" t="str">
        <f>IF($D873="","",
IF($E873="","",
IF($D873="MATE","",
IF(VLOOKUP($B873,'Baremos actuales'!A:D,4,FALSE)=J$9,$E873*$F873,IF(VLOOKUP($B873,'Baremos anteriores'!A:D,4,FALSE)="Sin Definir",$E873*$F873,"")))))</f>
        <v/>
      </c>
      <c r="K873" s="79" t="str">
        <f>IF($D873="","",
IF($E873="","",
IF($D873="MATE","",
IF(VLOOKUP($B873,'Baremos actuales'!$A:$D,4,FALSE)=K$9,$E873*$F873,IF(VLOOKUP($B873,'Baremos anteriores'!$A:$D,4,FALSE)="Desmonte",$E873*$F873,"")))))</f>
        <v/>
      </c>
      <c r="L873" s="80" t="str">
        <f>IF($D873="","",
IF($E873="","",
IF($D873="MATE","",
IF(VLOOKUP($B873,'Baremos actuales'!$A:$D,4,FALSE)=L$9,$E873*$F873,""))))</f>
        <v/>
      </c>
      <c r="M873" s="91" t="str">
        <f t="shared" si="13"/>
        <v/>
      </c>
      <c r="N873" s="96"/>
      <c r="O873" s="95"/>
      <c r="P873" s="96"/>
      <c r="Q873" s="98"/>
    </row>
    <row r="874" spans="1:17" ht="15.75" x14ac:dyDescent="0.2">
      <c r="A874" s="17"/>
      <c r="B874" s="18"/>
      <c r="C874" s="87" t="str">
        <f>IF(B874="","",
IF(M874=$H$5,IFERROR(VLOOKUP(B874,'Baremos actuales'!A:E,5,FALSE),"No encontrado. Revisar código, fecha ejecución y/o contrato."),
IF(M874=$H$4,IFERROR(VLOOKUP(B874,'Baremos anteriores'!A:E,5,FALSE),"No encontrado. Revisar código, fecha ejecución y/o contrato."),
IF(M874=$H$3,IFERROR(VLOOKUP(B874,#REF!,5,FALSE),"No encontrado. Revisar código, fecha ejecución y/o contrato."),
IF(D874="","Código no encontrado",
IF(D874="ERROR","No encontrado. Revisar Código, fecha de ejecución y/o contrato.",
IF(D874="MATE",
IF(C873="DESCRIPCION","NO SE PUEDE COMENZAR SIN CÓDIGO DE TAREA",
IF(C873="","FALTA CÓDIGO DE TAREA",
CONCATENATE("          ",VLOOKUP(B874,'Maestro Materiales'!A:C,3,FALSE)))),IFERROR(VLOOKUP(B874,#REF!,5,FALSE),"No encontrado. Revisar código, fecha ejecución y/o contrato."))))))))</f>
        <v/>
      </c>
      <c r="D874" s="88" t="str">
        <f>IF(B874="","",
IFERROR(VLOOKUP(B874,'Maestro Materiales'!A:C,2,FALSE),
IFERROR(VLOOKUP(B874,'Baremos actuales'!A:B,2,FALSE),
IFERROR(VLOOKUP(B874,'Baremos anteriores'!A:B,2,FALSE),
""))))</f>
        <v/>
      </c>
      <c r="E874" s="9"/>
      <c r="F874" s="89" t="str">
        <f>IF(D874="MATE",
IF(E874="","¿Unidades?",""),
IF(D874="",IF(E874="","","¿Código?"),
IF(E874="","¿Unidades?",
IF(D874="TARE",
IF(M874=$H$3,IFERROR(VLOOKUP(B874,'Baremos actuales'!A:C,3,FALSE),0),
IF(M874=$H$4,IFERROR(VLOOKUP(B874,'Baremos anteriores'!A:C,3,FALSE),0),0))))))</f>
        <v/>
      </c>
      <c r="G874" s="7"/>
      <c r="H874" s="8"/>
      <c r="I874" s="8"/>
      <c r="J874" s="78" t="str">
        <f>IF($D874="","",
IF($E874="","",
IF($D874="MATE","",
IF(VLOOKUP($B874,'Baremos actuales'!A:D,4,FALSE)=J$9,$E874*$F874,IF(VLOOKUP($B874,'Baremos anteriores'!A:D,4,FALSE)="Sin Definir",$E874*$F874,"")))))</f>
        <v/>
      </c>
      <c r="K874" s="79" t="str">
        <f>IF($D874="","",
IF($E874="","",
IF($D874="MATE","",
IF(VLOOKUP($B874,'Baremos actuales'!$A:$D,4,FALSE)=K$9,$E874*$F874,IF(VLOOKUP($B874,'Baremos anteriores'!$A:$D,4,FALSE)="Desmonte",$E874*$F874,"")))))</f>
        <v/>
      </c>
      <c r="L874" s="80" t="str">
        <f>IF($D874="","",
IF($E874="","",
IF($D874="MATE","",
IF(VLOOKUP($B874,'Baremos actuales'!$A:$D,4,FALSE)=L$9,$E874*$F874,""))))</f>
        <v/>
      </c>
      <c r="M874" s="91" t="str">
        <f t="shared" si="13"/>
        <v/>
      </c>
      <c r="N874" s="96"/>
      <c r="O874" s="95"/>
      <c r="P874" s="96"/>
      <c r="Q874" s="98"/>
    </row>
    <row r="875" spans="1:17" ht="15.75" x14ac:dyDescent="0.2">
      <c r="A875" s="17"/>
      <c r="B875" s="18"/>
      <c r="C875" s="87" t="str">
        <f>IF(B875="","",
IF(M875=$H$5,IFERROR(VLOOKUP(B875,'Baremos actuales'!A:E,5,FALSE),"No encontrado. Revisar código, fecha ejecución y/o contrato."),
IF(M875=$H$4,IFERROR(VLOOKUP(B875,'Baremos anteriores'!A:E,5,FALSE),"No encontrado. Revisar código, fecha ejecución y/o contrato."),
IF(M875=$H$3,IFERROR(VLOOKUP(B875,#REF!,5,FALSE),"No encontrado. Revisar código, fecha ejecución y/o contrato."),
IF(D875="","Código no encontrado",
IF(D875="ERROR","No encontrado. Revisar Código, fecha de ejecución y/o contrato.",
IF(D875="MATE",
IF(C874="DESCRIPCION","NO SE PUEDE COMENZAR SIN CÓDIGO DE TAREA",
IF(C874="","FALTA CÓDIGO DE TAREA",
CONCATENATE("          ",VLOOKUP(B875,'Maestro Materiales'!A:C,3,FALSE)))),IFERROR(VLOOKUP(B875,#REF!,5,FALSE),"No encontrado. Revisar código, fecha ejecución y/o contrato."))))))))</f>
        <v/>
      </c>
      <c r="D875" s="88" t="str">
        <f>IF(B875="","",
IFERROR(VLOOKUP(B875,'Maestro Materiales'!A:C,2,FALSE),
IFERROR(VLOOKUP(B875,'Baremos actuales'!A:B,2,FALSE),
IFERROR(VLOOKUP(B875,'Baremos anteriores'!A:B,2,FALSE),
""))))</f>
        <v/>
      </c>
      <c r="E875" s="9"/>
      <c r="F875" s="89" t="str">
        <f>IF(D875="MATE",
IF(E875="","¿Unidades?",""),
IF(D875="",IF(E875="","","¿Código?"),
IF(E875="","¿Unidades?",
IF(D875="TARE",
IF(M875=$H$3,IFERROR(VLOOKUP(B875,'Baremos actuales'!A:C,3,FALSE),0),
IF(M875=$H$4,IFERROR(VLOOKUP(B875,'Baremos anteriores'!A:C,3,FALSE),0),0))))))</f>
        <v/>
      </c>
      <c r="G875" s="7"/>
      <c r="H875" s="8"/>
      <c r="I875" s="8"/>
      <c r="J875" s="78" t="str">
        <f>IF($D875="","",
IF($E875="","",
IF($D875="MATE","",
IF(VLOOKUP($B875,'Baremos actuales'!A:D,4,FALSE)=J$9,$E875*$F875,IF(VLOOKUP($B875,'Baremos anteriores'!A:D,4,FALSE)="Sin Definir",$E875*$F875,"")))))</f>
        <v/>
      </c>
      <c r="K875" s="79" t="str">
        <f>IF($D875="","",
IF($E875="","",
IF($D875="MATE","",
IF(VLOOKUP($B875,'Baremos actuales'!$A:$D,4,FALSE)=K$9,$E875*$F875,IF(VLOOKUP($B875,'Baremos anteriores'!$A:$D,4,FALSE)="Desmonte",$E875*$F875,"")))))</f>
        <v/>
      </c>
      <c r="L875" s="80" t="str">
        <f>IF($D875="","",
IF($E875="","",
IF($D875="MATE","",
IF(VLOOKUP($B875,'Baremos actuales'!$A:$D,4,FALSE)=L$9,$E875*$F875,""))))</f>
        <v/>
      </c>
      <c r="M875" s="91" t="str">
        <f t="shared" si="13"/>
        <v/>
      </c>
      <c r="N875" s="96"/>
      <c r="O875" s="95"/>
      <c r="P875" s="96"/>
      <c r="Q875" s="98"/>
    </row>
    <row r="876" spans="1:17" ht="15.75" x14ac:dyDescent="0.2">
      <c r="A876" s="17"/>
      <c r="B876" s="18"/>
      <c r="C876" s="87" t="str">
        <f>IF(B876="","",
IF(M876=$H$5,IFERROR(VLOOKUP(B876,'Baremos actuales'!A:E,5,FALSE),"No encontrado. Revisar código, fecha ejecución y/o contrato."),
IF(M876=$H$4,IFERROR(VLOOKUP(B876,'Baremos anteriores'!A:E,5,FALSE),"No encontrado. Revisar código, fecha ejecución y/o contrato."),
IF(M876=$H$3,IFERROR(VLOOKUP(B876,#REF!,5,FALSE),"No encontrado. Revisar código, fecha ejecución y/o contrato."),
IF(D876="","Código no encontrado",
IF(D876="ERROR","No encontrado. Revisar Código, fecha de ejecución y/o contrato.",
IF(D876="MATE",
IF(C875="DESCRIPCION","NO SE PUEDE COMENZAR SIN CÓDIGO DE TAREA",
IF(C875="","FALTA CÓDIGO DE TAREA",
CONCATENATE("          ",VLOOKUP(B876,'Maestro Materiales'!A:C,3,FALSE)))),IFERROR(VLOOKUP(B876,#REF!,5,FALSE),"No encontrado. Revisar código, fecha ejecución y/o contrato."))))))))</f>
        <v/>
      </c>
      <c r="D876" s="88" t="str">
        <f>IF(B876="","",
IFERROR(VLOOKUP(B876,'Maestro Materiales'!A:C,2,FALSE),
IFERROR(VLOOKUP(B876,'Baremos actuales'!A:B,2,FALSE),
IFERROR(VLOOKUP(B876,'Baremos anteriores'!A:B,2,FALSE),
""))))</f>
        <v/>
      </c>
      <c r="E876" s="9"/>
      <c r="F876" s="89" t="str">
        <f>IF(D876="MATE",
IF(E876="","¿Unidades?",""),
IF(D876="",IF(E876="","","¿Código?"),
IF(E876="","¿Unidades?",
IF(D876="TARE",
IF(M876=$H$3,IFERROR(VLOOKUP(B876,'Baremos actuales'!A:C,3,FALSE),0),
IF(M876=$H$4,IFERROR(VLOOKUP(B876,'Baremos anteriores'!A:C,3,FALSE),0),0))))))</f>
        <v/>
      </c>
      <c r="G876" s="7"/>
      <c r="H876" s="8"/>
      <c r="I876" s="8"/>
      <c r="J876" s="78" t="str">
        <f>IF($D876="","",
IF($E876="","",
IF($D876="MATE","",
IF(VLOOKUP($B876,'Baremos actuales'!A:D,4,FALSE)=J$9,$E876*$F876,IF(VLOOKUP($B876,'Baremos anteriores'!A:D,4,FALSE)="Sin Definir",$E876*$F876,"")))))</f>
        <v/>
      </c>
      <c r="K876" s="79" t="str">
        <f>IF($D876="","",
IF($E876="","",
IF($D876="MATE","",
IF(VLOOKUP($B876,'Baremos actuales'!$A:$D,4,FALSE)=K$9,$E876*$F876,IF(VLOOKUP($B876,'Baremos anteriores'!$A:$D,4,FALSE)="Desmonte",$E876*$F876,"")))))</f>
        <v/>
      </c>
      <c r="L876" s="80" t="str">
        <f>IF($D876="","",
IF($E876="","",
IF($D876="MATE","",
IF(VLOOKUP($B876,'Baremos actuales'!$A:$D,4,FALSE)=L$9,$E876*$F876,""))))</f>
        <v/>
      </c>
      <c r="M876" s="91" t="str">
        <f t="shared" si="13"/>
        <v/>
      </c>
      <c r="N876" s="96"/>
      <c r="O876" s="95"/>
      <c r="P876" s="96"/>
      <c r="Q876" s="98"/>
    </row>
    <row r="877" spans="1:17" ht="15.75" x14ac:dyDescent="0.2">
      <c r="A877" s="17"/>
      <c r="B877" s="18"/>
      <c r="C877" s="87" t="str">
        <f>IF(B877="","",
IF(M877=$H$5,IFERROR(VLOOKUP(B877,'Baremos actuales'!A:E,5,FALSE),"No encontrado. Revisar código, fecha ejecución y/o contrato."),
IF(M877=$H$4,IFERROR(VLOOKUP(B877,'Baremos anteriores'!A:E,5,FALSE),"No encontrado. Revisar código, fecha ejecución y/o contrato."),
IF(M877=$H$3,IFERROR(VLOOKUP(B877,#REF!,5,FALSE),"No encontrado. Revisar código, fecha ejecución y/o contrato."),
IF(D877="","Código no encontrado",
IF(D877="ERROR","No encontrado. Revisar Código, fecha de ejecución y/o contrato.",
IF(D877="MATE",
IF(C876="DESCRIPCION","NO SE PUEDE COMENZAR SIN CÓDIGO DE TAREA",
IF(C876="","FALTA CÓDIGO DE TAREA",
CONCATENATE("          ",VLOOKUP(B877,'Maestro Materiales'!A:C,3,FALSE)))),IFERROR(VLOOKUP(B877,#REF!,5,FALSE),"No encontrado. Revisar código, fecha ejecución y/o contrato."))))))))</f>
        <v/>
      </c>
      <c r="D877" s="88" t="str">
        <f>IF(B877="","",
IFERROR(VLOOKUP(B877,'Maestro Materiales'!A:C,2,FALSE),
IFERROR(VLOOKUP(B877,'Baremos actuales'!A:B,2,FALSE),
IFERROR(VLOOKUP(B877,'Baremos anteriores'!A:B,2,FALSE),
""))))</f>
        <v/>
      </c>
      <c r="E877" s="9"/>
      <c r="F877" s="89" t="str">
        <f>IF(D877="MATE",
IF(E877="","¿Unidades?",""),
IF(D877="",IF(E877="","","¿Código?"),
IF(E877="","¿Unidades?",
IF(D877="TARE",
IF(M877=$H$3,IFERROR(VLOOKUP(B877,'Baremos actuales'!A:C,3,FALSE),0),
IF(M877=$H$4,IFERROR(VLOOKUP(B877,'Baremos anteriores'!A:C,3,FALSE),0),0))))))</f>
        <v/>
      </c>
      <c r="G877" s="7"/>
      <c r="H877" s="8"/>
      <c r="I877" s="8"/>
      <c r="J877" s="78" t="str">
        <f>IF($D877="","",
IF($E877="","",
IF($D877="MATE","",
IF(VLOOKUP($B877,'Baremos actuales'!A:D,4,FALSE)=J$9,$E877*$F877,IF(VLOOKUP($B877,'Baremos anteriores'!A:D,4,FALSE)="Sin Definir",$E877*$F877,"")))))</f>
        <v/>
      </c>
      <c r="K877" s="79" t="str">
        <f>IF($D877="","",
IF($E877="","",
IF($D877="MATE","",
IF(VLOOKUP($B877,'Baremos actuales'!$A:$D,4,FALSE)=K$9,$E877*$F877,IF(VLOOKUP($B877,'Baremos anteriores'!$A:$D,4,FALSE)="Desmonte",$E877*$F877,"")))))</f>
        <v/>
      </c>
      <c r="L877" s="80" t="str">
        <f>IF($D877="","",
IF($E877="","",
IF($D877="MATE","",
IF(VLOOKUP($B877,'Baremos actuales'!$A:$D,4,FALSE)=L$9,$E877*$F877,""))))</f>
        <v/>
      </c>
      <c r="M877" s="91" t="str">
        <f t="shared" si="13"/>
        <v/>
      </c>
      <c r="N877" s="96"/>
      <c r="O877" s="95"/>
      <c r="P877" s="96"/>
      <c r="Q877" s="98"/>
    </row>
    <row r="878" spans="1:17" ht="15.75" x14ac:dyDescent="0.2">
      <c r="A878" s="17"/>
      <c r="B878" s="18"/>
      <c r="C878" s="87" t="str">
        <f>IF(B878="","",
IF(M878=$H$5,IFERROR(VLOOKUP(B878,'Baremos actuales'!A:E,5,FALSE),"No encontrado. Revisar código, fecha ejecución y/o contrato."),
IF(M878=$H$4,IFERROR(VLOOKUP(B878,'Baremos anteriores'!A:E,5,FALSE),"No encontrado. Revisar código, fecha ejecución y/o contrato."),
IF(M878=$H$3,IFERROR(VLOOKUP(B878,#REF!,5,FALSE),"No encontrado. Revisar código, fecha ejecución y/o contrato."),
IF(D878="","Código no encontrado",
IF(D878="ERROR","No encontrado. Revisar Código, fecha de ejecución y/o contrato.",
IF(D878="MATE",
IF(C877="DESCRIPCION","NO SE PUEDE COMENZAR SIN CÓDIGO DE TAREA",
IF(C877="","FALTA CÓDIGO DE TAREA",
CONCATENATE("          ",VLOOKUP(B878,'Maestro Materiales'!A:C,3,FALSE)))),IFERROR(VLOOKUP(B878,#REF!,5,FALSE),"No encontrado. Revisar código, fecha ejecución y/o contrato."))))))))</f>
        <v/>
      </c>
      <c r="D878" s="88" t="str">
        <f>IF(B878="","",
IFERROR(VLOOKUP(B878,'Maestro Materiales'!A:C,2,FALSE),
IFERROR(VLOOKUP(B878,'Baremos actuales'!A:B,2,FALSE),
IFERROR(VLOOKUP(B878,'Baremos anteriores'!A:B,2,FALSE),
""))))</f>
        <v/>
      </c>
      <c r="E878" s="9"/>
      <c r="F878" s="89" t="str">
        <f>IF(D878="MATE",
IF(E878="","¿Unidades?",""),
IF(D878="",IF(E878="","","¿Código?"),
IF(E878="","¿Unidades?",
IF(D878="TARE",
IF(M878=$H$3,IFERROR(VLOOKUP(B878,'Baremos actuales'!A:C,3,FALSE),0),
IF(M878=$H$4,IFERROR(VLOOKUP(B878,'Baremos anteriores'!A:C,3,FALSE),0),0))))))</f>
        <v/>
      </c>
      <c r="G878" s="7"/>
      <c r="H878" s="8"/>
      <c r="I878" s="8"/>
      <c r="J878" s="78" t="str">
        <f>IF($D878="","",
IF($E878="","",
IF($D878="MATE","",
IF(VLOOKUP($B878,'Baremos actuales'!A:D,4,FALSE)=J$9,$E878*$F878,IF(VLOOKUP($B878,'Baremos anteriores'!A:D,4,FALSE)="Sin Definir",$E878*$F878,"")))))</f>
        <v/>
      </c>
      <c r="K878" s="79" t="str">
        <f>IF($D878="","",
IF($E878="","",
IF($D878="MATE","",
IF(VLOOKUP($B878,'Baremos actuales'!$A:$D,4,FALSE)=K$9,$E878*$F878,IF(VLOOKUP($B878,'Baremos anteriores'!$A:$D,4,FALSE)="Desmonte",$E878*$F878,"")))))</f>
        <v/>
      </c>
      <c r="L878" s="80" t="str">
        <f>IF($D878="","",
IF($E878="","",
IF($D878="MATE","",
IF(VLOOKUP($B878,'Baremos actuales'!$A:$D,4,FALSE)=L$9,$E878*$F878,""))))</f>
        <v/>
      </c>
      <c r="M878" s="91" t="str">
        <f t="shared" si="13"/>
        <v/>
      </c>
      <c r="N878" s="96"/>
      <c r="O878" s="95"/>
      <c r="P878" s="96"/>
      <c r="Q878" s="98"/>
    </row>
    <row r="879" spans="1:17" ht="15.75" x14ac:dyDescent="0.2">
      <c r="A879" s="17"/>
      <c r="B879" s="18"/>
      <c r="C879" s="87" t="str">
        <f>IF(B879="","",
IF(M879=$H$5,IFERROR(VLOOKUP(B879,'Baremos actuales'!A:E,5,FALSE),"No encontrado. Revisar código, fecha ejecución y/o contrato."),
IF(M879=$H$4,IFERROR(VLOOKUP(B879,'Baremos anteriores'!A:E,5,FALSE),"No encontrado. Revisar código, fecha ejecución y/o contrato."),
IF(M879=$H$3,IFERROR(VLOOKUP(B879,#REF!,5,FALSE),"No encontrado. Revisar código, fecha ejecución y/o contrato."),
IF(D879="","Código no encontrado",
IF(D879="ERROR","No encontrado. Revisar Código, fecha de ejecución y/o contrato.",
IF(D879="MATE",
IF(C878="DESCRIPCION","NO SE PUEDE COMENZAR SIN CÓDIGO DE TAREA",
IF(C878="","FALTA CÓDIGO DE TAREA",
CONCATENATE("          ",VLOOKUP(B879,'Maestro Materiales'!A:C,3,FALSE)))),IFERROR(VLOOKUP(B879,#REF!,5,FALSE),"No encontrado. Revisar código, fecha ejecución y/o contrato."))))))))</f>
        <v/>
      </c>
      <c r="D879" s="88" t="str">
        <f>IF(B879="","",
IFERROR(VLOOKUP(B879,'Maestro Materiales'!A:C,2,FALSE),
IFERROR(VLOOKUP(B879,'Baremos actuales'!A:B,2,FALSE),
IFERROR(VLOOKUP(B879,'Baremos anteriores'!A:B,2,FALSE),
""))))</f>
        <v/>
      </c>
      <c r="E879" s="9"/>
      <c r="F879" s="89" t="str">
        <f>IF(D879="MATE",
IF(E879="","¿Unidades?",""),
IF(D879="",IF(E879="","","¿Código?"),
IF(E879="","¿Unidades?",
IF(D879="TARE",
IF(M879=$H$3,IFERROR(VLOOKUP(B879,'Baremos actuales'!A:C,3,FALSE),0),
IF(M879=$H$4,IFERROR(VLOOKUP(B879,'Baremos anteriores'!A:C,3,FALSE),0),0))))))</f>
        <v/>
      </c>
      <c r="G879" s="7"/>
      <c r="H879" s="8"/>
      <c r="I879" s="8"/>
      <c r="J879" s="78" t="str">
        <f>IF($D879="","",
IF($E879="","",
IF($D879="MATE","",
IF(VLOOKUP($B879,'Baremos actuales'!A:D,4,FALSE)=J$9,$E879*$F879,IF(VLOOKUP($B879,'Baremos anteriores'!A:D,4,FALSE)="Sin Definir",$E879*$F879,"")))))</f>
        <v/>
      </c>
      <c r="K879" s="79" t="str">
        <f>IF($D879="","",
IF($E879="","",
IF($D879="MATE","",
IF(VLOOKUP($B879,'Baremos actuales'!$A:$D,4,FALSE)=K$9,$E879*$F879,IF(VLOOKUP($B879,'Baremos anteriores'!$A:$D,4,FALSE)="Desmonte",$E879*$F879,"")))))</f>
        <v/>
      </c>
      <c r="L879" s="80" t="str">
        <f>IF($D879="","",
IF($E879="","",
IF($D879="MATE","",
IF(VLOOKUP($B879,'Baremos actuales'!$A:$D,4,FALSE)=L$9,$E879*$F879,""))))</f>
        <v/>
      </c>
      <c r="M879" s="91" t="str">
        <f t="shared" si="13"/>
        <v/>
      </c>
      <c r="N879" s="96"/>
      <c r="O879" s="95"/>
      <c r="P879" s="96"/>
      <c r="Q879" s="98"/>
    </row>
    <row r="880" spans="1:17" ht="15.75" x14ac:dyDescent="0.2">
      <c r="A880" s="17"/>
      <c r="B880" s="18"/>
      <c r="C880" s="87" t="str">
        <f>IF(B880="","",
IF(M880=$H$5,IFERROR(VLOOKUP(B880,'Baremos actuales'!A:E,5,FALSE),"No encontrado. Revisar código, fecha ejecución y/o contrato."),
IF(M880=$H$4,IFERROR(VLOOKUP(B880,'Baremos anteriores'!A:E,5,FALSE),"No encontrado. Revisar código, fecha ejecución y/o contrato."),
IF(M880=$H$3,IFERROR(VLOOKUP(B880,#REF!,5,FALSE),"No encontrado. Revisar código, fecha ejecución y/o contrato."),
IF(D880="","Código no encontrado",
IF(D880="ERROR","No encontrado. Revisar Código, fecha de ejecución y/o contrato.",
IF(D880="MATE",
IF(C879="DESCRIPCION","NO SE PUEDE COMENZAR SIN CÓDIGO DE TAREA",
IF(C879="","FALTA CÓDIGO DE TAREA",
CONCATENATE("          ",VLOOKUP(B880,'Maestro Materiales'!A:C,3,FALSE)))),IFERROR(VLOOKUP(B880,#REF!,5,FALSE),"No encontrado. Revisar código, fecha ejecución y/o contrato."))))))))</f>
        <v/>
      </c>
      <c r="D880" s="88" t="str">
        <f>IF(B880="","",
IFERROR(VLOOKUP(B880,'Maestro Materiales'!A:C,2,FALSE),
IFERROR(VLOOKUP(B880,'Baremos actuales'!A:B,2,FALSE),
IFERROR(VLOOKUP(B880,'Baremos anteriores'!A:B,2,FALSE),
""))))</f>
        <v/>
      </c>
      <c r="E880" s="9"/>
      <c r="F880" s="89" t="str">
        <f>IF(D880="MATE",
IF(E880="","¿Unidades?",""),
IF(D880="",IF(E880="","","¿Código?"),
IF(E880="","¿Unidades?",
IF(D880="TARE",
IF(M880=$H$3,IFERROR(VLOOKUP(B880,'Baremos actuales'!A:C,3,FALSE),0),
IF(M880=$H$4,IFERROR(VLOOKUP(B880,'Baremos anteriores'!A:C,3,FALSE),0),0))))))</f>
        <v/>
      </c>
      <c r="G880" s="7"/>
      <c r="H880" s="8"/>
      <c r="I880" s="8"/>
      <c r="J880" s="78" t="str">
        <f>IF($D880="","",
IF($E880="","",
IF($D880="MATE","",
IF(VLOOKUP($B880,'Baremos actuales'!A:D,4,FALSE)=J$9,$E880*$F880,IF(VLOOKUP($B880,'Baremos anteriores'!A:D,4,FALSE)="Sin Definir",$E880*$F880,"")))))</f>
        <v/>
      </c>
      <c r="K880" s="79" t="str">
        <f>IF($D880="","",
IF($E880="","",
IF($D880="MATE","",
IF(VLOOKUP($B880,'Baremos actuales'!$A:$D,4,FALSE)=K$9,$E880*$F880,IF(VLOOKUP($B880,'Baremos anteriores'!$A:$D,4,FALSE)="Desmonte",$E880*$F880,"")))))</f>
        <v/>
      </c>
      <c r="L880" s="80" t="str">
        <f>IF($D880="","",
IF($E880="","",
IF($D880="MATE","",
IF(VLOOKUP($B880,'Baremos actuales'!$A:$D,4,FALSE)=L$9,$E880*$F880,""))))</f>
        <v/>
      </c>
      <c r="M880" s="91" t="str">
        <f t="shared" si="13"/>
        <v/>
      </c>
      <c r="N880" s="96"/>
      <c r="O880" s="95"/>
      <c r="P880" s="96"/>
      <c r="Q880" s="98"/>
    </row>
    <row r="881" spans="1:17" ht="15.75" x14ac:dyDescent="0.2">
      <c r="A881" s="17"/>
      <c r="B881" s="18"/>
      <c r="C881" s="87" t="str">
        <f>IF(B881="","",
IF(M881=$H$5,IFERROR(VLOOKUP(B881,'Baremos actuales'!A:E,5,FALSE),"No encontrado. Revisar código, fecha ejecución y/o contrato."),
IF(M881=$H$4,IFERROR(VLOOKUP(B881,'Baremos anteriores'!A:E,5,FALSE),"No encontrado. Revisar código, fecha ejecución y/o contrato."),
IF(M881=$H$3,IFERROR(VLOOKUP(B881,#REF!,5,FALSE),"No encontrado. Revisar código, fecha ejecución y/o contrato."),
IF(D881="","Código no encontrado",
IF(D881="ERROR","No encontrado. Revisar Código, fecha de ejecución y/o contrato.",
IF(D881="MATE",
IF(C880="DESCRIPCION","NO SE PUEDE COMENZAR SIN CÓDIGO DE TAREA",
IF(C880="","FALTA CÓDIGO DE TAREA",
CONCATENATE("          ",VLOOKUP(B881,'Maestro Materiales'!A:C,3,FALSE)))),IFERROR(VLOOKUP(B881,#REF!,5,FALSE),"No encontrado. Revisar código, fecha ejecución y/o contrato."))))))))</f>
        <v/>
      </c>
      <c r="D881" s="88" t="str">
        <f>IF(B881="","",
IFERROR(VLOOKUP(B881,'Maestro Materiales'!A:C,2,FALSE),
IFERROR(VLOOKUP(B881,'Baremos actuales'!A:B,2,FALSE),
IFERROR(VLOOKUP(B881,'Baremos anteriores'!A:B,2,FALSE),
""))))</f>
        <v/>
      </c>
      <c r="E881" s="9"/>
      <c r="F881" s="89" t="str">
        <f>IF(D881="MATE",
IF(E881="","¿Unidades?",""),
IF(D881="",IF(E881="","","¿Código?"),
IF(E881="","¿Unidades?",
IF(D881="TARE",
IF(M881=$H$3,IFERROR(VLOOKUP(B881,'Baremos actuales'!A:C,3,FALSE),0),
IF(M881=$H$4,IFERROR(VLOOKUP(B881,'Baremos anteriores'!A:C,3,FALSE),0),0))))))</f>
        <v/>
      </c>
      <c r="G881" s="7"/>
      <c r="H881" s="8"/>
      <c r="I881" s="8"/>
      <c r="J881" s="78" t="str">
        <f>IF($D881="","",
IF($E881="","",
IF($D881="MATE","",
IF(VLOOKUP($B881,'Baremos actuales'!A:D,4,FALSE)=J$9,$E881*$F881,IF(VLOOKUP($B881,'Baremos anteriores'!A:D,4,FALSE)="Sin Definir",$E881*$F881,"")))))</f>
        <v/>
      </c>
      <c r="K881" s="79" t="str">
        <f>IF($D881="","",
IF($E881="","",
IF($D881="MATE","",
IF(VLOOKUP($B881,'Baremos actuales'!$A:$D,4,FALSE)=K$9,$E881*$F881,IF(VLOOKUP($B881,'Baremos anteriores'!$A:$D,4,FALSE)="Desmonte",$E881*$F881,"")))))</f>
        <v/>
      </c>
      <c r="L881" s="80" t="str">
        <f>IF($D881="","",
IF($E881="","",
IF($D881="MATE","",
IF(VLOOKUP($B881,'Baremos actuales'!$A:$D,4,FALSE)=L$9,$E881*$F881,""))))</f>
        <v/>
      </c>
      <c r="M881" s="91" t="str">
        <f t="shared" si="13"/>
        <v/>
      </c>
      <c r="N881" s="96"/>
      <c r="O881" s="95"/>
      <c r="P881" s="96"/>
      <c r="Q881" s="98"/>
    </row>
    <row r="882" spans="1:17" ht="15.75" x14ac:dyDescent="0.2">
      <c r="A882" s="17"/>
      <c r="B882" s="18"/>
      <c r="C882" s="87" t="str">
        <f>IF(B882="","",
IF(M882=$H$5,IFERROR(VLOOKUP(B882,'Baremos actuales'!A:E,5,FALSE),"No encontrado. Revisar código, fecha ejecución y/o contrato."),
IF(M882=$H$4,IFERROR(VLOOKUP(B882,'Baremos anteriores'!A:E,5,FALSE),"No encontrado. Revisar código, fecha ejecución y/o contrato."),
IF(M882=$H$3,IFERROR(VLOOKUP(B882,#REF!,5,FALSE),"No encontrado. Revisar código, fecha ejecución y/o contrato."),
IF(D882="","Código no encontrado",
IF(D882="ERROR","No encontrado. Revisar Código, fecha de ejecución y/o contrato.",
IF(D882="MATE",
IF(C881="DESCRIPCION","NO SE PUEDE COMENZAR SIN CÓDIGO DE TAREA",
IF(C881="","FALTA CÓDIGO DE TAREA",
CONCATENATE("          ",VLOOKUP(B882,'Maestro Materiales'!A:C,3,FALSE)))),IFERROR(VLOOKUP(B882,#REF!,5,FALSE),"No encontrado. Revisar código, fecha ejecución y/o contrato."))))))))</f>
        <v/>
      </c>
      <c r="D882" s="88" t="str">
        <f>IF(B882="","",
IFERROR(VLOOKUP(B882,'Maestro Materiales'!A:C,2,FALSE),
IFERROR(VLOOKUP(B882,'Baremos actuales'!A:B,2,FALSE),
IFERROR(VLOOKUP(B882,'Baremos anteriores'!A:B,2,FALSE),
""))))</f>
        <v/>
      </c>
      <c r="E882" s="9"/>
      <c r="F882" s="89" t="str">
        <f>IF(D882="MATE",
IF(E882="","¿Unidades?",""),
IF(D882="",IF(E882="","","¿Código?"),
IF(E882="","¿Unidades?",
IF(D882="TARE",
IF(M882=$H$3,IFERROR(VLOOKUP(B882,'Baremos actuales'!A:C,3,FALSE),0),
IF(M882=$H$4,IFERROR(VLOOKUP(B882,'Baremos anteriores'!A:C,3,FALSE),0),0))))))</f>
        <v/>
      </c>
      <c r="G882" s="7"/>
      <c r="H882" s="8"/>
      <c r="I882" s="8"/>
      <c r="J882" s="78" t="str">
        <f>IF($D882="","",
IF($E882="","",
IF($D882="MATE","",
IF(VLOOKUP($B882,'Baremos actuales'!A:D,4,FALSE)=J$9,$E882*$F882,IF(VLOOKUP($B882,'Baremos anteriores'!A:D,4,FALSE)="Sin Definir",$E882*$F882,"")))))</f>
        <v/>
      </c>
      <c r="K882" s="79" t="str">
        <f>IF($D882="","",
IF($E882="","",
IF($D882="MATE","",
IF(VLOOKUP($B882,'Baremos actuales'!$A:$D,4,FALSE)=K$9,$E882*$F882,IF(VLOOKUP($B882,'Baremos anteriores'!$A:$D,4,FALSE)="Desmonte",$E882*$F882,"")))))</f>
        <v/>
      </c>
      <c r="L882" s="80" t="str">
        <f>IF($D882="","",
IF($E882="","",
IF($D882="MATE","",
IF(VLOOKUP($B882,'Baremos actuales'!$A:$D,4,FALSE)=L$9,$E882*$F882,""))))</f>
        <v/>
      </c>
      <c r="M882" s="91" t="str">
        <f t="shared" si="13"/>
        <v/>
      </c>
      <c r="N882" s="96"/>
      <c r="O882" s="95"/>
      <c r="P882" s="96"/>
      <c r="Q882" s="98"/>
    </row>
    <row r="883" spans="1:17" ht="15.75" x14ac:dyDescent="0.2">
      <c r="A883" s="17"/>
      <c r="B883" s="18"/>
      <c r="C883" s="87" t="str">
        <f>IF(B883="","",
IF(M883=$H$5,IFERROR(VLOOKUP(B883,'Baremos actuales'!A:E,5,FALSE),"No encontrado. Revisar código, fecha ejecución y/o contrato."),
IF(M883=$H$4,IFERROR(VLOOKUP(B883,'Baremos anteriores'!A:E,5,FALSE),"No encontrado. Revisar código, fecha ejecución y/o contrato."),
IF(M883=$H$3,IFERROR(VLOOKUP(B883,#REF!,5,FALSE),"No encontrado. Revisar código, fecha ejecución y/o contrato."),
IF(D883="","Código no encontrado",
IF(D883="ERROR","No encontrado. Revisar Código, fecha de ejecución y/o contrato.",
IF(D883="MATE",
IF(C882="DESCRIPCION","NO SE PUEDE COMENZAR SIN CÓDIGO DE TAREA",
IF(C882="","FALTA CÓDIGO DE TAREA",
CONCATENATE("          ",VLOOKUP(B883,'Maestro Materiales'!A:C,3,FALSE)))),IFERROR(VLOOKUP(B883,#REF!,5,FALSE),"No encontrado. Revisar código, fecha ejecución y/o contrato."))))))))</f>
        <v/>
      </c>
      <c r="D883" s="88" t="str">
        <f>IF(B883="","",
IFERROR(VLOOKUP(B883,'Maestro Materiales'!A:C,2,FALSE),
IFERROR(VLOOKUP(B883,'Baremos actuales'!A:B,2,FALSE),
IFERROR(VLOOKUP(B883,'Baremos anteriores'!A:B,2,FALSE),
""))))</f>
        <v/>
      </c>
      <c r="E883" s="9"/>
      <c r="F883" s="89" t="str">
        <f>IF(D883="MATE",
IF(E883="","¿Unidades?",""),
IF(D883="",IF(E883="","","¿Código?"),
IF(E883="","¿Unidades?",
IF(D883="TARE",
IF(M883=$H$3,IFERROR(VLOOKUP(B883,'Baremos actuales'!A:C,3,FALSE),0),
IF(M883=$H$4,IFERROR(VLOOKUP(B883,'Baremos anteriores'!A:C,3,FALSE),0),0))))))</f>
        <v/>
      </c>
      <c r="G883" s="7"/>
      <c r="H883" s="8"/>
      <c r="I883" s="8"/>
      <c r="J883" s="78" t="str">
        <f>IF($D883="","",
IF($E883="","",
IF($D883="MATE","",
IF(VLOOKUP($B883,'Baremos actuales'!A:D,4,FALSE)=J$9,$E883*$F883,IF(VLOOKUP($B883,'Baremos anteriores'!A:D,4,FALSE)="Sin Definir",$E883*$F883,"")))))</f>
        <v/>
      </c>
      <c r="K883" s="79" t="str">
        <f>IF($D883="","",
IF($E883="","",
IF($D883="MATE","",
IF(VLOOKUP($B883,'Baremos actuales'!$A:$D,4,FALSE)=K$9,$E883*$F883,IF(VLOOKUP($B883,'Baremos anteriores'!$A:$D,4,FALSE)="Desmonte",$E883*$F883,"")))))</f>
        <v/>
      </c>
      <c r="L883" s="80" t="str">
        <f>IF($D883="","",
IF($E883="","",
IF($D883="MATE","",
IF(VLOOKUP($B883,'Baremos actuales'!$A:$D,4,FALSE)=L$9,$E883*$F883,""))))</f>
        <v/>
      </c>
      <c r="M883" s="91" t="str">
        <f t="shared" si="13"/>
        <v/>
      </c>
      <c r="N883" s="96"/>
      <c r="O883" s="95"/>
      <c r="P883" s="96"/>
      <c r="Q883" s="98"/>
    </row>
    <row r="884" spans="1:17" ht="15.75" x14ac:dyDescent="0.2">
      <c r="A884" s="17"/>
      <c r="B884" s="18"/>
      <c r="C884" s="87" t="str">
        <f>IF(B884="","",
IF(M884=$H$5,IFERROR(VLOOKUP(B884,'Baremos actuales'!A:E,5,FALSE),"No encontrado. Revisar código, fecha ejecución y/o contrato."),
IF(M884=$H$4,IFERROR(VLOOKUP(B884,'Baremos anteriores'!A:E,5,FALSE),"No encontrado. Revisar código, fecha ejecución y/o contrato."),
IF(M884=$H$3,IFERROR(VLOOKUP(B884,#REF!,5,FALSE),"No encontrado. Revisar código, fecha ejecución y/o contrato."),
IF(D884="","Código no encontrado",
IF(D884="ERROR","No encontrado. Revisar Código, fecha de ejecución y/o contrato.",
IF(D884="MATE",
IF(C883="DESCRIPCION","NO SE PUEDE COMENZAR SIN CÓDIGO DE TAREA",
IF(C883="","FALTA CÓDIGO DE TAREA",
CONCATENATE("          ",VLOOKUP(B884,'Maestro Materiales'!A:C,3,FALSE)))),IFERROR(VLOOKUP(B884,#REF!,5,FALSE),"No encontrado. Revisar código, fecha ejecución y/o contrato."))))))))</f>
        <v/>
      </c>
      <c r="D884" s="88" t="str">
        <f>IF(B884="","",
IFERROR(VLOOKUP(B884,'Maestro Materiales'!A:C,2,FALSE),
IFERROR(VLOOKUP(B884,'Baremos actuales'!A:B,2,FALSE),
IFERROR(VLOOKUP(B884,'Baremos anteriores'!A:B,2,FALSE),
""))))</f>
        <v/>
      </c>
      <c r="E884" s="9"/>
      <c r="F884" s="89" t="str">
        <f>IF(D884="MATE",
IF(E884="","¿Unidades?",""),
IF(D884="",IF(E884="","","¿Código?"),
IF(E884="","¿Unidades?",
IF(D884="TARE",
IF(M884=$H$3,IFERROR(VLOOKUP(B884,'Baremos actuales'!A:C,3,FALSE),0),
IF(M884=$H$4,IFERROR(VLOOKUP(B884,'Baremos anteriores'!A:C,3,FALSE),0),0))))))</f>
        <v/>
      </c>
      <c r="G884" s="7"/>
      <c r="H884" s="8"/>
      <c r="I884" s="8"/>
      <c r="J884" s="78" t="str">
        <f>IF($D884="","",
IF($E884="","",
IF($D884="MATE","",
IF(VLOOKUP($B884,'Baremos actuales'!A:D,4,FALSE)=J$9,$E884*$F884,IF(VLOOKUP($B884,'Baremos anteriores'!A:D,4,FALSE)="Sin Definir",$E884*$F884,"")))))</f>
        <v/>
      </c>
      <c r="K884" s="79" t="str">
        <f>IF($D884="","",
IF($E884="","",
IF($D884="MATE","",
IF(VLOOKUP($B884,'Baremos actuales'!$A:$D,4,FALSE)=K$9,$E884*$F884,IF(VLOOKUP($B884,'Baremos anteriores'!$A:$D,4,FALSE)="Desmonte",$E884*$F884,"")))))</f>
        <v/>
      </c>
      <c r="L884" s="80" t="str">
        <f>IF($D884="","",
IF($E884="","",
IF($D884="MATE","",
IF(VLOOKUP($B884,'Baremos actuales'!$A:$D,4,FALSE)=L$9,$E884*$F884,""))))</f>
        <v/>
      </c>
      <c r="M884" s="91" t="str">
        <f t="shared" si="13"/>
        <v/>
      </c>
      <c r="N884" s="96"/>
      <c r="O884" s="95"/>
      <c r="P884" s="96"/>
      <c r="Q884" s="98"/>
    </row>
    <row r="885" spans="1:17" ht="15.75" x14ac:dyDescent="0.2">
      <c r="A885" s="17"/>
      <c r="B885" s="18"/>
      <c r="C885" s="87" t="str">
        <f>IF(B885="","",
IF(M885=$H$5,IFERROR(VLOOKUP(B885,'Baremos actuales'!A:E,5,FALSE),"No encontrado. Revisar código, fecha ejecución y/o contrato."),
IF(M885=$H$4,IFERROR(VLOOKUP(B885,'Baremos anteriores'!A:E,5,FALSE),"No encontrado. Revisar código, fecha ejecución y/o contrato."),
IF(M885=$H$3,IFERROR(VLOOKUP(B885,#REF!,5,FALSE),"No encontrado. Revisar código, fecha ejecución y/o contrato."),
IF(D885="","Código no encontrado",
IF(D885="ERROR","No encontrado. Revisar Código, fecha de ejecución y/o contrato.",
IF(D885="MATE",
IF(C884="DESCRIPCION","NO SE PUEDE COMENZAR SIN CÓDIGO DE TAREA",
IF(C884="","FALTA CÓDIGO DE TAREA",
CONCATENATE("          ",VLOOKUP(B885,'Maestro Materiales'!A:C,3,FALSE)))),IFERROR(VLOOKUP(B885,#REF!,5,FALSE),"No encontrado. Revisar código, fecha ejecución y/o contrato."))))))))</f>
        <v/>
      </c>
      <c r="D885" s="88" t="str">
        <f>IF(B885="","",
IFERROR(VLOOKUP(B885,'Maestro Materiales'!A:C,2,FALSE),
IFERROR(VLOOKUP(B885,'Baremos actuales'!A:B,2,FALSE),
IFERROR(VLOOKUP(B885,'Baremos anteriores'!A:B,2,FALSE),
""))))</f>
        <v/>
      </c>
      <c r="E885" s="9"/>
      <c r="F885" s="89" t="str">
        <f>IF(D885="MATE",
IF(E885="","¿Unidades?",""),
IF(D885="",IF(E885="","","¿Código?"),
IF(E885="","¿Unidades?",
IF(D885="TARE",
IF(M885=$H$3,IFERROR(VLOOKUP(B885,'Baremos actuales'!A:C,3,FALSE),0),
IF(M885=$H$4,IFERROR(VLOOKUP(B885,'Baremos anteriores'!A:C,3,FALSE),0),0))))))</f>
        <v/>
      </c>
      <c r="G885" s="7"/>
      <c r="H885" s="8"/>
      <c r="I885" s="8"/>
      <c r="J885" s="78" t="str">
        <f>IF($D885="","",
IF($E885="","",
IF($D885="MATE","",
IF(VLOOKUP($B885,'Baremos actuales'!A:D,4,FALSE)=J$9,$E885*$F885,IF(VLOOKUP($B885,'Baremos anteriores'!A:D,4,FALSE)="Sin Definir",$E885*$F885,"")))))</f>
        <v/>
      </c>
      <c r="K885" s="79" t="str">
        <f>IF($D885="","",
IF($E885="","",
IF($D885="MATE","",
IF(VLOOKUP($B885,'Baremos actuales'!$A:$D,4,FALSE)=K$9,$E885*$F885,IF(VLOOKUP($B885,'Baremos anteriores'!$A:$D,4,FALSE)="Desmonte",$E885*$F885,"")))))</f>
        <v/>
      </c>
      <c r="L885" s="80" t="str">
        <f>IF($D885="","",
IF($E885="","",
IF($D885="MATE","",
IF(VLOOKUP($B885,'Baremos actuales'!$A:$D,4,FALSE)=L$9,$E885*$F885,""))))</f>
        <v/>
      </c>
      <c r="M885" s="91" t="str">
        <f t="shared" si="13"/>
        <v/>
      </c>
      <c r="N885" s="96"/>
      <c r="O885" s="95"/>
      <c r="P885" s="96"/>
      <c r="Q885" s="98"/>
    </row>
    <row r="886" spans="1:17" ht="15.75" x14ac:dyDescent="0.2">
      <c r="A886" s="17"/>
      <c r="B886" s="18"/>
      <c r="C886" s="87" t="str">
        <f>IF(B886="","",
IF(M886=$H$5,IFERROR(VLOOKUP(B886,'Baremos actuales'!A:E,5,FALSE),"No encontrado. Revisar código, fecha ejecución y/o contrato."),
IF(M886=$H$4,IFERROR(VLOOKUP(B886,'Baremos anteriores'!A:E,5,FALSE),"No encontrado. Revisar código, fecha ejecución y/o contrato."),
IF(M886=$H$3,IFERROR(VLOOKUP(B886,#REF!,5,FALSE),"No encontrado. Revisar código, fecha ejecución y/o contrato."),
IF(D886="","Código no encontrado",
IF(D886="ERROR","No encontrado. Revisar Código, fecha de ejecución y/o contrato.",
IF(D886="MATE",
IF(C885="DESCRIPCION","NO SE PUEDE COMENZAR SIN CÓDIGO DE TAREA",
IF(C885="","FALTA CÓDIGO DE TAREA",
CONCATENATE("          ",VLOOKUP(B886,'Maestro Materiales'!A:C,3,FALSE)))),IFERROR(VLOOKUP(B886,#REF!,5,FALSE),"No encontrado. Revisar código, fecha ejecución y/o contrato."))))))))</f>
        <v/>
      </c>
      <c r="D886" s="88" t="str">
        <f>IF(B886="","",
IFERROR(VLOOKUP(B886,'Maestro Materiales'!A:C,2,FALSE),
IFERROR(VLOOKUP(B886,'Baremos actuales'!A:B,2,FALSE),
IFERROR(VLOOKUP(B886,'Baremos anteriores'!A:B,2,FALSE),
""))))</f>
        <v/>
      </c>
      <c r="E886" s="9"/>
      <c r="F886" s="89" t="str">
        <f>IF(D886="MATE",
IF(E886="","¿Unidades?",""),
IF(D886="",IF(E886="","","¿Código?"),
IF(E886="","¿Unidades?",
IF(D886="TARE",
IF(M886=$H$3,IFERROR(VLOOKUP(B886,'Baremos actuales'!A:C,3,FALSE),0),
IF(M886=$H$4,IFERROR(VLOOKUP(B886,'Baremos anteriores'!A:C,3,FALSE),0),0))))))</f>
        <v/>
      </c>
      <c r="G886" s="7"/>
      <c r="H886" s="8"/>
      <c r="I886" s="8"/>
      <c r="J886" s="78" t="str">
        <f>IF($D886="","",
IF($E886="","",
IF($D886="MATE","",
IF(VLOOKUP($B886,'Baremos actuales'!A:D,4,FALSE)=J$9,$E886*$F886,IF(VLOOKUP($B886,'Baremos anteriores'!A:D,4,FALSE)="Sin Definir",$E886*$F886,"")))))</f>
        <v/>
      </c>
      <c r="K886" s="79" t="str">
        <f>IF($D886="","",
IF($E886="","",
IF($D886="MATE","",
IF(VLOOKUP($B886,'Baremos actuales'!$A:$D,4,FALSE)=K$9,$E886*$F886,IF(VLOOKUP($B886,'Baremos anteriores'!$A:$D,4,FALSE)="Desmonte",$E886*$F886,"")))))</f>
        <v/>
      </c>
      <c r="L886" s="80" t="str">
        <f>IF($D886="","",
IF($E886="","",
IF($D886="MATE","",
IF(VLOOKUP($B886,'Baremos actuales'!$A:$D,4,FALSE)=L$9,$E886*$F886,""))))</f>
        <v/>
      </c>
      <c r="M886" s="91" t="str">
        <f t="shared" si="13"/>
        <v/>
      </c>
      <c r="N886" s="96"/>
      <c r="O886" s="95"/>
      <c r="P886" s="96"/>
      <c r="Q886" s="98"/>
    </row>
    <row r="887" spans="1:17" ht="15.75" x14ac:dyDescent="0.2">
      <c r="A887" s="17"/>
      <c r="B887" s="18"/>
      <c r="C887" s="87" t="str">
        <f>IF(B887="","",
IF(M887=$H$5,IFERROR(VLOOKUP(B887,'Baremos actuales'!A:E,5,FALSE),"No encontrado. Revisar código, fecha ejecución y/o contrato."),
IF(M887=$H$4,IFERROR(VLOOKUP(B887,'Baremos anteriores'!A:E,5,FALSE),"No encontrado. Revisar código, fecha ejecución y/o contrato."),
IF(M887=$H$3,IFERROR(VLOOKUP(B887,#REF!,5,FALSE),"No encontrado. Revisar código, fecha ejecución y/o contrato."),
IF(D887="","Código no encontrado",
IF(D887="ERROR","No encontrado. Revisar Código, fecha de ejecución y/o contrato.",
IF(D887="MATE",
IF(C886="DESCRIPCION","NO SE PUEDE COMENZAR SIN CÓDIGO DE TAREA",
IF(C886="","FALTA CÓDIGO DE TAREA",
CONCATENATE("          ",VLOOKUP(B887,'Maestro Materiales'!A:C,3,FALSE)))),IFERROR(VLOOKUP(B887,#REF!,5,FALSE),"No encontrado. Revisar código, fecha ejecución y/o contrato."))))))))</f>
        <v/>
      </c>
      <c r="D887" s="88" t="str">
        <f>IF(B887="","",
IFERROR(VLOOKUP(B887,'Maestro Materiales'!A:C,2,FALSE),
IFERROR(VLOOKUP(B887,'Baremos actuales'!A:B,2,FALSE),
IFERROR(VLOOKUP(B887,'Baremos anteriores'!A:B,2,FALSE),
""))))</f>
        <v/>
      </c>
      <c r="E887" s="9"/>
      <c r="F887" s="89" t="str">
        <f>IF(D887="MATE",
IF(E887="","¿Unidades?",""),
IF(D887="",IF(E887="","","¿Código?"),
IF(E887="","¿Unidades?",
IF(D887="TARE",
IF(M887=$H$3,IFERROR(VLOOKUP(B887,'Baremos actuales'!A:C,3,FALSE),0),
IF(M887=$H$4,IFERROR(VLOOKUP(B887,'Baremos anteriores'!A:C,3,FALSE),0),0))))))</f>
        <v/>
      </c>
      <c r="G887" s="7"/>
      <c r="H887" s="8"/>
      <c r="I887" s="8"/>
      <c r="J887" s="78" t="str">
        <f>IF($D887="","",
IF($E887="","",
IF($D887="MATE","",
IF(VLOOKUP($B887,'Baremos actuales'!A:D,4,FALSE)=J$9,$E887*$F887,IF(VLOOKUP($B887,'Baremos anteriores'!A:D,4,FALSE)="Sin Definir",$E887*$F887,"")))))</f>
        <v/>
      </c>
      <c r="K887" s="79" t="str">
        <f>IF($D887="","",
IF($E887="","",
IF($D887="MATE","",
IF(VLOOKUP($B887,'Baremos actuales'!$A:$D,4,FALSE)=K$9,$E887*$F887,IF(VLOOKUP($B887,'Baremos anteriores'!$A:$D,4,FALSE)="Desmonte",$E887*$F887,"")))))</f>
        <v/>
      </c>
      <c r="L887" s="80" t="str">
        <f>IF($D887="","",
IF($E887="","",
IF($D887="MATE","",
IF(VLOOKUP($B887,'Baremos actuales'!$A:$D,4,FALSE)=L$9,$E887*$F887,""))))</f>
        <v/>
      </c>
      <c r="M887" s="91" t="str">
        <f t="shared" si="13"/>
        <v/>
      </c>
      <c r="N887" s="96"/>
      <c r="O887" s="95"/>
      <c r="P887" s="96"/>
      <c r="Q887" s="98"/>
    </row>
    <row r="888" spans="1:17" ht="15.75" x14ac:dyDescent="0.2">
      <c r="A888" s="17"/>
      <c r="B888" s="18"/>
      <c r="C888" s="87" t="str">
        <f>IF(B888="","",
IF(M888=$H$5,IFERROR(VLOOKUP(B888,'Baremos actuales'!A:E,5,FALSE),"No encontrado. Revisar código, fecha ejecución y/o contrato."),
IF(M888=$H$4,IFERROR(VLOOKUP(B888,'Baremos anteriores'!A:E,5,FALSE),"No encontrado. Revisar código, fecha ejecución y/o contrato."),
IF(M888=$H$3,IFERROR(VLOOKUP(B888,#REF!,5,FALSE),"No encontrado. Revisar código, fecha ejecución y/o contrato."),
IF(D888="","Código no encontrado",
IF(D888="ERROR","No encontrado. Revisar Código, fecha de ejecución y/o contrato.",
IF(D888="MATE",
IF(C887="DESCRIPCION","NO SE PUEDE COMENZAR SIN CÓDIGO DE TAREA",
IF(C887="","FALTA CÓDIGO DE TAREA",
CONCATENATE("          ",VLOOKUP(B888,'Maestro Materiales'!A:C,3,FALSE)))),IFERROR(VLOOKUP(B888,#REF!,5,FALSE),"No encontrado. Revisar código, fecha ejecución y/o contrato."))))))))</f>
        <v/>
      </c>
      <c r="D888" s="88" t="str">
        <f>IF(B888="","",
IFERROR(VLOOKUP(B888,'Maestro Materiales'!A:C,2,FALSE),
IFERROR(VLOOKUP(B888,'Baremos actuales'!A:B,2,FALSE),
IFERROR(VLOOKUP(B888,'Baremos anteriores'!A:B,2,FALSE),
""))))</f>
        <v/>
      </c>
      <c r="E888" s="9"/>
      <c r="F888" s="89" t="str">
        <f>IF(D888="MATE",
IF(E888="","¿Unidades?",""),
IF(D888="",IF(E888="","","¿Código?"),
IF(E888="","¿Unidades?",
IF(D888="TARE",
IF(M888=$H$3,IFERROR(VLOOKUP(B888,'Baremos actuales'!A:C,3,FALSE),0),
IF(M888=$H$4,IFERROR(VLOOKUP(B888,'Baremos anteriores'!A:C,3,FALSE),0),0))))))</f>
        <v/>
      </c>
      <c r="G888" s="7"/>
      <c r="H888" s="8"/>
      <c r="I888" s="8"/>
      <c r="J888" s="78" t="str">
        <f>IF($D888="","",
IF($E888="","",
IF($D888="MATE","",
IF(VLOOKUP($B888,'Baremos actuales'!A:D,4,FALSE)=J$9,$E888*$F888,IF(VLOOKUP($B888,'Baremos anteriores'!A:D,4,FALSE)="Sin Definir",$E888*$F888,"")))))</f>
        <v/>
      </c>
      <c r="K888" s="79" t="str">
        <f>IF($D888="","",
IF($E888="","",
IF($D888="MATE","",
IF(VLOOKUP($B888,'Baremos actuales'!$A:$D,4,FALSE)=K$9,$E888*$F888,IF(VLOOKUP($B888,'Baremos anteriores'!$A:$D,4,FALSE)="Desmonte",$E888*$F888,"")))))</f>
        <v/>
      </c>
      <c r="L888" s="80" t="str">
        <f>IF($D888="","",
IF($E888="","",
IF($D888="MATE","",
IF(VLOOKUP($B888,'Baremos actuales'!$A:$D,4,FALSE)=L$9,$E888*$F888,""))))</f>
        <v/>
      </c>
      <c r="M888" s="91" t="str">
        <f t="shared" si="13"/>
        <v/>
      </c>
      <c r="N888" s="96"/>
      <c r="O888" s="95"/>
      <c r="P888" s="96"/>
      <c r="Q888" s="98"/>
    </row>
    <row r="889" spans="1:17" ht="15.75" x14ac:dyDescent="0.2">
      <c r="A889" s="17"/>
      <c r="B889" s="18"/>
      <c r="C889" s="87" t="str">
        <f>IF(B889="","",
IF(M889=$H$5,IFERROR(VLOOKUP(B889,'Baremos actuales'!A:E,5,FALSE),"No encontrado. Revisar código, fecha ejecución y/o contrato."),
IF(M889=$H$4,IFERROR(VLOOKUP(B889,'Baremos anteriores'!A:E,5,FALSE),"No encontrado. Revisar código, fecha ejecución y/o contrato."),
IF(M889=$H$3,IFERROR(VLOOKUP(B889,#REF!,5,FALSE),"No encontrado. Revisar código, fecha ejecución y/o contrato."),
IF(D889="","Código no encontrado",
IF(D889="ERROR","No encontrado. Revisar Código, fecha de ejecución y/o contrato.",
IF(D889="MATE",
IF(C888="DESCRIPCION","NO SE PUEDE COMENZAR SIN CÓDIGO DE TAREA",
IF(C888="","FALTA CÓDIGO DE TAREA",
CONCATENATE("          ",VLOOKUP(B889,'Maestro Materiales'!A:C,3,FALSE)))),IFERROR(VLOOKUP(B889,#REF!,5,FALSE),"No encontrado. Revisar código, fecha ejecución y/o contrato."))))))))</f>
        <v/>
      </c>
      <c r="D889" s="88" t="str">
        <f>IF(B889="","",
IFERROR(VLOOKUP(B889,'Maestro Materiales'!A:C,2,FALSE),
IFERROR(VLOOKUP(B889,'Baremos actuales'!A:B,2,FALSE),
IFERROR(VLOOKUP(B889,'Baremos anteriores'!A:B,2,FALSE),
""))))</f>
        <v/>
      </c>
      <c r="E889" s="9"/>
      <c r="F889" s="89" t="str">
        <f>IF(D889="MATE",
IF(E889="","¿Unidades?",""),
IF(D889="",IF(E889="","","¿Código?"),
IF(E889="","¿Unidades?",
IF(D889="TARE",
IF(M889=$H$3,IFERROR(VLOOKUP(B889,'Baremos actuales'!A:C,3,FALSE),0),
IF(M889=$H$4,IFERROR(VLOOKUP(B889,'Baremos anteriores'!A:C,3,FALSE),0),0))))))</f>
        <v/>
      </c>
      <c r="G889" s="7"/>
      <c r="H889" s="8"/>
      <c r="I889" s="8"/>
      <c r="J889" s="78" t="str">
        <f>IF($D889="","",
IF($E889="","",
IF($D889="MATE","",
IF(VLOOKUP($B889,'Baremos actuales'!A:D,4,FALSE)=J$9,$E889*$F889,IF(VLOOKUP($B889,'Baremos anteriores'!A:D,4,FALSE)="Sin Definir",$E889*$F889,"")))))</f>
        <v/>
      </c>
      <c r="K889" s="79" t="str">
        <f>IF($D889="","",
IF($E889="","",
IF($D889="MATE","",
IF(VLOOKUP($B889,'Baremos actuales'!$A:$D,4,FALSE)=K$9,$E889*$F889,IF(VLOOKUP($B889,'Baremos anteriores'!$A:$D,4,FALSE)="Desmonte",$E889*$F889,"")))))</f>
        <v/>
      </c>
      <c r="L889" s="80" t="str">
        <f>IF($D889="","",
IF($E889="","",
IF($D889="MATE","",
IF(VLOOKUP($B889,'Baremos actuales'!$A:$D,4,FALSE)=L$9,$E889*$F889,""))))</f>
        <v/>
      </c>
      <c r="M889" s="91" t="str">
        <f t="shared" si="13"/>
        <v/>
      </c>
      <c r="N889" s="96"/>
      <c r="O889" s="95"/>
      <c r="P889" s="96"/>
      <c r="Q889" s="98"/>
    </row>
    <row r="890" spans="1:17" ht="15.75" x14ac:dyDescent="0.2">
      <c r="A890" s="17"/>
      <c r="B890" s="18"/>
      <c r="C890" s="87" t="str">
        <f>IF(B890="","",
IF(M890=$H$5,IFERROR(VLOOKUP(B890,'Baremos actuales'!A:E,5,FALSE),"No encontrado. Revisar código, fecha ejecución y/o contrato."),
IF(M890=$H$4,IFERROR(VLOOKUP(B890,'Baremos anteriores'!A:E,5,FALSE),"No encontrado. Revisar código, fecha ejecución y/o contrato."),
IF(M890=$H$3,IFERROR(VLOOKUP(B890,#REF!,5,FALSE),"No encontrado. Revisar código, fecha ejecución y/o contrato."),
IF(D890="","Código no encontrado",
IF(D890="ERROR","No encontrado. Revisar Código, fecha de ejecución y/o contrato.",
IF(D890="MATE",
IF(C889="DESCRIPCION","NO SE PUEDE COMENZAR SIN CÓDIGO DE TAREA",
IF(C889="","FALTA CÓDIGO DE TAREA",
CONCATENATE("          ",VLOOKUP(B890,'Maestro Materiales'!A:C,3,FALSE)))),IFERROR(VLOOKUP(B890,#REF!,5,FALSE),"No encontrado. Revisar código, fecha ejecución y/o contrato."))))))))</f>
        <v/>
      </c>
      <c r="D890" s="88" t="str">
        <f>IF(B890="","",
IFERROR(VLOOKUP(B890,'Maestro Materiales'!A:C,2,FALSE),
IFERROR(VLOOKUP(B890,'Baremos actuales'!A:B,2,FALSE),
IFERROR(VLOOKUP(B890,'Baremos anteriores'!A:B,2,FALSE),
""))))</f>
        <v/>
      </c>
      <c r="E890" s="9"/>
      <c r="F890" s="89" t="str">
        <f>IF(D890="MATE",
IF(E890="","¿Unidades?",""),
IF(D890="",IF(E890="","","¿Código?"),
IF(E890="","¿Unidades?",
IF(D890="TARE",
IF(M890=$H$3,IFERROR(VLOOKUP(B890,'Baremos actuales'!A:C,3,FALSE),0),
IF(M890=$H$4,IFERROR(VLOOKUP(B890,'Baremos anteriores'!A:C,3,FALSE),0),0))))))</f>
        <v/>
      </c>
      <c r="G890" s="7"/>
      <c r="H890" s="8"/>
      <c r="I890" s="8"/>
      <c r="J890" s="78" t="str">
        <f>IF($D890="","",
IF($E890="","",
IF($D890="MATE","",
IF(VLOOKUP($B890,'Baremos actuales'!A:D,4,FALSE)=J$9,$E890*$F890,IF(VLOOKUP($B890,'Baremos anteriores'!A:D,4,FALSE)="Sin Definir",$E890*$F890,"")))))</f>
        <v/>
      </c>
      <c r="K890" s="79" t="str">
        <f>IF($D890="","",
IF($E890="","",
IF($D890="MATE","",
IF(VLOOKUP($B890,'Baremos actuales'!$A:$D,4,FALSE)=K$9,$E890*$F890,IF(VLOOKUP($B890,'Baremos anteriores'!$A:$D,4,FALSE)="Desmonte",$E890*$F890,"")))))</f>
        <v/>
      </c>
      <c r="L890" s="80" t="str">
        <f>IF($D890="","",
IF($E890="","",
IF($D890="MATE","",
IF(VLOOKUP($B890,'Baremos actuales'!$A:$D,4,FALSE)=L$9,$E890*$F890,""))))</f>
        <v/>
      </c>
      <c r="M890" s="91" t="str">
        <f t="shared" si="13"/>
        <v/>
      </c>
      <c r="N890" s="96"/>
      <c r="O890" s="95"/>
      <c r="P890" s="96"/>
      <c r="Q890" s="98"/>
    </row>
    <row r="891" spans="1:17" ht="15.75" x14ac:dyDescent="0.2">
      <c r="A891" s="17"/>
      <c r="B891" s="18"/>
      <c r="C891" s="87" t="str">
        <f>IF(B891="","",
IF(M891=$H$5,IFERROR(VLOOKUP(B891,'Baremos actuales'!A:E,5,FALSE),"No encontrado. Revisar código, fecha ejecución y/o contrato."),
IF(M891=$H$4,IFERROR(VLOOKUP(B891,'Baremos anteriores'!A:E,5,FALSE),"No encontrado. Revisar código, fecha ejecución y/o contrato."),
IF(M891=$H$3,IFERROR(VLOOKUP(B891,#REF!,5,FALSE),"No encontrado. Revisar código, fecha ejecución y/o contrato."),
IF(D891="","Código no encontrado",
IF(D891="ERROR","No encontrado. Revisar Código, fecha de ejecución y/o contrato.",
IF(D891="MATE",
IF(C890="DESCRIPCION","NO SE PUEDE COMENZAR SIN CÓDIGO DE TAREA",
IF(C890="","FALTA CÓDIGO DE TAREA",
CONCATENATE("          ",VLOOKUP(B891,'Maestro Materiales'!A:C,3,FALSE)))),IFERROR(VLOOKUP(B891,#REF!,5,FALSE),"No encontrado. Revisar código, fecha ejecución y/o contrato."))))))))</f>
        <v/>
      </c>
      <c r="D891" s="88" t="str">
        <f>IF(B891="","",
IFERROR(VLOOKUP(B891,'Maestro Materiales'!A:C,2,FALSE),
IFERROR(VLOOKUP(B891,'Baremos actuales'!A:B,2,FALSE),
IFERROR(VLOOKUP(B891,'Baremos anteriores'!A:B,2,FALSE),
""))))</f>
        <v/>
      </c>
      <c r="E891" s="9"/>
      <c r="F891" s="89" t="str">
        <f>IF(D891="MATE",
IF(E891="","¿Unidades?",""),
IF(D891="",IF(E891="","","¿Código?"),
IF(E891="","¿Unidades?",
IF(D891="TARE",
IF(M891=$H$3,IFERROR(VLOOKUP(B891,'Baremos actuales'!A:C,3,FALSE),0),
IF(M891=$H$4,IFERROR(VLOOKUP(B891,'Baremos anteriores'!A:C,3,FALSE),0),0))))))</f>
        <v/>
      </c>
      <c r="G891" s="7"/>
      <c r="H891" s="8"/>
      <c r="I891" s="8"/>
      <c r="J891" s="78" t="str">
        <f>IF($D891="","",
IF($E891="","",
IF($D891="MATE","",
IF(VLOOKUP($B891,'Baremos actuales'!A:D,4,FALSE)=J$9,$E891*$F891,IF(VLOOKUP($B891,'Baremos anteriores'!A:D,4,FALSE)="Sin Definir",$E891*$F891,"")))))</f>
        <v/>
      </c>
      <c r="K891" s="79" t="str">
        <f>IF($D891="","",
IF($E891="","",
IF($D891="MATE","",
IF(VLOOKUP($B891,'Baremos actuales'!$A:$D,4,FALSE)=K$9,$E891*$F891,IF(VLOOKUP($B891,'Baremos anteriores'!$A:$D,4,FALSE)="Desmonte",$E891*$F891,"")))))</f>
        <v/>
      </c>
      <c r="L891" s="80" t="str">
        <f>IF($D891="","",
IF($E891="","",
IF($D891="MATE","",
IF(VLOOKUP($B891,'Baremos actuales'!$A:$D,4,FALSE)=L$9,$E891*$F891,""))))</f>
        <v/>
      </c>
      <c r="M891" s="91" t="str">
        <f t="shared" si="13"/>
        <v/>
      </c>
      <c r="N891" s="96"/>
      <c r="O891" s="95"/>
      <c r="P891" s="96"/>
      <c r="Q891" s="98"/>
    </row>
    <row r="892" spans="1:17" ht="15.75" x14ac:dyDescent="0.2">
      <c r="A892" s="17"/>
      <c r="B892" s="18"/>
      <c r="C892" s="87" t="str">
        <f>IF(B892="","",
IF(M892=$H$5,IFERROR(VLOOKUP(B892,'Baremos actuales'!A:E,5,FALSE),"No encontrado. Revisar código, fecha ejecución y/o contrato."),
IF(M892=$H$4,IFERROR(VLOOKUP(B892,'Baremos anteriores'!A:E,5,FALSE),"No encontrado. Revisar código, fecha ejecución y/o contrato."),
IF(M892=$H$3,IFERROR(VLOOKUP(B892,#REF!,5,FALSE),"No encontrado. Revisar código, fecha ejecución y/o contrato."),
IF(D892="","Código no encontrado",
IF(D892="ERROR","No encontrado. Revisar Código, fecha de ejecución y/o contrato.",
IF(D892="MATE",
IF(C891="DESCRIPCION","NO SE PUEDE COMENZAR SIN CÓDIGO DE TAREA",
IF(C891="","FALTA CÓDIGO DE TAREA",
CONCATENATE("          ",VLOOKUP(B892,'Maestro Materiales'!A:C,3,FALSE)))),IFERROR(VLOOKUP(B892,#REF!,5,FALSE),"No encontrado. Revisar código, fecha ejecución y/o contrato."))))))))</f>
        <v/>
      </c>
      <c r="D892" s="88" t="str">
        <f>IF(B892="","",
IFERROR(VLOOKUP(B892,'Maestro Materiales'!A:C,2,FALSE),
IFERROR(VLOOKUP(B892,'Baremos actuales'!A:B,2,FALSE),
IFERROR(VLOOKUP(B892,'Baremos anteriores'!A:B,2,FALSE),
""))))</f>
        <v/>
      </c>
      <c r="E892" s="9"/>
      <c r="F892" s="89" t="str">
        <f>IF(D892="MATE",
IF(E892="","¿Unidades?",""),
IF(D892="",IF(E892="","","¿Código?"),
IF(E892="","¿Unidades?",
IF(D892="TARE",
IF(M892=$H$3,IFERROR(VLOOKUP(B892,'Baremos actuales'!A:C,3,FALSE),0),
IF(M892=$H$4,IFERROR(VLOOKUP(B892,'Baremos anteriores'!A:C,3,FALSE),0),0))))))</f>
        <v/>
      </c>
      <c r="G892" s="7"/>
      <c r="H892" s="8"/>
      <c r="I892" s="8"/>
      <c r="J892" s="78" t="str">
        <f>IF($D892="","",
IF($E892="","",
IF($D892="MATE","",
IF(VLOOKUP($B892,'Baremos actuales'!A:D,4,FALSE)=J$9,$E892*$F892,IF(VLOOKUP($B892,'Baremos anteriores'!A:D,4,FALSE)="Sin Definir",$E892*$F892,"")))))</f>
        <v/>
      </c>
      <c r="K892" s="79" t="str">
        <f>IF($D892="","",
IF($E892="","",
IF($D892="MATE","",
IF(VLOOKUP($B892,'Baremos actuales'!$A:$D,4,FALSE)=K$9,$E892*$F892,IF(VLOOKUP($B892,'Baremos anteriores'!$A:$D,4,FALSE)="Desmonte",$E892*$F892,"")))))</f>
        <v/>
      </c>
      <c r="L892" s="80" t="str">
        <f>IF($D892="","",
IF($E892="","",
IF($D892="MATE","",
IF(VLOOKUP($B892,'Baremos actuales'!$A:$D,4,FALSE)=L$9,$E892*$F892,""))))</f>
        <v/>
      </c>
      <c r="M892" s="91" t="str">
        <f t="shared" si="13"/>
        <v/>
      </c>
      <c r="N892" s="96"/>
      <c r="O892" s="95"/>
      <c r="P892" s="96"/>
      <c r="Q892" s="98"/>
    </row>
    <row r="893" spans="1:17" ht="15.75" x14ac:dyDescent="0.2">
      <c r="A893" s="17"/>
      <c r="B893" s="18"/>
      <c r="C893" s="87" t="str">
        <f>IF(B893="","",
IF(M893=$H$5,IFERROR(VLOOKUP(B893,'Baremos actuales'!A:E,5,FALSE),"No encontrado. Revisar código, fecha ejecución y/o contrato."),
IF(M893=$H$4,IFERROR(VLOOKUP(B893,'Baremos anteriores'!A:E,5,FALSE),"No encontrado. Revisar código, fecha ejecución y/o contrato."),
IF(M893=$H$3,IFERROR(VLOOKUP(B893,#REF!,5,FALSE),"No encontrado. Revisar código, fecha ejecución y/o contrato."),
IF(D893="","Código no encontrado",
IF(D893="ERROR","No encontrado. Revisar Código, fecha de ejecución y/o contrato.",
IF(D893="MATE",
IF(C892="DESCRIPCION","NO SE PUEDE COMENZAR SIN CÓDIGO DE TAREA",
IF(C892="","FALTA CÓDIGO DE TAREA",
CONCATENATE("          ",VLOOKUP(B893,'Maestro Materiales'!A:C,3,FALSE)))),IFERROR(VLOOKUP(B893,#REF!,5,FALSE),"No encontrado. Revisar código, fecha ejecución y/o contrato."))))))))</f>
        <v/>
      </c>
      <c r="D893" s="88" t="str">
        <f>IF(B893="","",
IFERROR(VLOOKUP(B893,'Maestro Materiales'!A:C,2,FALSE),
IFERROR(VLOOKUP(B893,'Baremos actuales'!A:B,2,FALSE),
IFERROR(VLOOKUP(B893,'Baremos anteriores'!A:B,2,FALSE),
""))))</f>
        <v/>
      </c>
      <c r="E893" s="9"/>
      <c r="F893" s="89" t="str">
        <f>IF(D893="MATE",
IF(E893="","¿Unidades?",""),
IF(D893="",IF(E893="","","¿Código?"),
IF(E893="","¿Unidades?",
IF(D893="TARE",
IF(M893=$H$3,IFERROR(VLOOKUP(B893,'Baremos actuales'!A:C,3,FALSE),0),
IF(M893=$H$4,IFERROR(VLOOKUP(B893,'Baremos anteriores'!A:C,3,FALSE),0),0))))))</f>
        <v/>
      </c>
      <c r="G893" s="7"/>
      <c r="H893" s="8"/>
      <c r="I893" s="8"/>
      <c r="J893" s="78" t="str">
        <f>IF($D893="","",
IF($E893="","",
IF($D893="MATE","",
IF(VLOOKUP($B893,'Baremos actuales'!A:D,4,FALSE)=J$9,$E893*$F893,IF(VLOOKUP($B893,'Baremos anteriores'!A:D,4,FALSE)="Sin Definir",$E893*$F893,"")))))</f>
        <v/>
      </c>
      <c r="K893" s="79" t="str">
        <f>IF($D893="","",
IF($E893="","",
IF($D893="MATE","",
IF(VLOOKUP($B893,'Baremos actuales'!$A:$D,4,FALSE)=K$9,$E893*$F893,IF(VLOOKUP($B893,'Baremos anteriores'!$A:$D,4,FALSE)="Desmonte",$E893*$F893,"")))))</f>
        <v/>
      </c>
      <c r="L893" s="80" t="str">
        <f>IF($D893="","",
IF($E893="","",
IF($D893="MATE","",
IF(VLOOKUP($B893,'Baremos actuales'!$A:$D,4,FALSE)=L$9,$E893*$F893,""))))</f>
        <v/>
      </c>
      <c r="M893" s="91" t="str">
        <f t="shared" si="13"/>
        <v/>
      </c>
      <c r="N893" s="96"/>
      <c r="O893" s="95"/>
      <c r="P893" s="96"/>
      <c r="Q893" s="98"/>
    </row>
    <row r="894" spans="1:17" ht="15.75" x14ac:dyDescent="0.2">
      <c r="A894" s="17"/>
      <c r="B894" s="18"/>
      <c r="C894" s="87" t="str">
        <f>IF(B894="","",
IF(M894=$H$5,IFERROR(VLOOKUP(B894,'Baremos actuales'!A:E,5,FALSE),"No encontrado. Revisar código, fecha ejecución y/o contrato."),
IF(M894=$H$4,IFERROR(VLOOKUP(B894,'Baremos anteriores'!A:E,5,FALSE),"No encontrado. Revisar código, fecha ejecución y/o contrato."),
IF(M894=$H$3,IFERROR(VLOOKUP(B894,#REF!,5,FALSE),"No encontrado. Revisar código, fecha ejecución y/o contrato."),
IF(D894="","Código no encontrado",
IF(D894="ERROR","No encontrado. Revisar Código, fecha de ejecución y/o contrato.",
IF(D894="MATE",
IF(C893="DESCRIPCION","NO SE PUEDE COMENZAR SIN CÓDIGO DE TAREA",
IF(C893="","FALTA CÓDIGO DE TAREA",
CONCATENATE("          ",VLOOKUP(B894,'Maestro Materiales'!A:C,3,FALSE)))),IFERROR(VLOOKUP(B894,#REF!,5,FALSE),"No encontrado. Revisar código, fecha ejecución y/o contrato."))))))))</f>
        <v/>
      </c>
      <c r="D894" s="88" t="str">
        <f>IF(B894="","",
IFERROR(VLOOKUP(B894,'Maestro Materiales'!A:C,2,FALSE),
IFERROR(VLOOKUP(B894,'Baremos actuales'!A:B,2,FALSE),
IFERROR(VLOOKUP(B894,'Baremos anteriores'!A:B,2,FALSE),
""))))</f>
        <v/>
      </c>
      <c r="E894" s="9"/>
      <c r="F894" s="89" t="str">
        <f>IF(D894="MATE",
IF(E894="","¿Unidades?",""),
IF(D894="",IF(E894="","","¿Código?"),
IF(E894="","¿Unidades?",
IF(D894="TARE",
IF(M894=$H$3,IFERROR(VLOOKUP(B894,'Baremos actuales'!A:C,3,FALSE),0),
IF(M894=$H$4,IFERROR(VLOOKUP(B894,'Baremos anteriores'!A:C,3,FALSE),0),0))))))</f>
        <v/>
      </c>
      <c r="G894" s="7"/>
      <c r="H894" s="8"/>
      <c r="I894" s="8"/>
      <c r="J894" s="78" t="str">
        <f>IF($D894="","",
IF($E894="","",
IF($D894="MATE","",
IF(VLOOKUP($B894,'Baremos actuales'!A:D,4,FALSE)=J$9,$E894*$F894,IF(VLOOKUP($B894,'Baremos anteriores'!A:D,4,FALSE)="Sin Definir",$E894*$F894,"")))))</f>
        <v/>
      </c>
      <c r="K894" s="79" t="str">
        <f>IF($D894="","",
IF($E894="","",
IF($D894="MATE","",
IF(VLOOKUP($B894,'Baremos actuales'!$A:$D,4,FALSE)=K$9,$E894*$F894,IF(VLOOKUP($B894,'Baremos anteriores'!$A:$D,4,FALSE)="Desmonte",$E894*$F894,"")))))</f>
        <v/>
      </c>
      <c r="L894" s="80" t="str">
        <f>IF($D894="","",
IF($E894="","",
IF($D894="MATE","",
IF(VLOOKUP($B894,'Baremos actuales'!$A:$D,4,FALSE)=L$9,$E894*$F894,""))))</f>
        <v/>
      </c>
      <c r="M894" s="91" t="str">
        <f t="shared" si="13"/>
        <v/>
      </c>
      <c r="N894" s="96"/>
      <c r="O894" s="95"/>
      <c r="P894" s="96"/>
      <c r="Q894" s="98"/>
    </row>
    <row r="895" spans="1:17" ht="15.75" x14ac:dyDescent="0.2">
      <c r="A895" s="17"/>
      <c r="B895" s="18"/>
      <c r="C895" s="87" t="str">
        <f>IF(B895="","",
IF(M895=$H$5,IFERROR(VLOOKUP(B895,'Baremos actuales'!A:E,5,FALSE),"No encontrado. Revisar código, fecha ejecución y/o contrato."),
IF(M895=$H$4,IFERROR(VLOOKUP(B895,'Baremos anteriores'!A:E,5,FALSE),"No encontrado. Revisar código, fecha ejecución y/o contrato."),
IF(M895=$H$3,IFERROR(VLOOKUP(B895,#REF!,5,FALSE),"No encontrado. Revisar código, fecha ejecución y/o contrato."),
IF(D895="","Código no encontrado",
IF(D895="ERROR","No encontrado. Revisar Código, fecha de ejecución y/o contrato.",
IF(D895="MATE",
IF(C894="DESCRIPCION","NO SE PUEDE COMENZAR SIN CÓDIGO DE TAREA",
IF(C894="","FALTA CÓDIGO DE TAREA",
CONCATENATE("          ",VLOOKUP(B895,'Maestro Materiales'!A:C,3,FALSE)))),IFERROR(VLOOKUP(B895,#REF!,5,FALSE),"No encontrado. Revisar código, fecha ejecución y/o contrato."))))))))</f>
        <v/>
      </c>
      <c r="D895" s="88" t="str">
        <f>IF(B895="","",
IFERROR(VLOOKUP(B895,'Maestro Materiales'!A:C,2,FALSE),
IFERROR(VLOOKUP(B895,'Baremos actuales'!A:B,2,FALSE),
IFERROR(VLOOKUP(B895,'Baremos anteriores'!A:B,2,FALSE),
""))))</f>
        <v/>
      </c>
      <c r="E895" s="9"/>
      <c r="F895" s="89" t="str">
        <f>IF(D895="MATE",
IF(E895="","¿Unidades?",""),
IF(D895="",IF(E895="","","¿Código?"),
IF(E895="","¿Unidades?",
IF(D895="TARE",
IF(M895=$H$3,IFERROR(VLOOKUP(B895,'Baremos actuales'!A:C,3,FALSE),0),
IF(M895=$H$4,IFERROR(VLOOKUP(B895,'Baremos anteriores'!A:C,3,FALSE),0),0))))))</f>
        <v/>
      </c>
      <c r="G895" s="7"/>
      <c r="H895" s="8"/>
      <c r="I895" s="8"/>
      <c r="J895" s="78" t="str">
        <f>IF($D895="","",
IF($E895="","",
IF($D895="MATE","",
IF(VLOOKUP($B895,'Baremos actuales'!A:D,4,FALSE)=J$9,$E895*$F895,IF(VLOOKUP($B895,'Baremos anteriores'!A:D,4,FALSE)="Sin Definir",$E895*$F895,"")))))</f>
        <v/>
      </c>
      <c r="K895" s="79" t="str">
        <f>IF($D895="","",
IF($E895="","",
IF($D895="MATE","",
IF(VLOOKUP($B895,'Baremos actuales'!$A:$D,4,FALSE)=K$9,$E895*$F895,IF(VLOOKUP($B895,'Baremos anteriores'!$A:$D,4,FALSE)="Desmonte",$E895*$F895,"")))))</f>
        <v/>
      </c>
      <c r="L895" s="80" t="str">
        <f>IF($D895="","",
IF($E895="","",
IF($D895="MATE","",
IF(VLOOKUP($B895,'Baremos actuales'!$A:$D,4,FALSE)=L$9,$E895*$F895,""))))</f>
        <v/>
      </c>
      <c r="M895" s="91" t="str">
        <f t="shared" si="13"/>
        <v/>
      </c>
      <c r="N895" s="96"/>
      <c r="O895" s="95"/>
      <c r="P895" s="96"/>
      <c r="Q895" s="98"/>
    </row>
    <row r="896" spans="1:17" ht="15.75" x14ac:dyDescent="0.2">
      <c r="A896" s="17"/>
      <c r="B896" s="18"/>
      <c r="C896" s="87" t="str">
        <f>IF(B896="","",
IF(M896=$H$5,IFERROR(VLOOKUP(B896,'Baremos actuales'!A:E,5,FALSE),"No encontrado. Revisar código, fecha ejecución y/o contrato."),
IF(M896=$H$4,IFERROR(VLOOKUP(B896,'Baremos anteriores'!A:E,5,FALSE),"No encontrado. Revisar código, fecha ejecución y/o contrato."),
IF(M896=$H$3,IFERROR(VLOOKUP(B896,#REF!,5,FALSE),"No encontrado. Revisar código, fecha ejecución y/o contrato."),
IF(D896="","Código no encontrado",
IF(D896="ERROR","No encontrado. Revisar Código, fecha de ejecución y/o contrato.",
IF(D896="MATE",
IF(C895="DESCRIPCION","NO SE PUEDE COMENZAR SIN CÓDIGO DE TAREA",
IF(C895="","FALTA CÓDIGO DE TAREA",
CONCATENATE("          ",VLOOKUP(B896,'Maestro Materiales'!A:C,3,FALSE)))),IFERROR(VLOOKUP(B896,#REF!,5,FALSE),"No encontrado. Revisar código, fecha ejecución y/o contrato."))))))))</f>
        <v/>
      </c>
      <c r="D896" s="88" t="str">
        <f>IF(B896="","",
IFERROR(VLOOKUP(B896,'Maestro Materiales'!A:C,2,FALSE),
IFERROR(VLOOKUP(B896,'Baremos actuales'!A:B,2,FALSE),
IFERROR(VLOOKUP(B896,'Baremos anteriores'!A:B,2,FALSE),
""))))</f>
        <v/>
      </c>
      <c r="E896" s="9"/>
      <c r="F896" s="89" t="str">
        <f>IF(D896="MATE",
IF(E896="","¿Unidades?",""),
IF(D896="",IF(E896="","","¿Código?"),
IF(E896="","¿Unidades?",
IF(D896="TARE",
IF(M896=$H$3,IFERROR(VLOOKUP(B896,'Baremos actuales'!A:C,3,FALSE),0),
IF(M896=$H$4,IFERROR(VLOOKUP(B896,'Baremos anteriores'!A:C,3,FALSE),0),0))))))</f>
        <v/>
      </c>
      <c r="G896" s="7"/>
      <c r="H896" s="8"/>
      <c r="I896" s="8"/>
      <c r="J896" s="78" t="str">
        <f>IF($D896="","",
IF($E896="","",
IF($D896="MATE","",
IF(VLOOKUP($B896,'Baremos actuales'!A:D,4,FALSE)=J$9,$E896*$F896,IF(VLOOKUP($B896,'Baremos anteriores'!A:D,4,FALSE)="Sin Definir",$E896*$F896,"")))))</f>
        <v/>
      </c>
      <c r="K896" s="79" t="str">
        <f>IF($D896="","",
IF($E896="","",
IF($D896="MATE","",
IF(VLOOKUP($B896,'Baremos actuales'!$A:$D,4,FALSE)=K$9,$E896*$F896,IF(VLOOKUP($B896,'Baremos anteriores'!$A:$D,4,FALSE)="Desmonte",$E896*$F896,"")))))</f>
        <v/>
      </c>
      <c r="L896" s="80" t="str">
        <f>IF($D896="","",
IF($E896="","",
IF($D896="MATE","",
IF(VLOOKUP($B896,'Baremos actuales'!$A:$D,4,FALSE)=L$9,$E896*$F896,""))))</f>
        <v/>
      </c>
      <c r="M896" s="91" t="str">
        <f t="shared" si="13"/>
        <v/>
      </c>
      <c r="N896" s="96"/>
      <c r="O896" s="95"/>
      <c r="P896" s="96"/>
      <c r="Q896" s="98"/>
    </row>
    <row r="897" spans="1:17" ht="15.75" x14ac:dyDescent="0.2">
      <c r="A897" s="17"/>
      <c r="B897" s="18"/>
      <c r="C897" s="87" t="str">
        <f>IF(B897="","",
IF(M897=$H$5,IFERROR(VLOOKUP(B897,'Baremos actuales'!A:E,5,FALSE),"No encontrado. Revisar código, fecha ejecución y/o contrato."),
IF(M897=$H$4,IFERROR(VLOOKUP(B897,'Baremos anteriores'!A:E,5,FALSE),"No encontrado. Revisar código, fecha ejecución y/o contrato."),
IF(M897=$H$3,IFERROR(VLOOKUP(B897,#REF!,5,FALSE),"No encontrado. Revisar código, fecha ejecución y/o contrato."),
IF(D897="","Código no encontrado",
IF(D897="ERROR","No encontrado. Revisar Código, fecha de ejecución y/o contrato.",
IF(D897="MATE",
IF(C896="DESCRIPCION","NO SE PUEDE COMENZAR SIN CÓDIGO DE TAREA",
IF(C896="","FALTA CÓDIGO DE TAREA",
CONCATENATE("          ",VLOOKUP(B897,'Maestro Materiales'!A:C,3,FALSE)))),IFERROR(VLOOKUP(B897,#REF!,5,FALSE),"No encontrado. Revisar código, fecha ejecución y/o contrato."))))))))</f>
        <v/>
      </c>
      <c r="D897" s="88" t="str">
        <f>IF(B897="","",
IFERROR(VLOOKUP(B897,'Maestro Materiales'!A:C,2,FALSE),
IFERROR(VLOOKUP(B897,'Baremos actuales'!A:B,2,FALSE),
IFERROR(VLOOKUP(B897,'Baremos anteriores'!A:B,2,FALSE),
""))))</f>
        <v/>
      </c>
      <c r="E897" s="9"/>
      <c r="F897" s="89" t="str">
        <f>IF(D897="MATE",
IF(E897="","¿Unidades?",""),
IF(D897="",IF(E897="","","¿Código?"),
IF(E897="","¿Unidades?",
IF(D897="TARE",
IF(M897=$H$3,IFERROR(VLOOKUP(B897,'Baremos actuales'!A:C,3,FALSE),0),
IF(M897=$H$4,IFERROR(VLOOKUP(B897,'Baremos anteriores'!A:C,3,FALSE),0),0))))))</f>
        <v/>
      </c>
      <c r="G897" s="7"/>
      <c r="H897" s="8"/>
      <c r="I897" s="8"/>
      <c r="J897" s="78" t="str">
        <f>IF($D897="","",
IF($E897="","",
IF($D897="MATE","",
IF(VLOOKUP($B897,'Baremos actuales'!A:D,4,FALSE)=J$9,$E897*$F897,IF(VLOOKUP($B897,'Baremos anteriores'!A:D,4,FALSE)="Sin Definir",$E897*$F897,"")))))</f>
        <v/>
      </c>
      <c r="K897" s="79" t="str">
        <f>IF($D897="","",
IF($E897="","",
IF($D897="MATE","",
IF(VLOOKUP($B897,'Baremos actuales'!$A:$D,4,FALSE)=K$9,$E897*$F897,IF(VLOOKUP($B897,'Baremos anteriores'!$A:$D,4,FALSE)="Desmonte",$E897*$F897,"")))))</f>
        <v/>
      </c>
      <c r="L897" s="80" t="str">
        <f>IF($D897="","",
IF($E897="","",
IF($D897="MATE","",
IF(VLOOKUP($B897,'Baremos actuales'!$A:$D,4,FALSE)=L$9,$E897*$F897,""))))</f>
        <v/>
      </c>
      <c r="M897" s="91" t="str">
        <f t="shared" si="13"/>
        <v/>
      </c>
      <c r="N897" s="96"/>
      <c r="O897" s="95"/>
      <c r="P897" s="96"/>
      <c r="Q897" s="98"/>
    </row>
    <row r="898" spans="1:17" ht="15.75" x14ac:dyDescent="0.2">
      <c r="A898" s="17"/>
      <c r="B898" s="18"/>
      <c r="C898" s="87" t="str">
        <f>IF(B898="","",
IF(M898=$H$5,IFERROR(VLOOKUP(B898,'Baremos actuales'!A:E,5,FALSE),"No encontrado. Revisar código, fecha ejecución y/o contrato."),
IF(M898=$H$4,IFERROR(VLOOKUP(B898,'Baremos anteriores'!A:E,5,FALSE),"No encontrado. Revisar código, fecha ejecución y/o contrato."),
IF(M898=$H$3,IFERROR(VLOOKUP(B898,#REF!,5,FALSE),"No encontrado. Revisar código, fecha ejecución y/o contrato."),
IF(D898="","Código no encontrado",
IF(D898="ERROR","No encontrado. Revisar Código, fecha de ejecución y/o contrato.",
IF(D898="MATE",
IF(C897="DESCRIPCION","NO SE PUEDE COMENZAR SIN CÓDIGO DE TAREA",
IF(C897="","FALTA CÓDIGO DE TAREA",
CONCATENATE("          ",VLOOKUP(B898,'Maestro Materiales'!A:C,3,FALSE)))),IFERROR(VLOOKUP(B898,#REF!,5,FALSE),"No encontrado. Revisar código, fecha ejecución y/o contrato."))))))))</f>
        <v/>
      </c>
      <c r="D898" s="88" t="str">
        <f>IF(B898="","",
IFERROR(VLOOKUP(B898,'Maestro Materiales'!A:C,2,FALSE),
IFERROR(VLOOKUP(B898,'Baremos actuales'!A:B,2,FALSE),
IFERROR(VLOOKUP(B898,'Baremos anteriores'!A:B,2,FALSE),
""))))</f>
        <v/>
      </c>
      <c r="E898" s="9"/>
      <c r="F898" s="89" t="str">
        <f>IF(D898="MATE",
IF(E898="","¿Unidades?",""),
IF(D898="",IF(E898="","","¿Código?"),
IF(E898="","¿Unidades?",
IF(D898="TARE",
IF(M898=$H$3,IFERROR(VLOOKUP(B898,'Baremos actuales'!A:C,3,FALSE),0),
IF(M898=$H$4,IFERROR(VLOOKUP(B898,'Baremos anteriores'!A:C,3,FALSE),0),0))))))</f>
        <v/>
      </c>
      <c r="G898" s="7"/>
      <c r="H898" s="8"/>
      <c r="I898" s="8"/>
      <c r="J898" s="78" t="str">
        <f>IF($D898="","",
IF($E898="","",
IF($D898="MATE","",
IF(VLOOKUP($B898,'Baremos actuales'!A:D,4,FALSE)=J$9,$E898*$F898,IF(VLOOKUP($B898,'Baremos anteriores'!A:D,4,FALSE)="Sin Definir",$E898*$F898,"")))))</f>
        <v/>
      </c>
      <c r="K898" s="79" t="str">
        <f>IF($D898="","",
IF($E898="","",
IF($D898="MATE","",
IF(VLOOKUP($B898,'Baremos actuales'!$A:$D,4,FALSE)=K$9,$E898*$F898,IF(VLOOKUP($B898,'Baremos anteriores'!$A:$D,4,FALSE)="Desmonte",$E898*$F898,"")))))</f>
        <v/>
      </c>
      <c r="L898" s="80" t="str">
        <f>IF($D898="","",
IF($E898="","",
IF($D898="MATE","",
IF(VLOOKUP($B898,'Baremos actuales'!$A:$D,4,FALSE)=L$9,$E898*$F898,""))))</f>
        <v/>
      </c>
      <c r="M898" s="91" t="str">
        <f t="shared" si="13"/>
        <v/>
      </c>
      <c r="N898" s="96"/>
      <c r="O898" s="95"/>
      <c r="P898" s="96"/>
      <c r="Q898" s="98"/>
    </row>
    <row r="899" spans="1:17" ht="15.75" x14ac:dyDescent="0.2">
      <c r="A899" s="17"/>
      <c r="B899" s="18"/>
      <c r="C899" s="87" t="str">
        <f>IF(B899="","",
IF(M899=$H$5,IFERROR(VLOOKUP(B899,'Baremos actuales'!A:E,5,FALSE),"No encontrado. Revisar código, fecha ejecución y/o contrato."),
IF(M899=$H$4,IFERROR(VLOOKUP(B899,'Baremos anteriores'!A:E,5,FALSE),"No encontrado. Revisar código, fecha ejecución y/o contrato."),
IF(M899=$H$3,IFERROR(VLOOKUP(B899,#REF!,5,FALSE),"No encontrado. Revisar código, fecha ejecución y/o contrato."),
IF(D899="","Código no encontrado",
IF(D899="ERROR","No encontrado. Revisar Código, fecha de ejecución y/o contrato.",
IF(D899="MATE",
IF(C898="DESCRIPCION","NO SE PUEDE COMENZAR SIN CÓDIGO DE TAREA",
IF(C898="","FALTA CÓDIGO DE TAREA",
CONCATENATE("          ",VLOOKUP(B899,'Maestro Materiales'!A:C,3,FALSE)))),IFERROR(VLOOKUP(B899,#REF!,5,FALSE),"No encontrado. Revisar código, fecha ejecución y/o contrato."))))))))</f>
        <v/>
      </c>
      <c r="D899" s="88" t="str">
        <f>IF(B899="","",
IFERROR(VLOOKUP(B899,'Maestro Materiales'!A:C,2,FALSE),
IFERROR(VLOOKUP(B899,'Baremos actuales'!A:B,2,FALSE),
IFERROR(VLOOKUP(B899,'Baremos anteriores'!A:B,2,FALSE),
""))))</f>
        <v/>
      </c>
      <c r="E899" s="9"/>
      <c r="F899" s="89" t="str">
        <f>IF(D899="MATE",
IF(E899="","¿Unidades?",""),
IF(D899="",IF(E899="","","¿Código?"),
IF(E899="","¿Unidades?",
IF(D899="TARE",
IF(M899=$H$3,IFERROR(VLOOKUP(B899,'Baremos actuales'!A:C,3,FALSE),0),
IF(M899=$H$4,IFERROR(VLOOKUP(B899,'Baremos anteriores'!A:C,3,FALSE),0),0))))))</f>
        <v/>
      </c>
      <c r="G899" s="7"/>
      <c r="H899" s="8"/>
      <c r="I899" s="8"/>
      <c r="J899" s="78" t="str">
        <f>IF($D899="","",
IF($E899="","",
IF($D899="MATE","",
IF(VLOOKUP($B899,'Baremos actuales'!A:D,4,FALSE)=J$9,$E899*$F899,IF(VLOOKUP($B899,'Baremos anteriores'!A:D,4,FALSE)="Sin Definir",$E899*$F899,"")))))</f>
        <v/>
      </c>
      <c r="K899" s="79" t="str">
        <f>IF($D899="","",
IF($E899="","",
IF($D899="MATE","",
IF(VLOOKUP($B899,'Baremos actuales'!$A:$D,4,FALSE)=K$9,$E899*$F899,IF(VLOOKUP($B899,'Baremos anteriores'!$A:$D,4,FALSE)="Desmonte",$E899*$F899,"")))))</f>
        <v/>
      </c>
      <c r="L899" s="80" t="str">
        <f>IF($D899="","",
IF($E899="","",
IF($D899="MATE","",
IF(VLOOKUP($B899,'Baremos actuales'!$A:$D,4,FALSE)=L$9,$E899*$F899,""))))</f>
        <v/>
      </c>
      <c r="M899" s="91" t="str">
        <f t="shared" si="13"/>
        <v/>
      </c>
      <c r="N899" s="96"/>
      <c r="O899" s="95"/>
      <c r="P899" s="96"/>
      <c r="Q899" s="98"/>
    </row>
    <row r="900" spans="1:17" ht="15.75" x14ac:dyDescent="0.2">
      <c r="A900" s="17"/>
      <c r="B900" s="18"/>
      <c r="C900" s="87" t="str">
        <f>IF(B900="","",
IF(M900=$H$5,IFERROR(VLOOKUP(B900,'Baremos actuales'!A:E,5,FALSE),"No encontrado. Revisar código, fecha ejecución y/o contrato."),
IF(M900=$H$4,IFERROR(VLOOKUP(B900,'Baremos anteriores'!A:E,5,FALSE),"No encontrado. Revisar código, fecha ejecución y/o contrato."),
IF(M900=$H$3,IFERROR(VLOOKUP(B900,#REF!,5,FALSE),"No encontrado. Revisar código, fecha ejecución y/o contrato."),
IF(D900="","Código no encontrado",
IF(D900="ERROR","No encontrado. Revisar Código, fecha de ejecución y/o contrato.",
IF(D900="MATE",
IF(C899="DESCRIPCION","NO SE PUEDE COMENZAR SIN CÓDIGO DE TAREA",
IF(C899="","FALTA CÓDIGO DE TAREA",
CONCATENATE("          ",VLOOKUP(B900,'Maestro Materiales'!A:C,3,FALSE)))),IFERROR(VLOOKUP(B900,#REF!,5,FALSE),"No encontrado. Revisar código, fecha ejecución y/o contrato."))))))))</f>
        <v/>
      </c>
      <c r="D900" s="88" t="str">
        <f>IF(B900="","",
IFERROR(VLOOKUP(B900,'Maestro Materiales'!A:C,2,FALSE),
IFERROR(VLOOKUP(B900,'Baremos actuales'!A:B,2,FALSE),
IFERROR(VLOOKUP(B900,'Baremos anteriores'!A:B,2,FALSE),
""))))</f>
        <v/>
      </c>
      <c r="E900" s="9"/>
      <c r="F900" s="89" t="str">
        <f>IF(D900="MATE",
IF(E900="","¿Unidades?",""),
IF(D900="",IF(E900="","","¿Código?"),
IF(E900="","¿Unidades?",
IF(D900="TARE",
IF(M900=$H$3,IFERROR(VLOOKUP(B900,'Baremos actuales'!A:C,3,FALSE),0),
IF(M900=$H$4,IFERROR(VLOOKUP(B900,'Baremos anteriores'!A:C,3,FALSE),0),0))))))</f>
        <v/>
      </c>
      <c r="G900" s="7"/>
      <c r="H900" s="8"/>
      <c r="I900" s="8"/>
      <c r="J900" s="78" t="str">
        <f>IF($D900="","",
IF($E900="","",
IF($D900="MATE","",
IF(VLOOKUP($B900,'Baremos actuales'!A:D,4,FALSE)=J$9,$E900*$F900,IF(VLOOKUP($B900,'Baremos anteriores'!A:D,4,FALSE)="Sin Definir",$E900*$F900,"")))))</f>
        <v/>
      </c>
      <c r="K900" s="79" t="str">
        <f>IF($D900="","",
IF($E900="","",
IF($D900="MATE","",
IF(VLOOKUP($B900,'Baremos actuales'!$A:$D,4,FALSE)=K$9,$E900*$F900,IF(VLOOKUP($B900,'Baremos anteriores'!$A:$D,4,FALSE)="Desmonte",$E900*$F900,"")))))</f>
        <v/>
      </c>
      <c r="L900" s="80" t="str">
        <f>IF($D900="","",
IF($E900="","",
IF($D900="MATE","",
IF(VLOOKUP($B900,'Baremos actuales'!$A:$D,4,FALSE)=L$9,$E900*$F900,""))))</f>
        <v/>
      </c>
      <c r="M900" s="91" t="str">
        <f t="shared" si="13"/>
        <v/>
      </c>
      <c r="N900" s="96"/>
      <c r="O900" s="95"/>
      <c r="P900" s="96"/>
      <c r="Q900" s="98"/>
    </row>
    <row r="901" spans="1:17" ht="15.75" x14ac:dyDescent="0.2">
      <c r="A901" s="17"/>
      <c r="B901" s="18"/>
      <c r="C901" s="87" t="str">
        <f>IF(B901="","",
IF(M901=$H$5,IFERROR(VLOOKUP(B901,'Baremos actuales'!A:E,5,FALSE),"No encontrado. Revisar código, fecha ejecución y/o contrato."),
IF(M901=$H$4,IFERROR(VLOOKUP(B901,'Baremos anteriores'!A:E,5,FALSE),"No encontrado. Revisar código, fecha ejecución y/o contrato."),
IF(M901=$H$3,IFERROR(VLOOKUP(B901,#REF!,5,FALSE),"No encontrado. Revisar código, fecha ejecución y/o contrato."),
IF(D901="","Código no encontrado",
IF(D901="ERROR","No encontrado. Revisar Código, fecha de ejecución y/o contrato.",
IF(D901="MATE",
IF(C900="DESCRIPCION","NO SE PUEDE COMENZAR SIN CÓDIGO DE TAREA",
IF(C900="","FALTA CÓDIGO DE TAREA",
CONCATENATE("          ",VLOOKUP(B901,'Maestro Materiales'!A:C,3,FALSE)))),IFERROR(VLOOKUP(B901,#REF!,5,FALSE),"No encontrado. Revisar código, fecha ejecución y/o contrato."))))))))</f>
        <v/>
      </c>
      <c r="D901" s="88" t="str">
        <f>IF(B901="","",
IFERROR(VLOOKUP(B901,'Maestro Materiales'!A:C,2,FALSE),
IFERROR(VLOOKUP(B901,'Baremos actuales'!A:B,2,FALSE),
IFERROR(VLOOKUP(B901,'Baremos anteriores'!A:B,2,FALSE),
""))))</f>
        <v/>
      </c>
      <c r="E901" s="9"/>
      <c r="F901" s="89" t="str">
        <f>IF(D901="MATE",
IF(E901="","¿Unidades?",""),
IF(D901="",IF(E901="","","¿Código?"),
IF(E901="","¿Unidades?",
IF(D901="TARE",
IF(M901=$H$3,IFERROR(VLOOKUP(B901,'Baremos actuales'!A:C,3,FALSE),0),
IF(M901=$H$4,IFERROR(VLOOKUP(B901,'Baremos anteriores'!A:C,3,FALSE),0),0))))))</f>
        <v/>
      </c>
      <c r="G901" s="7"/>
      <c r="H901" s="8"/>
      <c r="I901" s="8"/>
      <c r="J901" s="78" t="str">
        <f>IF($D901="","",
IF($E901="","",
IF($D901="MATE","",
IF(VLOOKUP($B901,'Baremos actuales'!A:D,4,FALSE)=J$9,$E901*$F901,IF(VLOOKUP($B901,'Baremos anteriores'!A:D,4,FALSE)="Sin Definir",$E901*$F901,"")))))</f>
        <v/>
      </c>
      <c r="K901" s="79" t="str">
        <f>IF($D901="","",
IF($E901="","",
IF($D901="MATE","",
IF(VLOOKUP($B901,'Baremos actuales'!$A:$D,4,FALSE)=K$9,$E901*$F901,IF(VLOOKUP($B901,'Baremos anteriores'!$A:$D,4,FALSE)="Desmonte",$E901*$F901,"")))))</f>
        <v/>
      </c>
      <c r="L901" s="80" t="str">
        <f>IF($D901="","",
IF($E901="","",
IF($D901="MATE","",
IF(VLOOKUP($B901,'Baremos actuales'!$A:$D,4,FALSE)=L$9,$E901*$F901,""))))</f>
        <v/>
      </c>
      <c r="M901" s="91" t="str">
        <f t="shared" si="13"/>
        <v/>
      </c>
      <c r="N901" s="96"/>
      <c r="O901" s="95"/>
      <c r="P901" s="96"/>
      <c r="Q901" s="98"/>
    </row>
    <row r="902" spans="1:17" ht="15.75" x14ac:dyDescent="0.2">
      <c r="A902" s="17"/>
      <c r="B902" s="18"/>
      <c r="C902" s="87" t="str">
        <f>IF(B902="","",
IF(M902=$H$5,IFERROR(VLOOKUP(B902,'Baremos actuales'!A:E,5,FALSE),"No encontrado. Revisar código, fecha ejecución y/o contrato."),
IF(M902=$H$4,IFERROR(VLOOKUP(B902,'Baremos anteriores'!A:E,5,FALSE),"No encontrado. Revisar código, fecha ejecución y/o contrato."),
IF(M902=$H$3,IFERROR(VLOOKUP(B902,#REF!,5,FALSE),"No encontrado. Revisar código, fecha ejecución y/o contrato."),
IF(D902="","Código no encontrado",
IF(D902="ERROR","No encontrado. Revisar Código, fecha de ejecución y/o contrato.",
IF(D902="MATE",
IF(C901="DESCRIPCION","NO SE PUEDE COMENZAR SIN CÓDIGO DE TAREA",
IF(C901="","FALTA CÓDIGO DE TAREA",
CONCATENATE("          ",VLOOKUP(B902,'Maestro Materiales'!A:C,3,FALSE)))),IFERROR(VLOOKUP(B902,#REF!,5,FALSE),"No encontrado. Revisar código, fecha ejecución y/o contrato."))))))))</f>
        <v/>
      </c>
      <c r="D902" s="88" t="str">
        <f>IF(B902="","",
IFERROR(VLOOKUP(B902,'Maestro Materiales'!A:C,2,FALSE),
IFERROR(VLOOKUP(B902,'Baremos actuales'!A:B,2,FALSE),
IFERROR(VLOOKUP(B902,'Baremos anteriores'!A:B,2,FALSE),
""))))</f>
        <v/>
      </c>
      <c r="E902" s="9"/>
      <c r="F902" s="89" t="str">
        <f>IF(D902="MATE",
IF(E902="","¿Unidades?",""),
IF(D902="",IF(E902="","","¿Código?"),
IF(E902="","¿Unidades?",
IF(D902="TARE",
IF(M902=$H$3,IFERROR(VLOOKUP(B902,'Baremos actuales'!A:C,3,FALSE),0),
IF(M902=$H$4,IFERROR(VLOOKUP(B902,'Baremos anteriores'!A:C,3,FALSE),0),0))))))</f>
        <v/>
      </c>
      <c r="G902" s="7"/>
      <c r="H902" s="8"/>
      <c r="I902" s="8"/>
      <c r="J902" s="78" t="str">
        <f>IF($D902="","",
IF($E902="","",
IF($D902="MATE","",
IF(VLOOKUP($B902,'Baremos actuales'!A:D,4,FALSE)=J$9,$E902*$F902,IF(VLOOKUP($B902,'Baremos anteriores'!A:D,4,FALSE)="Sin Definir",$E902*$F902,"")))))</f>
        <v/>
      </c>
      <c r="K902" s="79" t="str">
        <f>IF($D902="","",
IF($E902="","",
IF($D902="MATE","",
IF(VLOOKUP($B902,'Baremos actuales'!$A:$D,4,FALSE)=K$9,$E902*$F902,IF(VLOOKUP($B902,'Baremos anteriores'!$A:$D,4,FALSE)="Desmonte",$E902*$F902,"")))))</f>
        <v/>
      </c>
      <c r="L902" s="80" t="str">
        <f>IF($D902="","",
IF($E902="","",
IF($D902="MATE","",
IF(VLOOKUP($B902,'Baremos actuales'!$A:$D,4,FALSE)=L$9,$E902*$F902,""))))</f>
        <v/>
      </c>
      <c r="M902" s="91" t="str">
        <f t="shared" si="13"/>
        <v/>
      </c>
      <c r="N902" s="96"/>
      <c r="O902" s="95"/>
      <c r="P902" s="96"/>
      <c r="Q902" s="98"/>
    </row>
    <row r="903" spans="1:17" ht="15.75" x14ac:dyDescent="0.2">
      <c r="A903" s="17"/>
      <c r="B903" s="18"/>
      <c r="C903" s="87" t="str">
        <f>IF(B903="","",
IF(M903=$H$5,IFERROR(VLOOKUP(B903,'Baremos actuales'!A:E,5,FALSE),"No encontrado. Revisar código, fecha ejecución y/o contrato."),
IF(M903=$H$4,IFERROR(VLOOKUP(B903,'Baremos anteriores'!A:E,5,FALSE),"No encontrado. Revisar código, fecha ejecución y/o contrato."),
IF(M903=$H$3,IFERROR(VLOOKUP(B903,#REF!,5,FALSE),"No encontrado. Revisar código, fecha ejecución y/o contrato."),
IF(D903="","Código no encontrado",
IF(D903="ERROR","No encontrado. Revisar Código, fecha de ejecución y/o contrato.",
IF(D903="MATE",
IF(C902="DESCRIPCION","NO SE PUEDE COMENZAR SIN CÓDIGO DE TAREA",
IF(C902="","FALTA CÓDIGO DE TAREA",
CONCATENATE("          ",VLOOKUP(B903,'Maestro Materiales'!A:C,3,FALSE)))),IFERROR(VLOOKUP(B903,#REF!,5,FALSE),"No encontrado. Revisar código, fecha ejecución y/o contrato."))))))))</f>
        <v/>
      </c>
      <c r="D903" s="88" t="str">
        <f>IF(B903="","",
IFERROR(VLOOKUP(B903,'Maestro Materiales'!A:C,2,FALSE),
IFERROR(VLOOKUP(B903,'Baremos actuales'!A:B,2,FALSE),
IFERROR(VLOOKUP(B903,'Baremos anteriores'!A:B,2,FALSE),
""))))</f>
        <v/>
      </c>
      <c r="E903" s="9"/>
      <c r="F903" s="89" t="str">
        <f>IF(D903="MATE",
IF(E903="","¿Unidades?",""),
IF(D903="",IF(E903="","","¿Código?"),
IF(E903="","¿Unidades?",
IF(D903="TARE",
IF(M903=$H$3,IFERROR(VLOOKUP(B903,'Baremos actuales'!A:C,3,FALSE),0),
IF(M903=$H$4,IFERROR(VLOOKUP(B903,'Baremos anteriores'!A:C,3,FALSE),0),0))))))</f>
        <v/>
      </c>
      <c r="G903" s="7"/>
      <c r="H903" s="8"/>
      <c r="I903" s="8"/>
      <c r="J903" s="78" t="str">
        <f>IF($D903="","",
IF($E903="","",
IF($D903="MATE","",
IF(VLOOKUP($B903,'Baremos actuales'!A:D,4,FALSE)=J$9,$E903*$F903,IF(VLOOKUP($B903,'Baremos anteriores'!A:D,4,FALSE)="Sin Definir",$E903*$F903,"")))))</f>
        <v/>
      </c>
      <c r="K903" s="79" t="str">
        <f>IF($D903="","",
IF($E903="","",
IF($D903="MATE","",
IF(VLOOKUP($B903,'Baremos actuales'!$A:$D,4,FALSE)=K$9,$E903*$F903,IF(VLOOKUP($B903,'Baremos anteriores'!$A:$D,4,FALSE)="Desmonte",$E903*$F903,"")))))</f>
        <v/>
      </c>
      <c r="L903" s="80" t="str">
        <f>IF($D903="","",
IF($E903="","",
IF($D903="MATE","",
IF(VLOOKUP($B903,'Baremos actuales'!$A:$D,4,FALSE)=L$9,$E903*$F903,""))))</f>
        <v/>
      </c>
      <c r="M903" s="91" t="str">
        <f t="shared" si="13"/>
        <v/>
      </c>
      <c r="N903" s="96"/>
      <c r="O903" s="95"/>
      <c r="P903" s="96"/>
      <c r="Q903" s="98"/>
    </row>
    <row r="904" spans="1:17" ht="15.75" x14ac:dyDescent="0.2">
      <c r="A904" s="17"/>
      <c r="B904" s="18"/>
      <c r="C904" s="87" t="str">
        <f>IF(B904="","",
IF(M904=$H$5,IFERROR(VLOOKUP(B904,'Baremos actuales'!A:E,5,FALSE),"No encontrado. Revisar código, fecha ejecución y/o contrato."),
IF(M904=$H$4,IFERROR(VLOOKUP(B904,'Baremos anteriores'!A:E,5,FALSE),"No encontrado. Revisar código, fecha ejecución y/o contrato."),
IF(M904=$H$3,IFERROR(VLOOKUP(B904,#REF!,5,FALSE),"No encontrado. Revisar código, fecha ejecución y/o contrato."),
IF(D904="","Código no encontrado",
IF(D904="ERROR","No encontrado. Revisar Código, fecha de ejecución y/o contrato.",
IF(D904="MATE",
IF(C903="DESCRIPCION","NO SE PUEDE COMENZAR SIN CÓDIGO DE TAREA",
IF(C903="","FALTA CÓDIGO DE TAREA",
CONCATENATE("          ",VLOOKUP(B904,'Maestro Materiales'!A:C,3,FALSE)))),IFERROR(VLOOKUP(B904,#REF!,5,FALSE),"No encontrado. Revisar código, fecha ejecución y/o contrato."))))))))</f>
        <v/>
      </c>
      <c r="D904" s="88" t="str">
        <f>IF(B904="","",
IFERROR(VLOOKUP(B904,'Maestro Materiales'!A:C,2,FALSE),
IFERROR(VLOOKUP(B904,'Baremos actuales'!A:B,2,FALSE),
IFERROR(VLOOKUP(B904,'Baremos anteriores'!A:B,2,FALSE),
""))))</f>
        <v/>
      </c>
      <c r="E904" s="9"/>
      <c r="F904" s="89" t="str">
        <f>IF(D904="MATE",
IF(E904="","¿Unidades?",""),
IF(D904="",IF(E904="","","¿Código?"),
IF(E904="","¿Unidades?",
IF(D904="TARE",
IF(M904=$H$3,IFERROR(VLOOKUP(B904,'Baremos actuales'!A:C,3,FALSE),0),
IF(M904=$H$4,IFERROR(VLOOKUP(B904,'Baremos anteriores'!A:C,3,FALSE),0),0))))))</f>
        <v/>
      </c>
      <c r="G904" s="7"/>
      <c r="H904" s="8"/>
      <c r="I904" s="8"/>
      <c r="J904" s="78" t="str">
        <f>IF($D904="","",
IF($E904="","",
IF($D904="MATE","",
IF(VLOOKUP($B904,'Baremos actuales'!A:D,4,FALSE)=J$9,$E904*$F904,IF(VLOOKUP($B904,'Baremos anteriores'!A:D,4,FALSE)="Sin Definir",$E904*$F904,"")))))</f>
        <v/>
      </c>
      <c r="K904" s="79" t="str">
        <f>IF($D904="","",
IF($E904="","",
IF($D904="MATE","",
IF(VLOOKUP($B904,'Baremos actuales'!$A:$D,4,FALSE)=K$9,$E904*$F904,IF(VLOOKUP($B904,'Baremos anteriores'!$A:$D,4,FALSE)="Desmonte",$E904*$F904,"")))))</f>
        <v/>
      </c>
      <c r="L904" s="80" t="str">
        <f>IF($D904="","",
IF($E904="","",
IF($D904="MATE","",
IF(VLOOKUP($B904,'Baremos actuales'!$A:$D,4,FALSE)=L$9,$E904*$F904,""))))</f>
        <v/>
      </c>
      <c r="M904" s="91" t="str">
        <f t="shared" si="13"/>
        <v/>
      </c>
      <c r="N904" s="96"/>
      <c r="O904" s="95"/>
      <c r="P904" s="96"/>
      <c r="Q904" s="98"/>
    </row>
    <row r="905" spans="1:17" ht="15.75" x14ac:dyDescent="0.2">
      <c r="A905" s="17"/>
      <c r="B905" s="18"/>
      <c r="C905" s="87" t="str">
        <f>IF(B905="","",
IF(M905=$H$5,IFERROR(VLOOKUP(B905,'Baremos actuales'!A:E,5,FALSE),"No encontrado. Revisar código, fecha ejecución y/o contrato."),
IF(M905=$H$4,IFERROR(VLOOKUP(B905,'Baremos anteriores'!A:E,5,FALSE),"No encontrado. Revisar código, fecha ejecución y/o contrato."),
IF(M905=$H$3,IFERROR(VLOOKUP(B905,#REF!,5,FALSE),"No encontrado. Revisar código, fecha ejecución y/o contrato."),
IF(D905="","Código no encontrado",
IF(D905="ERROR","No encontrado. Revisar Código, fecha de ejecución y/o contrato.",
IF(D905="MATE",
IF(C904="DESCRIPCION","NO SE PUEDE COMENZAR SIN CÓDIGO DE TAREA",
IF(C904="","FALTA CÓDIGO DE TAREA",
CONCATENATE("          ",VLOOKUP(B905,'Maestro Materiales'!A:C,3,FALSE)))),IFERROR(VLOOKUP(B905,#REF!,5,FALSE),"No encontrado. Revisar código, fecha ejecución y/o contrato."))))))))</f>
        <v/>
      </c>
      <c r="D905" s="88" t="str">
        <f>IF(B905="","",
IFERROR(VLOOKUP(B905,'Maestro Materiales'!A:C,2,FALSE),
IFERROR(VLOOKUP(B905,'Baremos actuales'!A:B,2,FALSE),
IFERROR(VLOOKUP(B905,'Baremos anteriores'!A:B,2,FALSE),
""))))</f>
        <v/>
      </c>
      <c r="E905" s="9"/>
      <c r="F905" s="89" t="str">
        <f>IF(D905="MATE",
IF(E905="","¿Unidades?",""),
IF(D905="",IF(E905="","","¿Código?"),
IF(E905="","¿Unidades?",
IF(D905="TARE",
IF(M905=$H$3,IFERROR(VLOOKUP(B905,'Baremos actuales'!A:C,3,FALSE),0),
IF(M905=$H$4,IFERROR(VLOOKUP(B905,'Baremos anteriores'!A:C,3,FALSE),0),0))))))</f>
        <v/>
      </c>
      <c r="G905" s="7"/>
      <c r="H905" s="8"/>
      <c r="I905" s="8"/>
      <c r="J905" s="78" t="str">
        <f>IF($D905="","",
IF($E905="","",
IF($D905="MATE","",
IF(VLOOKUP($B905,'Baremos actuales'!A:D,4,FALSE)=J$9,$E905*$F905,IF(VLOOKUP($B905,'Baremos anteriores'!A:D,4,FALSE)="Sin Definir",$E905*$F905,"")))))</f>
        <v/>
      </c>
      <c r="K905" s="79" t="str">
        <f>IF($D905="","",
IF($E905="","",
IF($D905="MATE","",
IF(VLOOKUP($B905,'Baremos actuales'!$A:$D,4,FALSE)=K$9,$E905*$F905,IF(VLOOKUP($B905,'Baremos anteriores'!$A:$D,4,FALSE)="Desmonte",$E905*$F905,"")))))</f>
        <v/>
      </c>
      <c r="L905" s="80" t="str">
        <f>IF($D905="","",
IF($E905="","",
IF($D905="MATE","",
IF(VLOOKUP($B905,'Baremos actuales'!$A:$D,4,FALSE)=L$9,$E905*$F905,""))))</f>
        <v/>
      </c>
      <c r="M905" s="91" t="str">
        <f t="shared" si="13"/>
        <v/>
      </c>
      <c r="N905" s="96"/>
      <c r="O905" s="95"/>
      <c r="P905" s="96"/>
      <c r="Q905" s="98"/>
    </row>
    <row r="906" spans="1:17" ht="15.75" x14ac:dyDescent="0.2">
      <c r="A906" s="17"/>
      <c r="B906" s="18"/>
      <c r="C906" s="87" t="str">
        <f>IF(B906="","",
IF(M906=$H$5,IFERROR(VLOOKUP(B906,'Baremos actuales'!A:E,5,FALSE),"No encontrado. Revisar código, fecha ejecución y/o contrato."),
IF(M906=$H$4,IFERROR(VLOOKUP(B906,'Baremos anteriores'!A:E,5,FALSE),"No encontrado. Revisar código, fecha ejecución y/o contrato."),
IF(M906=$H$3,IFERROR(VLOOKUP(B906,#REF!,5,FALSE),"No encontrado. Revisar código, fecha ejecución y/o contrato."),
IF(D906="","Código no encontrado",
IF(D906="ERROR","No encontrado. Revisar Código, fecha de ejecución y/o contrato.",
IF(D906="MATE",
IF(C905="DESCRIPCION","NO SE PUEDE COMENZAR SIN CÓDIGO DE TAREA",
IF(C905="","FALTA CÓDIGO DE TAREA",
CONCATENATE("          ",VLOOKUP(B906,'Maestro Materiales'!A:C,3,FALSE)))),IFERROR(VLOOKUP(B906,#REF!,5,FALSE),"No encontrado. Revisar código, fecha ejecución y/o contrato."))))))))</f>
        <v/>
      </c>
      <c r="D906" s="88" t="str">
        <f>IF(B906="","",
IFERROR(VLOOKUP(B906,'Maestro Materiales'!A:C,2,FALSE),
IFERROR(VLOOKUP(B906,'Baremos actuales'!A:B,2,FALSE),
IFERROR(VLOOKUP(B906,'Baremos anteriores'!A:B,2,FALSE),
""))))</f>
        <v/>
      </c>
      <c r="E906" s="9"/>
      <c r="F906" s="89" t="str">
        <f>IF(D906="MATE",
IF(E906="","¿Unidades?",""),
IF(D906="",IF(E906="","","¿Código?"),
IF(E906="","¿Unidades?",
IF(D906="TARE",
IF(M906=$H$3,IFERROR(VLOOKUP(B906,'Baremos actuales'!A:C,3,FALSE),0),
IF(M906=$H$4,IFERROR(VLOOKUP(B906,'Baremos anteriores'!A:C,3,FALSE),0),0))))))</f>
        <v/>
      </c>
      <c r="G906" s="7"/>
      <c r="H906" s="8"/>
      <c r="I906" s="8"/>
      <c r="J906" s="78" t="str">
        <f>IF($D906="","",
IF($E906="","",
IF($D906="MATE","",
IF(VLOOKUP($B906,'Baremos actuales'!A:D,4,FALSE)=J$9,$E906*$F906,IF(VLOOKUP($B906,'Baremos anteriores'!A:D,4,FALSE)="Sin Definir",$E906*$F906,"")))))</f>
        <v/>
      </c>
      <c r="K906" s="79" t="str">
        <f>IF($D906="","",
IF($E906="","",
IF($D906="MATE","",
IF(VLOOKUP($B906,'Baremos actuales'!$A:$D,4,FALSE)=K$9,$E906*$F906,IF(VLOOKUP($B906,'Baremos anteriores'!$A:$D,4,FALSE)="Desmonte",$E906*$F906,"")))))</f>
        <v/>
      </c>
      <c r="L906" s="80" t="str">
        <f>IF($D906="","",
IF($E906="","",
IF($D906="MATE","",
IF(VLOOKUP($B906,'Baremos actuales'!$A:$D,4,FALSE)=L$9,$E906*$F906,""))))</f>
        <v/>
      </c>
      <c r="M906" s="91" t="str">
        <f t="shared" si="13"/>
        <v/>
      </c>
      <c r="N906" s="96"/>
      <c r="O906" s="95"/>
      <c r="P906" s="96"/>
      <c r="Q906" s="98"/>
    </row>
    <row r="907" spans="1:17" ht="15.75" x14ac:dyDescent="0.2">
      <c r="A907" s="17"/>
      <c r="B907" s="18"/>
      <c r="C907" s="87" t="str">
        <f>IF(B907="","",
IF(M907=$H$5,IFERROR(VLOOKUP(B907,'Baremos actuales'!A:E,5,FALSE),"No encontrado. Revisar código, fecha ejecución y/o contrato."),
IF(M907=$H$4,IFERROR(VLOOKUP(B907,'Baremos anteriores'!A:E,5,FALSE),"No encontrado. Revisar código, fecha ejecución y/o contrato."),
IF(M907=$H$3,IFERROR(VLOOKUP(B907,#REF!,5,FALSE),"No encontrado. Revisar código, fecha ejecución y/o contrato."),
IF(D907="","Código no encontrado",
IF(D907="ERROR","No encontrado. Revisar Código, fecha de ejecución y/o contrato.",
IF(D907="MATE",
IF(C906="DESCRIPCION","NO SE PUEDE COMENZAR SIN CÓDIGO DE TAREA",
IF(C906="","FALTA CÓDIGO DE TAREA",
CONCATENATE("          ",VLOOKUP(B907,'Maestro Materiales'!A:C,3,FALSE)))),IFERROR(VLOOKUP(B907,#REF!,5,FALSE),"No encontrado. Revisar código, fecha ejecución y/o contrato."))))))))</f>
        <v/>
      </c>
      <c r="D907" s="88" t="str">
        <f>IF(B907="","",
IFERROR(VLOOKUP(B907,'Maestro Materiales'!A:C,2,FALSE),
IFERROR(VLOOKUP(B907,'Baremos actuales'!A:B,2,FALSE),
IFERROR(VLOOKUP(B907,'Baremos anteriores'!A:B,2,FALSE),
""))))</f>
        <v/>
      </c>
      <c r="E907" s="9"/>
      <c r="F907" s="89" t="str">
        <f>IF(D907="MATE",
IF(E907="","¿Unidades?",""),
IF(D907="",IF(E907="","","¿Código?"),
IF(E907="","¿Unidades?",
IF(D907="TARE",
IF(M907=$H$3,IFERROR(VLOOKUP(B907,'Baremos actuales'!A:C,3,FALSE),0),
IF(M907=$H$4,IFERROR(VLOOKUP(B907,'Baremos anteriores'!A:C,3,FALSE),0),0))))))</f>
        <v/>
      </c>
      <c r="G907" s="7"/>
      <c r="H907" s="8"/>
      <c r="I907" s="8"/>
      <c r="J907" s="78" t="str">
        <f>IF($D907="","",
IF($E907="","",
IF($D907="MATE","",
IF(VLOOKUP($B907,'Baremos actuales'!A:D,4,FALSE)=J$9,$E907*$F907,IF(VLOOKUP($B907,'Baremos anteriores'!A:D,4,FALSE)="Sin Definir",$E907*$F907,"")))))</f>
        <v/>
      </c>
      <c r="K907" s="79" t="str">
        <f>IF($D907="","",
IF($E907="","",
IF($D907="MATE","",
IF(VLOOKUP($B907,'Baremos actuales'!$A:$D,4,FALSE)=K$9,$E907*$F907,IF(VLOOKUP($B907,'Baremos anteriores'!$A:$D,4,FALSE)="Desmonte",$E907*$F907,"")))))</f>
        <v/>
      </c>
      <c r="L907" s="80" t="str">
        <f>IF($D907="","",
IF($E907="","",
IF($D907="MATE","",
IF(VLOOKUP($B907,'Baremos actuales'!$A:$D,4,FALSE)=L$9,$E907*$F907,""))))</f>
        <v/>
      </c>
      <c r="M907" s="91" t="str">
        <f t="shared" ref="M907:M970" si="14">IF(D907="MATE","Materiales",IF(B907="","",
IF($Q$1="O","Obsoleto",$F$2)))</f>
        <v/>
      </c>
      <c r="N907" s="96"/>
      <c r="O907" s="95"/>
      <c r="P907" s="96"/>
      <c r="Q907" s="98"/>
    </row>
    <row r="908" spans="1:17" ht="15.75" x14ac:dyDescent="0.2">
      <c r="A908" s="17"/>
      <c r="B908" s="18"/>
      <c r="C908" s="87" t="str">
        <f>IF(B908="","",
IF(M908=$H$5,IFERROR(VLOOKUP(B908,'Baremos actuales'!A:E,5,FALSE),"No encontrado. Revisar código, fecha ejecución y/o contrato."),
IF(M908=$H$4,IFERROR(VLOOKUP(B908,'Baremos anteriores'!A:E,5,FALSE),"No encontrado. Revisar código, fecha ejecución y/o contrato."),
IF(M908=$H$3,IFERROR(VLOOKUP(B908,#REF!,5,FALSE),"No encontrado. Revisar código, fecha ejecución y/o contrato."),
IF(D908="","Código no encontrado",
IF(D908="ERROR","No encontrado. Revisar Código, fecha de ejecución y/o contrato.",
IF(D908="MATE",
IF(C907="DESCRIPCION","NO SE PUEDE COMENZAR SIN CÓDIGO DE TAREA",
IF(C907="","FALTA CÓDIGO DE TAREA",
CONCATENATE("          ",VLOOKUP(B908,'Maestro Materiales'!A:C,3,FALSE)))),IFERROR(VLOOKUP(B908,#REF!,5,FALSE),"No encontrado. Revisar código, fecha ejecución y/o contrato."))))))))</f>
        <v/>
      </c>
      <c r="D908" s="88" t="str">
        <f>IF(B908="","",
IFERROR(VLOOKUP(B908,'Maestro Materiales'!A:C,2,FALSE),
IFERROR(VLOOKUP(B908,'Baremos actuales'!A:B,2,FALSE),
IFERROR(VLOOKUP(B908,'Baremos anteriores'!A:B,2,FALSE),
""))))</f>
        <v/>
      </c>
      <c r="E908" s="9"/>
      <c r="F908" s="89" t="str">
        <f>IF(D908="MATE",
IF(E908="","¿Unidades?",""),
IF(D908="",IF(E908="","","¿Código?"),
IF(E908="","¿Unidades?",
IF(D908="TARE",
IF(M908=$H$3,IFERROR(VLOOKUP(B908,'Baremos actuales'!A:C,3,FALSE),0),
IF(M908=$H$4,IFERROR(VLOOKUP(B908,'Baremos anteriores'!A:C,3,FALSE),0),0))))))</f>
        <v/>
      </c>
      <c r="G908" s="7"/>
      <c r="H908" s="8"/>
      <c r="I908" s="8"/>
      <c r="J908" s="78" t="str">
        <f>IF($D908="","",
IF($E908="","",
IF($D908="MATE","",
IF(VLOOKUP($B908,'Baremos actuales'!A:D,4,FALSE)=J$9,$E908*$F908,IF(VLOOKUP($B908,'Baremos anteriores'!A:D,4,FALSE)="Sin Definir",$E908*$F908,"")))))</f>
        <v/>
      </c>
      <c r="K908" s="79" t="str">
        <f>IF($D908="","",
IF($E908="","",
IF($D908="MATE","",
IF(VLOOKUP($B908,'Baremos actuales'!$A:$D,4,FALSE)=K$9,$E908*$F908,IF(VLOOKUP($B908,'Baremos anteriores'!$A:$D,4,FALSE)="Desmonte",$E908*$F908,"")))))</f>
        <v/>
      </c>
      <c r="L908" s="80" t="str">
        <f>IF($D908="","",
IF($E908="","",
IF($D908="MATE","",
IF(VLOOKUP($B908,'Baremos actuales'!$A:$D,4,FALSE)=L$9,$E908*$F908,""))))</f>
        <v/>
      </c>
      <c r="M908" s="91" t="str">
        <f t="shared" si="14"/>
        <v/>
      </c>
      <c r="N908" s="96"/>
      <c r="O908" s="95"/>
      <c r="P908" s="96"/>
      <c r="Q908" s="98"/>
    </row>
    <row r="909" spans="1:17" ht="15.75" x14ac:dyDescent="0.2">
      <c r="A909" s="17"/>
      <c r="B909" s="18"/>
      <c r="C909" s="87" t="str">
        <f>IF(B909="","",
IF(M909=$H$5,IFERROR(VLOOKUP(B909,'Baremos actuales'!A:E,5,FALSE),"No encontrado. Revisar código, fecha ejecución y/o contrato."),
IF(M909=$H$4,IFERROR(VLOOKUP(B909,'Baremos anteriores'!A:E,5,FALSE),"No encontrado. Revisar código, fecha ejecución y/o contrato."),
IF(M909=$H$3,IFERROR(VLOOKUP(B909,#REF!,5,FALSE),"No encontrado. Revisar código, fecha ejecución y/o contrato."),
IF(D909="","Código no encontrado",
IF(D909="ERROR","No encontrado. Revisar Código, fecha de ejecución y/o contrato.",
IF(D909="MATE",
IF(C908="DESCRIPCION","NO SE PUEDE COMENZAR SIN CÓDIGO DE TAREA",
IF(C908="","FALTA CÓDIGO DE TAREA",
CONCATENATE("          ",VLOOKUP(B909,'Maestro Materiales'!A:C,3,FALSE)))),IFERROR(VLOOKUP(B909,#REF!,5,FALSE),"No encontrado. Revisar código, fecha ejecución y/o contrato."))))))))</f>
        <v/>
      </c>
      <c r="D909" s="88" t="str">
        <f>IF(B909="","",
IFERROR(VLOOKUP(B909,'Maestro Materiales'!A:C,2,FALSE),
IFERROR(VLOOKUP(B909,'Baremos actuales'!A:B,2,FALSE),
IFERROR(VLOOKUP(B909,'Baremos anteriores'!A:B,2,FALSE),
""))))</f>
        <v/>
      </c>
      <c r="E909" s="9"/>
      <c r="F909" s="89" t="str">
        <f>IF(D909="MATE",
IF(E909="","¿Unidades?",""),
IF(D909="",IF(E909="","","¿Código?"),
IF(E909="","¿Unidades?",
IF(D909="TARE",
IF(M909=$H$3,IFERROR(VLOOKUP(B909,'Baremos actuales'!A:C,3,FALSE),0),
IF(M909=$H$4,IFERROR(VLOOKUP(B909,'Baremos anteriores'!A:C,3,FALSE),0),0))))))</f>
        <v/>
      </c>
      <c r="G909" s="7"/>
      <c r="H909" s="8"/>
      <c r="I909" s="8"/>
      <c r="J909" s="78" t="str">
        <f>IF($D909="","",
IF($E909="","",
IF($D909="MATE","",
IF(VLOOKUP($B909,'Baremos actuales'!A:D,4,FALSE)=J$9,$E909*$F909,IF(VLOOKUP($B909,'Baremos anteriores'!A:D,4,FALSE)="Sin Definir",$E909*$F909,"")))))</f>
        <v/>
      </c>
      <c r="K909" s="79" t="str">
        <f>IF($D909="","",
IF($E909="","",
IF($D909="MATE","",
IF(VLOOKUP($B909,'Baremos actuales'!$A:$D,4,FALSE)=K$9,$E909*$F909,IF(VLOOKUP($B909,'Baremos anteriores'!$A:$D,4,FALSE)="Desmonte",$E909*$F909,"")))))</f>
        <v/>
      </c>
      <c r="L909" s="80" t="str">
        <f>IF($D909="","",
IF($E909="","",
IF($D909="MATE","",
IF(VLOOKUP($B909,'Baremos actuales'!$A:$D,4,FALSE)=L$9,$E909*$F909,""))))</f>
        <v/>
      </c>
      <c r="M909" s="91" t="str">
        <f t="shared" si="14"/>
        <v/>
      </c>
      <c r="N909" s="96"/>
      <c r="O909" s="95"/>
      <c r="P909" s="96"/>
      <c r="Q909" s="98"/>
    </row>
    <row r="910" spans="1:17" ht="15.75" x14ac:dyDescent="0.2">
      <c r="A910" s="17"/>
      <c r="B910" s="18"/>
      <c r="C910" s="87" t="str">
        <f>IF(B910="","",
IF(M910=$H$5,IFERROR(VLOOKUP(B910,'Baremos actuales'!A:E,5,FALSE),"No encontrado. Revisar código, fecha ejecución y/o contrato."),
IF(M910=$H$4,IFERROR(VLOOKUP(B910,'Baremos anteriores'!A:E,5,FALSE),"No encontrado. Revisar código, fecha ejecución y/o contrato."),
IF(M910=$H$3,IFERROR(VLOOKUP(B910,#REF!,5,FALSE),"No encontrado. Revisar código, fecha ejecución y/o contrato."),
IF(D910="","Código no encontrado",
IF(D910="ERROR","No encontrado. Revisar Código, fecha de ejecución y/o contrato.",
IF(D910="MATE",
IF(C909="DESCRIPCION","NO SE PUEDE COMENZAR SIN CÓDIGO DE TAREA",
IF(C909="","FALTA CÓDIGO DE TAREA",
CONCATENATE("          ",VLOOKUP(B910,'Maestro Materiales'!A:C,3,FALSE)))),IFERROR(VLOOKUP(B910,#REF!,5,FALSE),"No encontrado. Revisar código, fecha ejecución y/o contrato."))))))))</f>
        <v/>
      </c>
      <c r="D910" s="88" t="str">
        <f>IF(B910="","",
IFERROR(VLOOKUP(B910,'Maestro Materiales'!A:C,2,FALSE),
IFERROR(VLOOKUP(B910,'Baremos actuales'!A:B,2,FALSE),
IFERROR(VLOOKUP(B910,'Baremos anteriores'!A:B,2,FALSE),
""))))</f>
        <v/>
      </c>
      <c r="E910" s="9"/>
      <c r="F910" s="89" t="str">
        <f>IF(D910="MATE",
IF(E910="","¿Unidades?",""),
IF(D910="",IF(E910="","","¿Código?"),
IF(E910="","¿Unidades?",
IF(D910="TARE",
IF(M910=$H$3,IFERROR(VLOOKUP(B910,'Baremos actuales'!A:C,3,FALSE),0),
IF(M910=$H$4,IFERROR(VLOOKUP(B910,'Baremos anteriores'!A:C,3,FALSE),0),0))))))</f>
        <v/>
      </c>
      <c r="G910" s="7"/>
      <c r="H910" s="8"/>
      <c r="I910" s="8"/>
      <c r="J910" s="78" t="str">
        <f>IF($D910="","",
IF($E910="","",
IF($D910="MATE","",
IF(VLOOKUP($B910,'Baremos actuales'!A:D,4,FALSE)=J$9,$E910*$F910,IF(VLOOKUP($B910,'Baremos anteriores'!A:D,4,FALSE)="Sin Definir",$E910*$F910,"")))))</f>
        <v/>
      </c>
      <c r="K910" s="79" t="str">
        <f>IF($D910="","",
IF($E910="","",
IF($D910="MATE","",
IF(VLOOKUP($B910,'Baremos actuales'!$A:$D,4,FALSE)=K$9,$E910*$F910,IF(VLOOKUP($B910,'Baremos anteriores'!$A:$D,4,FALSE)="Desmonte",$E910*$F910,"")))))</f>
        <v/>
      </c>
      <c r="L910" s="80" t="str">
        <f>IF($D910="","",
IF($E910="","",
IF($D910="MATE","",
IF(VLOOKUP($B910,'Baremos actuales'!$A:$D,4,FALSE)=L$9,$E910*$F910,""))))</f>
        <v/>
      </c>
      <c r="M910" s="91" t="str">
        <f t="shared" si="14"/>
        <v/>
      </c>
      <c r="N910" s="96"/>
      <c r="O910" s="95"/>
      <c r="P910" s="96"/>
      <c r="Q910" s="98"/>
    </row>
    <row r="911" spans="1:17" ht="15.75" x14ac:dyDescent="0.2">
      <c r="A911" s="17"/>
      <c r="B911" s="18"/>
      <c r="C911" s="87" t="str">
        <f>IF(B911="","",
IF(M911=$H$5,IFERROR(VLOOKUP(B911,'Baremos actuales'!A:E,5,FALSE),"No encontrado. Revisar código, fecha ejecución y/o contrato."),
IF(M911=$H$4,IFERROR(VLOOKUP(B911,'Baremos anteriores'!A:E,5,FALSE),"No encontrado. Revisar código, fecha ejecución y/o contrato."),
IF(M911=$H$3,IFERROR(VLOOKUP(B911,#REF!,5,FALSE),"No encontrado. Revisar código, fecha ejecución y/o contrato."),
IF(D911="","Código no encontrado",
IF(D911="ERROR","No encontrado. Revisar Código, fecha de ejecución y/o contrato.",
IF(D911="MATE",
IF(C910="DESCRIPCION","NO SE PUEDE COMENZAR SIN CÓDIGO DE TAREA",
IF(C910="","FALTA CÓDIGO DE TAREA",
CONCATENATE("          ",VLOOKUP(B911,'Maestro Materiales'!A:C,3,FALSE)))),IFERROR(VLOOKUP(B911,#REF!,5,FALSE),"No encontrado. Revisar código, fecha ejecución y/o contrato."))))))))</f>
        <v/>
      </c>
      <c r="D911" s="88" t="str">
        <f>IF(B911="","",
IFERROR(VLOOKUP(B911,'Maestro Materiales'!A:C,2,FALSE),
IFERROR(VLOOKUP(B911,'Baremos actuales'!A:B,2,FALSE),
IFERROR(VLOOKUP(B911,'Baremos anteriores'!A:B,2,FALSE),
""))))</f>
        <v/>
      </c>
      <c r="E911" s="9"/>
      <c r="F911" s="89" t="str">
        <f>IF(D911="MATE",
IF(E911="","¿Unidades?",""),
IF(D911="",IF(E911="","","¿Código?"),
IF(E911="","¿Unidades?",
IF(D911="TARE",
IF(M911=$H$3,IFERROR(VLOOKUP(B911,'Baremos actuales'!A:C,3,FALSE),0),
IF(M911=$H$4,IFERROR(VLOOKUP(B911,'Baremos anteriores'!A:C,3,FALSE),0),0))))))</f>
        <v/>
      </c>
      <c r="G911" s="7"/>
      <c r="H911" s="8"/>
      <c r="I911" s="8"/>
      <c r="J911" s="78" t="str">
        <f>IF($D911="","",
IF($E911="","",
IF($D911="MATE","",
IF(VLOOKUP($B911,'Baremos actuales'!A:D,4,FALSE)=J$9,$E911*$F911,IF(VLOOKUP($B911,'Baremos anteriores'!A:D,4,FALSE)="Sin Definir",$E911*$F911,"")))))</f>
        <v/>
      </c>
      <c r="K911" s="79" t="str">
        <f>IF($D911="","",
IF($E911="","",
IF($D911="MATE","",
IF(VLOOKUP($B911,'Baremos actuales'!$A:$D,4,FALSE)=K$9,$E911*$F911,IF(VLOOKUP($B911,'Baremos anteriores'!$A:$D,4,FALSE)="Desmonte",$E911*$F911,"")))))</f>
        <v/>
      </c>
      <c r="L911" s="80" t="str">
        <f>IF($D911="","",
IF($E911="","",
IF($D911="MATE","",
IF(VLOOKUP($B911,'Baremos actuales'!$A:$D,4,FALSE)=L$9,$E911*$F911,""))))</f>
        <v/>
      </c>
      <c r="M911" s="91" t="str">
        <f t="shared" si="14"/>
        <v/>
      </c>
      <c r="N911" s="96"/>
      <c r="O911" s="95"/>
      <c r="P911" s="96"/>
      <c r="Q911" s="98"/>
    </row>
    <row r="912" spans="1:17" ht="15.75" x14ac:dyDescent="0.2">
      <c r="A912" s="17"/>
      <c r="B912" s="18"/>
      <c r="C912" s="87" t="str">
        <f>IF(B912="","",
IF(M912=$H$5,IFERROR(VLOOKUP(B912,'Baremos actuales'!A:E,5,FALSE),"No encontrado. Revisar código, fecha ejecución y/o contrato."),
IF(M912=$H$4,IFERROR(VLOOKUP(B912,'Baremos anteriores'!A:E,5,FALSE),"No encontrado. Revisar código, fecha ejecución y/o contrato."),
IF(M912=$H$3,IFERROR(VLOOKUP(B912,#REF!,5,FALSE),"No encontrado. Revisar código, fecha ejecución y/o contrato."),
IF(D912="","Código no encontrado",
IF(D912="ERROR","No encontrado. Revisar Código, fecha de ejecución y/o contrato.",
IF(D912="MATE",
IF(C911="DESCRIPCION","NO SE PUEDE COMENZAR SIN CÓDIGO DE TAREA",
IF(C911="","FALTA CÓDIGO DE TAREA",
CONCATENATE("          ",VLOOKUP(B912,'Maestro Materiales'!A:C,3,FALSE)))),IFERROR(VLOOKUP(B912,#REF!,5,FALSE),"No encontrado. Revisar código, fecha ejecución y/o contrato."))))))))</f>
        <v/>
      </c>
      <c r="D912" s="88" t="str">
        <f>IF(B912="","",
IFERROR(VLOOKUP(B912,'Maestro Materiales'!A:C,2,FALSE),
IFERROR(VLOOKUP(B912,'Baremos actuales'!A:B,2,FALSE),
IFERROR(VLOOKUP(B912,'Baremos anteriores'!A:B,2,FALSE),
""))))</f>
        <v/>
      </c>
      <c r="E912" s="9"/>
      <c r="F912" s="89" t="str">
        <f>IF(D912="MATE",
IF(E912="","¿Unidades?",""),
IF(D912="",IF(E912="","","¿Código?"),
IF(E912="","¿Unidades?",
IF(D912="TARE",
IF(M912=$H$3,IFERROR(VLOOKUP(B912,'Baremos actuales'!A:C,3,FALSE),0),
IF(M912=$H$4,IFERROR(VLOOKUP(B912,'Baremos anteriores'!A:C,3,FALSE),0),0))))))</f>
        <v/>
      </c>
      <c r="G912" s="7"/>
      <c r="H912" s="8"/>
      <c r="I912" s="8"/>
      <c r="J912" s="78" t="str">
        <f>IF($D912="","",
IF($E912="","",
IF($D912="MATE","",
IF(VLOOKUP($B912,'Baremos actuales'!A:D,4,FALSE)=J$9,$E912*$F912,IF(VLOOKUP($B912,'Baremos anteriores'!A:D,4,FALSE)="Sin Definir",$E912*$F912,"")))))</f>
        <v/>
      </c>
      <c r="K912" s="79" t="str">
        <f>IF($D912="","",
IF($E912="","",
IF($D912="MATE","",
IF(VLOOKUP($B912,'Baremos actuales'!$A:$D,4,FALSE)=K$9,$E912*$F912,IF(VLOOKUP($B912,'Baremos anteriores'!$A:$D,4,FALSE)="Desmonte",$E912*$F912,"")))))</f>
        <v/>
      </c>
      <c r="L912" s="80" t="str">
        <f>IF($D912="","",
IF($E912="","",
IF($D912="MATE","",
IF(VLOOKUP($B912,'Baremos actuales'!$A:$D,4,FALSE)=L$9,$E912*$F912,""))))</f>
        <v/>
      </c>
      <c r="M912" s="91" t="str">
        <f t="shared" si="14"/>
        <v/>
      </c>
      <c r="N912" s="96"/>
      <c r="O912" s="95"/>
      <c r="P912" s="96"/>
      <c r="Q912" s="98"/>
    </row>
    <row r="913" spans="1:17" ht="15.75" x14ac:dyDescent="0.2">
      <c r="A913" s="17"/>
      <c r="B913" s="18"/>
      <c r="C913" s="87" t="str">
        <f>IF(B913="","",
IF(M913=$H$5,IFERROR(VLOOKUP(B913,'Baremos actuales'!A:E,5,FALSE),"No encontrado. Revisar código, fecha ejecución y/o contrato."),
IF(M913=$H$4,IFERROR(VLOOKUP(B913,'Baremos anteriores'!A:E,5,FALSE),"No encontrado. Revisar código, fecha ejecución y/o contrato."),
IF(M913=$H$3,IFERROR(VLOOKUP(B913,#REF!,5,FALSE),"No encontrado. Revisar código, fecha ejecución y/o contrato."),
IF(D913="","Código no encontrado",
IF(D913="ERROR","No encontrado. Revisar Código, fecha de ejecución y/o contrato.",
IF(D913="MATE",
IF(C912="DESCRIPCION","NO SE PUEDE COMENZAR SIN CÓDIGO DE TAREA",
IF(C912="","FALTA CÓDIGO DE TAREA",
CONCATENATE("          ",VLOOKUP(B913,'Maestro Materiales'!A:C,3,FALSE)))),IFERROR(VLOOKUP(B913,#REF!,5,FALSE),"No encontrado. Revisar código, fecha ejecución y/o contrato."))))))))</f>
        <v/>
      </c>
      <c r="D913" s="88" t="str">
        <f>IF(B913="","",
IFERROR(VLOOKUP(B913,'Maestro Materiales'!A:C,2,FALSE),
IFERROR(VLOOKUP(B913,'Baremos actuales'!A:B,2,FALSE),
IFERROR(VLOOKUP(B913,'Baremos anteriores'!A:B,2,FALSE),
""))))</f>
        <v/>
      </c>
      <c r="E913" s="9"/>
      <c r="F913" s="89" t="str">
        <f>IF(D913="MATE",
IF(E913="","¿Unidades?",""),
IF(D913="",IF(E913="","","¿Código?"),
IF(E913="","¿Unidades?",
IF(D913="TARE",
IF(M913=$H$3,IFERROR(VLOOKUP(B913,'Baremos actuales'!A:C,3,FALSE),0),
IF(M913=$H$4,IFERROR(VLOOKUP(B913,'Baremos anteriores'!A:C,3,FALSE),0),0))))))</f>
        <v/>
      </c>
      <c r="G913" s="7"/>
      <c r="H913" s="8"/>
      <c r="I913" s="8"/>
      <c r="J913" s="78" t="str">
        <f>IF($D913="","",
IF($E913="","",
IF($D913="MATE","",
IF(VLOOKUP($B913,'Baremos actuales'!A:D,4,FALSE)=J$9,$E913*$F913,IF(VLOOKUP($B913,'Baremos anteriores'!A:D,4,FALSE)="Sin Definir",$E913*$F913,"")))))</f>
        <v/>
      </c>
      <c r="K913" s="79" t="str">
        <f>IF($D913="","",
IF($E913="","",
IF($D913="MATE","",
IF(VLOOKUP($B913,'Baremos actuales'!$A:$D,4,FALSE)=K$9,$E913*$F913,IF(VLOOKUP($B913,'Baremos anteriores'!$A:$D,4,FALSE)="Desmonte",$E913*$F913,"")))))</f>
        <v/>
      </c>
      <c r="L913" s="80" t="str">
        <f>IF($D913="","",
IF($E913="","",
IF($D913="MATE","",
IF(VLOOKUP($B913,'Baremos actuales'!$A:$D,4,FALSE)=L$9,$E913*$F913,""))))</f>
        <v/>
      </c>
      <c r="M913" s="91" t="str">
        <f t="shared" si="14"/>
        <v/>
      </c>
      <c r="N913" s="96"/>
      <c r="O913" s="95"/>
      <c r="P913" s="96"/>
      <c r="Q913" s="98"/>
    </row>
    <row r="914" spans="1:17" ht="15.75" x14ac:dyDescent="0.2">
      <c r="A914" s="17"/>
      <c r="B914" s="18"/>
      <c r="C914" s="87" t="str">
        <f>IF(B914="","",
IF(M914=$H$5,IFERROR(VLOOKUP(B914,'Baremos actuales'!A:E,5,FALSE),"No encontrado. Revisar código, fecha ejecución y/o contrato."),
IF(M914=$H$4,IFERROR(VLOOKUP(B914,'Baremos anteriores'!A:E,5,FALSE),"No encontrado. Revisar código, fecha ejecución y/o contrato."),
IF(M914=$H$3,IFERROR(VLOOKUP(B914,#REF!,5,FALSE),"No encontrado. Revisar código, fecha ejecución y/o contrato."),
IF(D914="","Código no encontrado",
IF(D914="ERROR","No encontrado. Revisar Código, fecha de ejecución y/o contrato.",
IF(D914="MATE",
IF(C913="DESCRIPCION","NO SE PUEDE COMENZAR SIN CÓDIGO DE TAREA",
IF(C913="","FALTA CÓDIGO DE TAREA",
CONCATENATE("          ",VLOOKUP(B914,'Maestro Materiales'!A:C,3,FALSE)))),IFERROR(VLOOKUP(B914,#REF!,5,FALSE),"No encontrado. Revisar código, fecha ejecución y/o contrato."))))))))</f>
        <v/>
      </c>
      <c r="D914" s="88" t="str">
        <f>IF(B914="","",
IFERROR(VLOOKUP(B914,'Maestro Materiales'!A:C,2,FALSE),
IFERROR(VLOOKUP(B914,'Baremos actuales'!A:B,2,FALSE),
IFERROR(VLOOKUP(B914,'Baremos anteriores'!A:B,2,FALSE),
""))))</f>
        <v/>
      </c>
      <c r="E914" s="9"/>
      <c r="F914" s="89" t="str">
        <f>IF(D914="MATE",
IF(E914="","¿Unidades?",""),
IF(D914="",IF(E914="","","¿Código?"),
IF(E914="","¿Unidades?",
IF(D914="TARE",
IF(M914=$H$3,IFERROR(VLOOKUP(B914,'Baremos actuales'!A:C,3,FALSE),0),
IF(M914=$H$4,IFERROR(VLOOKUP(B914,'Baremos anteriores'!A:C,3,FALSE),0),0))))))</f>
        <v/>
      </c>
      <c r="G914" s="7"/>
      <c r="H914" s="8"/>
      <c r="I914" s="8"/>
      <c r="J914" s="78" t="str">
        <f>IF($D914="","",
IF($E914="","",
IF($D914="MATE","",
IF(VLOOKUP($B914,'Baremos actuales'!A:D,4,FALSE)=J$9,$E914*$F914,IF(VLOOKUP($B914,'Baremos anteriores'!A:D,4,FALSE)="Sin Definir",$E914*$F914,"")))))</f>
        <v/>
      </c>
      <c r="K914" s="79" t="str">
        <f>IF($D914="","",
IF($E914="","",
IF($D914="MATE","",
IF(VLOOKUP($B914,'Baremos actuales'!$A:$D,4,FALSE)=K$9,$E914*$F914,IF(VLOOKUP($B914,'Baremos anteriores'!$A:$D,4,FALSE)="Desmonte",$E914*$F914,"")))))</f>
        <v/>
      </c>
      <c r="L914" s="80" t="str">
        <f>IF($D914="","",
IF($E914="","",
IF($D914="MATE","",
IF(VLOOKUP($B914,'Baremos actuales'!$A:$D,4,FALSE)=L$9,$E914*$F914,""))))</f>
        <v/>
      </c>
      <c r="M914" s="91" t="str">
        <f t="shared" si="14"/>
        <v/>
      </c>
      <c r="N914" s="96"/>
      <c r="O914" s="95"/>
      <c r="P914" s="96"/>
      <c r="Q914" s="98"/>
    </row>
    <row r="915" spans="1:17" ht="15.75" x14ac:dyDescent="0.2">
      <c r="A915" s="17"/>
      <c r="B915" s="18"/>
      <c r="C915" s="87" t="str">
        <f>IF(B915="","",
IF(M915=$H$5,IFERROR(VLOOKUP(B915,'Baremos actuales'!A:E,5,FALSE),"No encontrado. Revisar código, fecha ejecución y/o contrato."),
IF(M915=$H$4,IFERROR(VLOOKUP(B915,'Baremos anteriores'!A:E,5,FALSE),"No encontrado. Revisar código, fecha ejecución y/o contrato."),
IF(M915=$H$3,IFERROR(VLOOKUP(B915,#REF!,5,FALSE),"No encontrado. Revisar código, fecha ejecución y/o contrato."),
IF(D915="","Código no encontrado",
IF(D915="ERROR","No encontrado. Revisar Código, fecha de ejecución y/o contrato.",
IF(D915="MATE",
IF(C914="DESCRIPCION","NO SE PUEDE COMENZAR SIN CÓDIGO DE TAREA",
IF(C914="","FALTA CÓDIGO DE TAREA",
CONCATENATE("          ",VLOOKUP(B915,'Maestro Materiales'!A:C,3,FALSE)))),IFERROR(VLOOKUP(B915,#REF!,5,FALSE),"No encontrado. Revisar código, fecha ejecución y/o contrato."))))))))</f>
        <v/>
      </c>
      <c r="D915" s="88" t="str">
        <f>IF(B915="","",
IFERROR(VLOOKUP(B915,'Maestro Materiales'!A:C,2,FALSE),
IFERROR(VLOOKUP(B915,'Baremos actuales'!A:B,2,FALSE),
IFERROR(VLOOKUP(B915,'Baremos anteriores'!A:B,2,FALSE),
""))))</f>
        <v/>
      </c>
      <c r="E915" s="9"/>
      <c r="F915" s="89" t="str">
        <f>IF(D915="MATE",
IF(E915="","¿Unidades?",""),
IF(D915="",IF(E915="","","¿Código?"),
IF(E915="","¿Unidades?",
IF(D915="TARE",
IF(M915=$H$3,IFERROR(VLOOKUP(B915,'Baremos actuales'!A:C,3,FALSE),0),
IF(M915=$H$4,IFERROR(VLOOKUP(B915,'Baremos anteriores'!A:C,3,FALSE),0),0))))))</f>
        <v/>
      </c>
      <c r="G915" s="7"/>
      <c r="H915" s="8"/>
      <c r="I915" s="8"/>
      <c r="J915" s="78" t="str">
        <f>IF($D915="","",
IF($E915="","",
IF($D915="MATE","",
IF(VLOOKUP($B915,'Baremos actuales'!A:D,4,FALSE)=J$9,$E915*$F915,IF(VLOOKUP($B915,'Baremos anteriores'!A:D,4,FALSE)="Sin Definir",$E915*$F915,"")))))</f>
        <v/>
      </c>
      <c r="K915" s="79" t="str">
        <f>IF($D915="","",
IF($E915="","",
IF($D915="MATE","",
IF(VLOOKUP($B915,'Baremos actuales'!$A:$D,4,FALSE)=K$9,$E915*$F915,IF(VLOOKUP($B915,'Baremos anteriores'!$A:$D,4,FALSE)="Desmonte",$E915*$F915,"")))))</f>
        <v/>
      </c>
      <c r="L915" s="80" t="str">
        <f>IF($D915="","",
IF($E915="","",
IF($D915="MATE","",
IF(VLOOKUP($B915,'Baremos actuales'!$A:$D,4,FALSE)=L$9,$E915*$F915,""))))</f>
        <v/>
      </c>
      <c r="M915" s="91" t="str">
        <f t="shared" si="14"/>
        <v/>
      </c>
      <c r="N915" s="96"/>
      <c r="O915" s="95"/>
      <c r="P915" s="96"/>
      <c r="Q915" s="98"/>
    </row>
    <row r="916" spans="1:17" ht="15.75" x14ac:dyDescent="0.2">
      <c r="A916" s="17"/>
      <c r="B916" s="18"/>
      <c r="C916" s="87" t="str">
        <f>IF(B916="","",
IF(M916=$H$5,IFERROR(VLOOKUP(B916,'Baremos actuales'!A:E,5,FALSE),"No encontrado. Revisar código, fecha ejecución y/o contrato."),
IF(M916=$H$4,IFERROR(VLOOKUP(B916,'Baremos anteriores'!A:E,5,FALSE),"No encontrado. Revisar código, fecha ejecución y/o contrato."),
IF(M916=$H$3,IFERROR(VLOOKUP(B916,#REF!,5,FALSE),"No encontrado. Revisar código, fecha ejecución y/o contrato."),
IF(D916="","Código no encontrado",
IF(D916="ERROR","No encontrado. Revisar Código, fecha de ejecución y/o contrato.",
IF(D916="MATE",
IF(C915="DESCRIPCION","NO SE PUEDE COMENZAR SIN CÓDIGO DE TAREA",
IF(C915="","FALTA CÓDIGO DE TAREA",
CONCATENATE("          ",VLOOKUP(B916,'Maestro Materiales'!A:C,3,FALSE)))),IFERROR(VLOOKUP(B916,#REF!,5,FALSE),"No encontrado. Revisar código, fecha ejecución y/o contrato."))))))))</f>
        <v/>
      </c>
      <c r="D916" s="88" t="str">
        <f>IF(B916="","",
IFERROR(VLOOKUP(B916,'Maestro Materiales'!A:C,2,FALSE),
IFERROR(VLOOKUP(B916,'Baremos actuales'!A:B,2,FALSE),
IFERROR(VLOOKUP(B916,'Baremos anteriores'!A:B,2,FALSE),
""))))</f>
        <v/>
      </c>
      <c r="E916" s="9"/>
      <c r="F916" s="89" t="str">
        <f>IF(D916="MATE",
IF(E916="","¿Unidades?",""),
IF(D916="",IF(E916="","","¿Código?"),
IF(E916="","¿Unidades?",
IF(D916="TARE",
IF(M916=$H$3,IFERROR(VLOOKUP(B916,'Baremos actuales'!A:C,3,FALSE),0),
IF(M916=$H$4,IFERROR(VLOOKUP(B916,'Baremos anteriores'!A:C,3,FALSE),0),0))))))</f>
        <v/>
      </c>
      <c r="G916" s="7"/>
      <c r="H916" s="8"/>
      <c r="I916" s="8"/>
      <c r="J916" s="78" t="str">
        <f>IF($D916="","",
IF($E916="","",
IF($D916="MATE","",
IF(VLOOKUP($B916,'Baremos actuales'!A:D,4,FALSE)=J$9,$E916*$F916,IF(VLOOKUP($B916,'Baremos anteriores'!A:D,4,FALSE)="Sin Definir",$E916*$F916,"")))))</f>
        <v/>
      </c>
      <c r="K916" s="79" t="str">
        <f>IF($D916="","",
IF($E916="","",
IF($D916="MATE","",
IF(VLOOKUP($B916,'Baremos actuales'!$A:$D,4,FALSE)=K$9,$E916*$F916,IF(VLOOKUP($B916,'Baremos anteriores'!$A:$D,4,FALSE)="Desmonte",$E916*$F916,"")))))</f>
        <v/>
      </c>
      <c r="L916" s="80" t="str">
        <f>IF($D916="","",
IF($E916="","",
IF($D916="MATE","",
IF(VLOOKUP($B916,'Baremos actuales'!$A:$D,4,FALSE)=L$9,$E916*$F916,""))))</f>
        <v/>
      </c>
      <c r="M916" s="91" t="str">
        <f t="shared" si="14"/>
        <v/>
      </c>
      <c r="N916" s="96"/>
      <c r="O916" s="95"/>
      <c r="P916" s="96"/>
      <c r="Q916" s="98"/>
    </row>
    <row r="917" spans="1:17" ht="15.75" x14ac:dyDescent="0.2">
      <c r="A917" s="17"/>
      <c r="B917" s="18"/>
      <c r="C917" s="87" t="str">
        <f>IF(B917="","",
IF(M917=$H$5,IFERROR(VLOOKUP(B917,'Baremos actuales'!A:E,5,FALSE),"No encontrado. Revisar código, fecha ejecución y/o contrato."),
IF(M917=$H$4,IFERROR(VLOOKUP(B917,'Baremos anteriores'!A:E,5,FALSE),"No encontrado. Revisar código, fecha ejecución y/o contrato."),
IF(M917=$H$3,IFERROR(VLOOKUP(B917,#REF!,5,FALSE),"No encontrado. Revisar código, fecha ejecución y/o contrato."),
IF(D917="","Código no encontrado",
IF(D917="ERROR","No encontrado. Revisar Código, fecha de ejecución y/o contrato.",
IF(D917="MATE",
IF(C916="DESCRIPCION","NO SE PUEDE COMENZAR SIN CÓDIGO DE TAREA",
IF(C916="","FALTA CÓDIGO DE TAREA",
CONCATENATE("          ",VLOOKUP(B917,'Maestro Materiales'!A:C,3,FALSE)))),IFERROR(VLOOKUP(B917,#REF!,5,FALSE),"No encontrado. Revisar código, fecha ejecución y/o contrato."))))))))</f>
        <v/>
      </c>
      <c r="D917" s="88" t="str">
        <f>IF(B917="","",
IFERROR(VLOOKUP(B917,'Maestro Materiales'!A:C,2,FALSE),
IFERROR(VLOOKUP(B917,'Baremos actuales'!A:B,2,FALSE),
IFERROR(VLOOKUP(B917,'Baremos anteriores'!A:B,2,FALSE),
""))))</f>
        <v/>
      </c>
      <c r="E917" s="9"/>
      <c r="F917" s="89" t="str">
        <f>IF(D917="MATE",
IF(E917="","¿Unidades?",""),
IF(D917="",IF(E917="","","¿Código?"),
IF(E917="","¿Unidades?",
IF(D917="TARE",
IF(M917=$H$3,IFERROR(VLOOKUP(B917,'Baremos actuales'!A:C,3,FALSE),0),
IF(M917=$H$4,IFERROR(VLOOKUP(B917,'Baremos anteriores'!A:C,3,FALSE),0),0))))))</f>
        <v/>
      </c>
      <c r="G917" s="7"/>
      <c r="H917" s="8"/>
      <c r="I917" s="8"/>
      <c r="J917" s="78" t="str">
        <f>IF($D917="","",
IF($E917="","",
IF($D917="MATE","",
IF(VLOOKUP($B917,'Baremos actuales'!A:D,4,FALSE)=J$9,$E917*$F917,IF(VLOOKUP($B917,'Baremos anteriores'!A:D,4,FALSE)="Sin Definir",$E917*$F917,"")))))</f>
        <v/>
      </c>
      <c r="K917" s="79" t="str">
        <f>IF($D917="","",
IF($E917="","",
IF($D917="MATE","",
IF(VLOOKUP($B917,'Baremos actuales'!$A:$D,4,FALSE)=K$9,$E917*$F917,IF(VLOOKUP($B917,'Baremos anteriores'!$A:$D,4,FALSE)="Desmonte",$E917*$F917,"")))))</f>
        <v/>
      </c>
      <c r="L917" s="80" t="str">
        <f>IF($D917="","",
IF($E917="","",
IF($D917="MATE","",
IF(VLOOKUP($B917,'Baremos actuales'!$A:$D,4,FALSE)=L$9,$E917*$F917,""))))</f>
        <v/>
      </c>
      <c r="M917" s="91" t="str">
        <f t="shared" si="14"/>
        <v/>
      </c>
      <c r="N917" s="96"/>
      <c r="O917" s="95"/>
      <c r="P917" s="96"/>
      <c r="Q917" s="98"/>
    </row>
    <row r="918" spans="1:17" ht="15.75" x14ac:dyDescent="0.2">
      <c r="A918" s="17"/>
      <c r="B918" s="18"/>
      <c r="C918" s="87" t="str">
        <f>IF(B918="","",
IF(M918=$H$5,IFERROR(VLOOKUP(B918,'Baremos actuales'!A:E,5,FALSE),"No encontrado. Revisar código, fecha ejecución y/o contrato."),
IF(M918=$H$4,IFERROR(VLOOKUP(B918,'Baremos anteriores'!A:E,5,FALSE),"No encontrado. Revisar código, fecha ejecución y/o contrato."),
IF(M918=$H$3,IFERROR(VLOOKUP(B918,#REF!,5,FALSE),"No encontrado. Revisar código, fecha ejecución y/o contrato."),
IF(D918="","Código no encontrado",
IF(D918="ERROR","No encontrado. Revisar Código, fecha de ejecución y/o contrato.",
IF(D918="MATE",
IF(C917="DESCRIPCION","NO SE PUEDE COMENZAR SIN CÓDIGO DE TAREA",
IF(C917="","FALTA CÓDIGO DE TAREA",
CONCATENATE("          ",VLOOKUP(B918,'Maestro Materiales'!A:C,3,FALSE)))),IFERROR(VLOOKUP(B918,#REF!,5,FALSE),"No encontrado. Revisar código, fecha ejecución y/o contrato."))))))))</f>
        <v/>
      </c>
      <c r="D918" s="88" t="str">
        <f>IF(B918="","",
IFERROR(VLOOKUP(B918,'Maestro Materiales'!A:C,2,FALSE),
IFERROR(VLOOKUP(B918,'Baremos actuales'!A:B,2,FALSE),
IFERROR(VLOOKUP(B918,'Baremos anteriores'!A:B,2,FALSE),
""))))</f>
        <v/>
      </c>
      <c r="E918" s="9"/>
      <c r="F918" s="89" t="str">
        <f>IF(D918="MATE",
IF(E918="","¿Unidades?",""),
IF(D918="",IF(E918="","","¿Código?"),
IF(E918="","¿Unidades?",
IF(D918="TARE",
IF(M918=$H$3,IFERROR(VLOOKUP(B918,'Baremos actuales'!A:C,3,FALSE),0),
IF(M918=$H$4,IFERROR(VLOOKUP(B918,'Baremos anteriores'!A:C,3,FALSE),0),0))))))</f>
        <v/>
      </c>
      <c r="G918" s="7"/>
      <c r="H918" s="8"/>
      <c r="I918" s="8"/>
      <c r="J918" s="78" t="str">
        <f>IF($D918="","",
IF($E918="","",
IF($D918="MATE","",
IF(VLOOKUP($B918,'Baremos actuales'!A:D,4,FALSE)=J$9,$E918*$F918,IF(VLOOKUP($B918,'Baremos anteriores'!A:D,4,FALSE)="Sin Definir",$E918*$F918,"")))))</f>
        <v/>
      </c>
      <c r="K918" s="79" t="str">
        <f>IF($D918="","",
IF($E918="","",
IF($D918="MATE","",
IF(VLOOKUP($B918,'Baremos actuales'!$A:$D,4,FALSE)=K$9,$E918*$F918,IF(VLOOKUP($B918,'Baremos anteriores'!$A:$D,4,FALSE)="Desmonte",$E918*$F918,"")))))</f>
        <v/>
      </c>
      <c r="L918" s="80" t="str">
        <f>IF($D918="","",
IF($E918="","",
IF($D918="MATE","",
IF(VLOOKUP($B918,'Baremos actuales'!$A:$D,4,FALSE)=L$9,$E918*$F918,""))))</f>
        <v/>
      </c>
      <c r="M918" s="91" t="str">
        <f t="shared" si="14"/>
        <v/>
      </c>
      <c r="N918" s="96"/>
      <c r="O918" s="95"/>
      <c r="P918" s="96"/>
      <c r="Q918" s="98"/>
    </row>
    <row r="919" spans="1:17" ht="15.75" x14ac:dyDescent="0.2">
      <c r="A919" s="17"/>
      <c r="B919" s="18"/>
      <c r="C919" s="87" t="str">
        <f>IF(B919="","",
IF(M919=$H$5,IFERROR(VLOOKUP(B919,'Baremos actuales'!A:E,5,FALSE),"No encontrado. Revisar código, fecha ejecución y/o contrato."),
IF(M919=$H$4,IFERROR(VLOOKUP(B919,'Baremos anteriores'!A:E,5,FALSE),"No encontrado. Revisar código, fecha ejecución y/o contrato."),
IF(M919=$H$3,IFERROR(VLOOKUP(B919,#REF!,5,FALSE),"No encontrado. Revisar código, fecha ejecución y/o contrato."),
IF(D919="","Código no encontrado",
IF(D919="ERROR","No encontrado. Revisar Código, fecha de ejecución y/o contrato.",
IF(D919="MATE",
IF(C918="DESCRIPCION","NO SE PUEDE COMENZAR SIN CÓDIGO DE TAREA",
IF(C918="","FALTA CÓDIGO DE TAREA",
CONCATENATE("          ",VLOOKUP(B919,'Maestro Materiales'!A:C,3,FALSE)))),IFERROR(VLOOKUP(B919,#REF!,5,FALSE),"No encontrado. Revisar código, fecha ejecución y/o contrato."))))))))</f>
        <v/>
      </c>
      <c r="D919" s="88" t="str">
        <f>IF(B919="","",
IFERROR(VLOOKUP(B919,'Maestro Materiales'!A:C,2,FALSE),
IFERROR(VLOOKUP(B919,'Baremos actuales'!A:B,2,FALSE),
IFERROR(VLOOKUP(B919,'Baremos anteriores'!A:B,2,FALSE),
""))))</f>
        <v/>
      </c>
      <c r="E919" s="9"/>
      <c r="F919" s="89" t="str">
        <f>IF(D919="MATE",
IF(E919="","¿Unidades?",""),
IF(D919="",IF(E919="","","¿Código?"),
IF(E919="","¿Unidades?",
IF(D919="TARE",
IF(M919=$H$3,IFERROR(VLOOKUP(B919,'Baremos actuales'!A:C,3,FALSE),0),
IF(M919=$H$4,IFERROR(VLOOKUP(B919,'Baremos anteriores'!A:C,3,FALSE),0),0))))))</f>
        <v/>
      </c>
      <c r="G919" s="7"/>
      <c r="H919" s="8"/>
      <c r="I919" s="8"/>
      <c r="J919" s="78" t="str">
        <f>IF($D919="","",
IF($E919="","",
IF($D919="MATE","",
IF(VLOOKUP($B919,'Baremos actuales'!A:D,4,FALSE)=J$9,$E919*$F919,IF(VLOOKUP($B919,'Baremos anteriores'!A:D,4,FALSE)="Sin Definir",$E919*$F919,"")))))</f>
        <v/>
      </c>
      <c r="K919" s="79" t="str">
        <f>IF($D919="","",
IF($E919="","",
IF($D919="MATE","",
IF(VLOOKUP($B919,'Baremos actuales'!$A:$D,4,FALSE)=K$9,$E919*$F919,IF(VLOOKUP($B919,'Baremos anteriores'!$A:$D,4,FALSE)="Desmonte",$E919*$F919,"")))))</f>
        <v/>
      </c>
      <c r="L919" s="80" t="str">
        <f>IF($D919="","",
IF($E919="","",
IF($D919="MATE","",
IF(VLOOKUP($B919,'Baremos actuales'!$A:$D,4,FALSE)=L$9,$E919*$F919,""))))</f>
        <v/>
      </c>
      <c r="M919" s="91" t="str">
        <f t="shared" si="14"/>
        <v/>
      </c>
      <c r="N919" s="96"/>
      <c r="O919" s="95"/>
      <c r="P919" s="96"/>
      <c r="Q919" s="98"/>
    </row>
    <row r="920" spans="1:17" ht="15.75" x14ac:dyDescent="0.2">
      <c r="A920" s="17"/>
      <c r="B920" s="18"/>
      <c r="C920" s="87" t="str">
        <f>IF(B920="","",
IF(M920=$H$5,IFERROR(VLOOKUP(B920,'Baremos actuales'!A:E,5,FALSE),"No encontrado. Revisar código, fecha ejecución y/o contrato."),
IF(M920=$H$4,IFERROR(VLOOKUP(B920,'Baremos anteriores'!A:E,5,FALSE),"No encontrado. Revisar código, fecha ejecución y/o contrato."),
IF(M920=$H$3,IFERROR(VLOOKUP(B920,#REF!,5,FALSE),"No encontrado. Revisar código, fecha ejecución y/o contrato."),
IF(D920="","Código no encontrado",
IF(D920="ERROR","No encontrado. Revisar Código, fecha de ejecución y/o contrato.",
IF(D920="MATE",
IF(C919="DESCRIPCION","NO SE PUEDE COMENZAR SIN CÓDIGO DE TAREA",
IF(C919="","FALTA CÓDIGO DE TAREA",
CONCATENATE("          ",VLOOKUP(B920,'Maestro Materiales'!A:C,3,FALSE)))),IFERROR(VLOOKUP(B920,#REF!,5,FALSE),"No encontrado. Revisar código, fecha ejecución y/o contrato."))))))))</f>
        <v/>
      </c>
      <c r="D920" s="88" t="str">
        <f>IF(B920="","",
IFERROR(VLOOKUP(B920,'Maestro Materiales'!A:C,2,FALSE),
IFERROR(VLOOKUP(B920,'Baremos actuales'!A:B,2,FALSE),
IFERROR(VLOOKUP(B920,'Baremos anteriores'!A:B,2,FALSE),
""))))</f>
        <v/>
      </c>
      <c r="E920" s="9"/>
      <c r="F920" s="89" t="str">
        <f>IF(D920="MATE",
IF(E920="","¿Unidades?",""),
IF(D920="",IF(E920="","","¿Código?"),
IF(E920="","¿Unidades?",
IF(D920="TARE",
IF(M920=$H$3,IFERROR(VLOOKUP(B920,'Baremos actuales'!A:C,3,FALSE),0),
IF(M920=$H$4,IFERROR(VLOOKUP(B920,'Baremos anteriores'!A:C,3,FALSE),0),0))))))</f>
        <v/>
      </c>
      <c r="G920" s="7"/>
      <c r="H920" s="8"/>
      <c r="I920" s="8"/>
      <c r="J920" s="78" t="str">
        <f>IF($D920="","",
IF($E920="","",
IF($D920="MATE","",
IF(VLOOKUP($B920,'Baremos actuales'!A:D,4,FALSE)=J$9,$E920*$F920,IF(VLOOKUP($B920,'Baremos anteriores'!A:D,4,FALSE)="Sin Definir",$E920*$F920,"")))))</f>
        <v/>
      </c>
      <c r="K920" s="79" t="str">
        <f>IF($D920="","",
IF($E920="","",
IF($D920="MATE","",
IF(VLOOKUP($B920,'Baremos actuales'!$A:$D,4,FALSE)=K$9,$E920*$F920,IF(VLOOKUP($B920,'Baremos anteriores'!$A:$D,4,FALSE)="Desmonte",$E920*$F920,"")))))</f>
        <v/>
      </c>
      <c r="L920" s="80" t="str">
        <f>IF($D920="","",
IF($E920="","",
IF($D920="MATE","",
IF(VLOOKUP($B920,'Baremos actuales'!$A:$D,4,FALSE)=L$9,$E920*$F920,""))))</f>
        <v/>
      </c>
      <c r="M920" s="91" t="str">
        <f t="shared" si="14"/>
        <v/>
      </c>
      <c r="N920" s="96"/>
      <c r="O920" s="95"/>
      <c r="P920" s="96"/>
      <c r="Q920" s="98"/>
    </row>
    <row r="921" spans="1:17" ht="15.75" x14ac:dyDescent="0.2">
      <c r="A921" s="17"/>
      <c r="B921" s="18"/>
      <c r="C921" s="87" t="str">
        <f>IF(B921="","",
IF(M921=$H$5,IFERROR(VLOOKUP(B921,'Baremos actuales'!A:E,5,FALSE),"No encontrado. Revisar código, fecha ejecución y/o contrato."),
IF(M921=$H$4,IFERROR(VLOOKUP(B921,'Baremos anteriores'!A:E,5,FALSE),"No encontrado. Revisar código, fecha ejecución y/o contrato."),
IF(M921=$H$3,IFERROR(VLOOKUP(B921,#REF!,5,FALSE),"No encontrado. Revisar código, fecha ejecución y/o contrato."),
IF(D921="","Código no encontrado",
IF(D921="ERROR","No encontrado. Revisar Código, fecha de ejecución y/o contrato.",
IF(D921="MATE",
IF(C920="DESCRIPCION","NO SE PUEDE COMENZAR SIN CÓDIGO DE TAREA",
IF(C920="","FALTA CÓDIGO DE TAREA",
CONCATENATE("          ",VLOOKUP(B921,'Maestro Materiales'!A:C,3,FALSE)))),IFERROR(VLOOKUP(B921,#REF!,5,FALSE),"No encontrado. Revisar código, fecha ejecución y/o contrato."))))))))</f>
        <v/>
      </c>
      <c r="D921" s="88" t="str">
        <f>IF(B921="","",
IFERROR(VLOOKUP(B921,'Maestro Materiales'!A:C,2,FALSE),
IFERROR(VLOOKUP(B921,'Baremos actuales'!A:B,2,FALSE),
IFERROR(VLOOKUP(B921,'Baremos anteriores'!A:B,2,FALSE),
""))))</f>
        <v/>
      </c>
      <c r="E921" s="9"/>
      <c r="F921" s="89" t="str">
        <f>IF(D921="MATE",
IF(E921="","¿Unidades?",""),
IF(D921="",IF(E921="","","¿Código?"),
IF(E921="","¿Unidades?",
IF(D921="TARE",
IF(M921=$H$3,IFERROR(VLOOKUP(B921,'Baremos actuales'!A:C,3,FALSE),0),
IF(M921=$H$4,IFERROR(VLOOKUP(B921,'Baremos anteriores'!A:C,3,FALSE),0),0))))))</f>
        <v/>
      </c>
      <c r="G921" s="7"/>
      <c r="H921" s="8"/>
      <c r="I921" s="8"/>
      <c r="J921" s="78" t="str">
        <f>IF($D921="","",
IF($E921="","",
IF($D921="MATE","",
IF(VLOOKUP($B921,'Baremos actuales'!A:D,4,FALSE)=J$9,$E921*$F921,IF(VLOOKUP($B921,'Baremos anteriores'!A:D,4,FALSE)="Sin Definir",$E921*$F921,"")))))</f>
        <v/>
      </c>
      <c r="K921" s="79" t="str">
        <f>IF($D921="","",
IF($E921="","",
IF($D921="MATE","",
IF(VLOOKUP($B921,'Baremos actuales'!$A:$D,4,FALSE)=K$9,$E921*$F921,IF(VLOOKUP($B921,'Baremos anteriores'!$A:$D,4,FALSE)="Desmonte",$E921*$F921,"")))))</f>
        <v/>
      </c>
      <c r="L921" s="80" t="str">
        <f>IF($D921="","",
IF($E921="","",
IF($D921="MATE","",
IF(VLOOKUP($B921,'Baremos actuales'!$A:$D,4,FALSE)=L$9,$E921*$F921,""))))</f>
        <v/>
      </c>
      <c r="M921" s="91" t="str">
        <f t="shared" si="14"/>
        <v/>
      </c>
      <c r="N921" s="96"/>
      <c r="O921" s="95"/>
      <c r="P921" s="96"/>
      <c r="Q921" s="98"/>
    </row>
    <row r="922" spans="1:17" ht="15.75" x14ac:dyDescent="0.2">
      <c r="A922" s="17"/>
      <c r="B922" s="18"/>
      <c r="C922" s="87" t="str">
        <f>IF(B922="","",
IF(M922=$H$5,IFERROR(VLOOKUP(B922,'Baremos actuales'!A:E,5,FALSE),"No encontrado. Revisar código, fecha ejecución y/o contrato."),
IF(M922=$H$4,IFERROR(VLOOKUP(B922,'Baremos anteriores'!A:E,5,FALSE),"No encontrado. Revisar código, fecha ejecución y/o contrato."),
IF(M922=$H$3,IFERROR(VLOOKUP(B922,#REF!,5,FALSE),"No encontrado. Revisar código, fecha ejecución y/o contrato."),
IF(D922="","Código no encontrado",
IF(D922="ERROR","No encontrado. Revisar Código, fecha de ejecución y/o contrato.",
IF(D922="MATE",
IF(C921="DESCRIPCION","NO SE PUEDE COMENZAR SIN CÓDIGO DE TAREA",
IF(C921="","FALTA CÓDIGO DE TAREA",
CONCATENATE("          ",VLOOKUP(B922,'Maestro Materiales'!A:C,3,FALSE)))),IFERROR(VLOOKUP(B922,#REF!,5,FALSE),"No encontrado. Revisar código, fecha ejecución y/o contrato."))))))))</f>
        <v/>
      </c>
      <c r="D922" s="88" t="str">
        <f>IF(B922="","",
IFERROR(VLOOKUP(B922,'Maestro Materiales'!A:C,2,FALSE),
IFERROR(VLOOKUP(B922,'Baremos actuales'!A:B,2,FALSE),
IFERROR(VLOOKUP(B922,'Baremos anteriores'!A:B,2,FALSE),
""))))</f>
        <v/>
      </c>
      <c r="E922" s="9"/>
      <c r="F922" s="89" t="str">
        <f>IF(D922="MATE",
IF(E922="","¿Unidades?",""),
IF(D922="",IF(E922="","","¿Código?"),
IF(E922="","¿Unidades?",
IF(D922="TARE",
IF(M922=$H$3,IFERROR(VLOOKUP(B922,'Baremos actuales'!A:C,3,FALSE),0),
IF(M922=$H$4,IFERROR(VLOOKUP(B922,'Baremos anteriores'!A:C,3,FALSE),0),0))))))</f>
        <v/>
      </c>
      <c r="G922" s="7"/>
      <c r="H922" s="8"/>
      <c r="I922" s="8"/>
      <c r="J922" s="78" t="str">
        <f>IF($D922="","",
IF($E922="","",
IF($D922="MATE","",
IF(VLOOKUP($B922,'Baremos actuales'!A:D,4,FALSE)=J$9,$E922*$F922,IF(VLOOKUP($B922,'Baremos anteriores'!A:D,4,FALSE)="Sin Definir",$E922*$F922,"")))))</f>
        <v/>
      </c>
      <c r="K922" s="79" t="str">
        <f>IF($D922="","",
IF($E922="","",
IF($D922="MATE","",
IF(VLOOKUP($B922,'Baremos actuales'!$A:$D,4,FALSE)=K$9,$E922*$F922,IF(VLOOKUP($B922,'Baremos anteriores'!$A:$D,4,FALSE)="Desmonte",$E922*$F922,"")))))</f>
        <v/>
      </c>
      <c r="L922" s="80" t="str">
        <f>IF($D922="","",
IF($E922="","",
IF($D922="MATE","",
IF(VLOOKUP($B922,'Baremos actuales'!$A:$D,4,FALSE)=L$9,$E922*$F922,""))))</f>
        <v/>
      </c>
      <c r="M922" s="91" t="str">
        <f t="shared" si="14"/>
        <v/>
      </c>
      <c r="N922" s="96"/>
      <c r="O922" s="95"/>
      <c r="P922" s="96"/>
      <c r="Q922" s="98"/>
    </row>
    <row r="923" spans="1:17" ht="15.75" x14ac:dyDescent="0.2">
      <c r="A923" s="17"/>
      <c r="B923" s="18"/>
      <c r="C923" s="87" t="str">
        <f>IF(B923="","",
IF(M923=$H$5,IFERROR(VLOOKUP(B923,'Baremos actuales'!A:E,5,FALSE),"No encontrado. Revisar código, fecha ejecución y/o contrato."),
IF(M923=$H$4,IFERROR(VLOOKUP(B923,'Baremos anteriores'!A:E,5,FALSE),"No encontrado. Revisar código, fecha ejecución y/o contrato."),
IF(M923=$H$3,IFERROR(VLOOKUP(B923,#REF!,5,FALSE),"No encontrado. Revisar código, fecha ejecución y/o contrato."),
IF(D923="","Código no encontrado",
IF(D923="ERROR","No encontrado. Revisar Código, fecha de ejecución y/o contrato.",
IF(D923="MATE",
IF(C922="DESCRIPCION","NO SE PUEDE COMENZAR SIN CÓDIGO DE TAREA",
IF(C922="","FALTA CÓDIGO DE TAREA",
CONCATENATE("          ",VLOOKUP(B923,'Maestro Materiales'!A:C,3,FALSE)))),IFERROR(VLOOKUP(B923,#REF!,5,FALSE),"No encontrado. Revisar código, fecha ejecución y/o contrato."))))))))</f>
        <v/>
      </c>
      <c r="D923" s="88" t="str">
        <f>IF(B923="","",
IFERROR(VLOOKUP(B923,'Maestro Materiales'!A:C,2,FALSE),
IFERROR(VLOOKUP(B923,'Baremos actuales'!A:B,2,FALSE),
IFERROR(VLOOKUP(B923,'Baremos anteriores'!A:B,2,FALSE),
""))))</f>
        <v/>
      </c>
      <c r="E923" s="9"/>
      <c r="F923" s="89" t="str">
        <f>IF(D923="MATE",
IF(E923="","¿Unidades?",""),
IF(D923="",IF(E923="","","¿Código?"),
IF(E923="","¿Unidades?",
IF(D923="TARE",
IF(M923=$H$3,IFERROR(VLOOKUP(B923,'Baremos actuales'!A:C,3,FALSE),0),
IF(M923=$H$4,IFERROR(VLOOKUP(B923,'Baremos anteriores'!A:C,3,FALSE),0),0))))))</f>
        <v/>
      </c>
      <c r="G923" s="7"/>
      <c r="H923" s="8"/>
      <c r="I923" s="8"/>
      <c r="J923" s="78" t="str">
        <f>IF($D923="","",
IF($E923="","",
IF($D923="MATE","",
IF(VLOOKUP($B923,'Baremos actuales'!A:D,4,FALSE)=J$9,$E923*$F923,IF(VLOOKUP($B923,'Baremos anteriores'!A:D,4,FALSE)="Sin Definir",$E923*$F923,"")))))</f>
        <v/>
      </c>
      <c r="K923" s="79" t="str">
        <f>IF($D923="","",
IF($E923="","",
IF($D923="MATE","",
IF(VLOOKUP($B923,'Baremos actuales'!$A:$D,4,FALSE)=K$9,$E923*$F923,IF(VLOOKUP($B923,'Baremos anteriores'!$A:$D,4,FALSE)="Desmonte",$E923*$F923,"")))))</f>
        <v/>
      </c>
      <c r="L923" s="80" t="str">
        <f>IF($D923="","",
IF($E923="","",
IF($D923="MATE","",
IF(VLOOKUP($B923,'Baremos actuales'!$A:$D,4,FALSE)=L$9,$E923*$F923,""))))</f>
        <v/>
      </c>
      <c r="M923" s="91" t="str">
        <f t="shared" si="14"/>
        <v/>
      </c>
      <c r="N923" s="96"/>
      <c r="O923" s="95"/>
      <c r="P923" s="96"/>
      <c r="Q923" s="98"/>
    </row>
    <row r="924" spans="1:17" ht="15.75" x14ac:dyDescent="0.2">
      <c r="A924" s="17"/>
      <c r="B924" s="18"/>
      <c r="C924" s="87" t="str">
        <f>IF(B924="","",
IF(M924=$H$5,IFERROR(VLOOKUP(B924,'Baremos actuales'!A:E,5,FALSE),"No encontrado. Revisar código, fecha ejecución y/o contrato."),
IF(M924=$H$4,IFERROR(VLOOKUP(B924,'Baremos anteriores'!A:E,5,FALSE),"No encontrado. Revisar código, fecha ejecución y/o contrato."),
IF(M924=$H$3,IFERROR(VLOOKUP(B924,#REF!,5,FALSE),"No encontrado. Revisar código, fecha ejecución y/o contrato."),
IF(D924="","Código no encontrado",
IF(D924="ERROR","No encontrado. Revisar Código, fecha de ejecución y/o contrato.",
IF(D924="MATE",
IF(C923="DESCRIPCION","NO SE PUEDE COMENZAR SIN CÓDIGO DE TAREA",
IF(C923="","FALTA CÓDIGO DE TAREA",
CONCATENATE("          ",VLOOKUP(B924,'Maestro Materiales'!A:C,3,FALSE)))),IFERROR(VLOOKUP(B924,#REF!,5,FALSE),"No encontrado. Revisar código, fecha ejecución y/o contrato."))))))))</f>
        <v/>
      </c>
      <c r="D924" s="88" t="str">
        <f>IF(B924="","",
IFERROR(VLOOKUP(B924,'Maestro Materiales'!A:C,2,FALSE),
IFERROR(VLOOKUP(B924,'Baremos actuales'!A:B,2,FALSE),
IFERROR(VLOOKUP(B924,'Baremos anteriores'!A:B,2,FALSE),
""))))</f>
        <v/>
      </c>
      <c r="E924" s="9"/>
      <c r="F924" s="89" t="str">
        <f>IF(D924="MATE",
IF(E924="","¿Unidades?",""),
IF(D924="",IF(E924="","","¿Código?"),
IF(E924="","¿Unidades?",
IF(D924="TARE",
IF(M924=$H$3,IFERROR(VLOOKUP(B924,'Baremos actuales'!A:C,3,FALSE),0),
IF(M924=$H$4,IFERROR(VLOOKUP(B924,'Baremos anteriores'!A:C,3,FALSE),0),0))))))</f>
        <v/>
      </c>
      <c r="G924" s="7"/>
      <c r="H924" s="8"/>
      <c r="I924" s="8"/>
      <c r="J924" s="78" t="str">
        <f>IF($D924="","",
IF($E924="","",
IF($D924="MATE","",
IF(VLOOKUP($B924,'Baremos actuales'!A:D,4,FALSE)=J$9,$E924*$F924,IF(VLOOKUP($B924,'Baremos anteriores'!A:D,4,FALSE)="Sin Definir",$E924*$F924,"")))))</f>
        <v/>
      </c>
      <c r="K924" s="79" t="str">
        <f>IF($D924="","",
IF($E924="","",
IF($D924="MATE","",
IF(VLOOKUP($B924,'Baremos actuales'!$A:$D,4,FALSE)=K$9,$E924*$F924,IF(VLOOKUP($B924,'Baremos anteriores'!$A:$D,4,FALSE)="Desmonte",$E924*$F924,"")))))</f>
        <v/>
      </c>
      <c r="L924" s="80" t="str">
        <f>IF($D924="","",
IF($E924="","",
IF($D924="MATE","",
IF(VLOOKUP($B924,'Baremos actuales'!$A:$D,4,FALSE)=L$9,$E924*$F924,""))))</f>
        <v/>
      </c>
      <c r="M924" s="91" t="str">
        <f t="shared" si="14"/>
        <v/>
      </c>
      <c r="N924" s="96"/>
      <c r="O924" s="95"/>
      <c r="P924" s="96"/>
      <c r="Q924" s="98"/>
    </row>
    <row r="925" spans="1:17" ht="15.75" x14ac:dyDescent="0.2">
      <c r="A925" s="17"/>
      <c r="B925" s="18"/>
      <c r="C925" s="87" t="str">
        <f>IF(B925="","",
IF(M925=$H$5,IFERROR(VLOOKUP(B925,'Baremos actuales'!A:E,5,FALSE),"No encontrado. Revisar código, fecha ejecución y/o contrato."),
IF(M925=$H$4,IFERROR(VLOOKUP(B925,'Baremos anteriores'!A:E,5,FALSE),"No encontrado. Revisar código, fecha ejecución y/o contrato."),
IF(M925=$H$3,IFERROR(VLOOKUP(B925,#REF!,5,FALSE),"No encontrado. Revisar código, fecha ejecución y/o contrato."),
IF(D925="","Código no encontrado",
IF(D925="ERROR","No encontrado. Revisar Código, fecha de ejecución y/o contrato.",
IF(D925="MATE",
IF(C924="DESCRIPCION","NO SE PUEDE COMENZAR SIN CÓDIGO DE TAREA",
IF(C924="","FALTA CÓDIGO DE TAREA",
CONCATENATE("          ",VLOOKUP(B925,'Maestro Materiales'!A:C,3,FALSE)))),IFERROR(VLOOKUP(B925,#REF!,5,FALSE),"No encontrado. Revisar código, fecha ejecución y/o contrato."))))))))</f>
        <v/>
      </c>
      <c r="D925" s="88" t="str">
        <f>IF(B925="","",
IFERROR(VLOOKUP(B925,'Maestro Materiales'!A:C,2,FALSE),
IFERROR(VLOOKUP(B925,'Baremos actuales'!A:B,2,FALSE),
IFERROR(VLOOKUP(B925,'Baremos anteriores'!A:B,2,FALSE),
""))))</f>
        <v/>
      </c>
      <c r="E925" s="9"/>
      <c r="F925" s="89" t="str">
        <f>IF(D925="MATE",
IF(E925="","¿Unidades?",""),
IF(D925="",IF(E925="","","¿Código?"),
IF(E925="","¿Unidades?",
IF(D925="TARE",
IF(M925=$H$3,IFERROR(VLOOKUP(B925,'Baremos actuales'!A:C,3,FALSE),0),
IF(M925=$H$4,IFERROR(VLOOKUP(B925,'Baremos anteriores'!A:C,3,FALSE),0),0))))))</f>
        <v/>
      </c>
      <c r="G925" s="7"/>
      <c r="H925" s="8"/>
      <c r="I925" s="8"/>
      <c r="J925" s="78" t="str">
        <f>IF($D925="","",
IF($E925="","",
IF($D925="MATE","",
IF(VLOOKUP($B925,'Baremos actuales'!A:D,4,FALSE)=J$9,$E925*$F925,IF(VLOOKUP($B925,'Baremos anteriores'!A:D,4,FALSE)="Sin Definir",$E925*$F925,"")))))</f>
        <v/>
      </c>
      <c r="K925" s="79" t="str">
        <f>IF($D925="","",
IF($E925="","",
IF($D925="MATE","",
IF(VLOOKUP($B925,'Baremos actuales'!$A:$D,4,FALSE)=K$9,$E925*$F925,IF(VLOOKUP($B925,'Baremos anteriores'!$A:$D,4,FALSE)="Desmonte",$E925*$F925,"")))))</f>
        <v/>
      </c>
      <c r="L925" s="80" t="str">
        <f>IF($D925="","",
IF($E925="","",
IF($D925="MATE","",
IF(VLOOKUP($B925,'Baremos actuales'!$A:$D,4,FALSE)=L$9,$E925*$F925,""))))</f>
        <v/>
      </c>
      <c r="M925" s="91" t="str">
        <f t="shared" si="14"/>
        <v/>
      </c>
      <c r="N925" s="96"/>
      <c r="O925" s="95"/>
      <c r="P925" s="96"/>
      <c r="Q925" s="98"/>
    </row>
    <row r="926" spans="1:17" ht="15.75" x14ac:dyDescent="0.2">
      <c r="A926" s="17"/>
      <c r="B926" s="18"/>
      <c r="C926" s="87" t="str">
        <f>IF(B926="","",
IF(M926=$H$5,IFERROR(VLOOKUP(B926,'Baremos actuales'!A:E,5,FALSE),"No encontrado. Revisar código, fecha ejecución y/o contrato."),
IF(M926=$H$4,IFERROR(VLOOKUP(B926,'Baremos anteriores'!A:E,5,FALSE),"No encontrado. Revisar código, fecha ejecución y/o contrato."),
IF(M926=$H$3,IFERROR(VLOOKUP(B926,#REF!,5,FALSE),"No encontrado. Revisar código, fecha ejecución y/o contrato."),
IF(D926="","Código no encontrado",
IF(D926="ERROR","No encontrado. Revisar Código, fecha de ejecución y/o contrato.",
IF(D926="MATE",
IF(C925="DESCRIPCION","NO SE PUEDE COMENZAR SIN CÓDIGO DE TAREA",
IF(C925="","FALTA CÓDIGO DE TAREA",
CONCATENATE("          ",VLOOKUP(B926,'Maestro Materiales'!A:C,3,FALSE)))),IFERROR(VLOOKUP(B926,#REF!,5,FALSE),"No encontrado. Revisar código, fecha ejecución y/o contrato."))))))))</f>
        <v/>
      </c>
      <c r="D926" s="88" t="str">
        <f>IF(B926="","",
IFERROR(VLOOKUP(B926,'Maestro Materiales'!A:C,2,FALSE),
IFERROR(VLOOKUP(B926,'Baremos actuales'!A:B,2,FALSE),
IFERROR(VLOOKUP(B926,'Baremos anteriores'!A:B,2,FALSE),
""))))</f>
        <v/>
      </c>
      <c r="E926" s="9"/>
      <c r="F926" s="89" t="str">
        <f>IF(D926="MATE",
IF(E926="","¿Unidades?",""),
IF(D926="",IF(E926="","","¿Código?"),
IF(E926="","¿Unidades?",
IF(D926="TARE",
IF(M926=$H$3,IFERROR(VLOOKUP(B926,'Baremos actuales'!A:C,3,FALSE),0),
IF(M926=$H$4,IFERROR(VLOOKUP(B926,'Baremos anteriores'!A:C,3,FALSE),0),0))))))</f>
        <v/>
      </c>
      <c r="G926" s="7"/>
      <c r="H926" s="8"/>
      <c r="I926" s="8"/>
      <c r="J926" s="78" t="str">
        <f>IF($D926="","",
IF($E926="","",
IF($D926="MATE","",
IF(VLOOKUP($B926,'Baremos actuales'!A:D,4,FALSE)=J$9,$E926*$F926,IF(VLOOKUP($B926,'Baremos anteriores'!A:D,4,FALSE)="Sin Definir",$E926*$F926,"")))))</f>
        <v/>
      </c>
      <c r="K926" s="79" t="str">
        <f>IF($D926="","",
IF($E926="","",
IF($D926="MATE","",
IF(VLOOKUP($B926,'Baremos actuales'!$A:$D,4,FALSE)=K$9,$E926*$F926,IF(VLOOKUP($B926,'Baremos anteriores'!$A:$D,4,FALSE)="Desmonte",$E926*$F926,"")))))</f>
        <v/>
      </c>
      <c r="L926" s="80" t="str">
        <f>IF($D926="","",
IF($E926="","",
IF($D926="MATE","",
IF(VLOOKUP($B926,'Baremos actuales'!$A:$D,4,FALSE)=L$9,$E926*$F926,""))))</f>
        <v/>
      </c>
      <c r="M926" s="91" t="str">
        <f t="shared" si="14"/>
        <v/>
      </c>
      <c r="N926" s="96"/>
      <c r="O926" s="95"/>
      <c r="P926" s="96"/>
      <c r="Q926" s="98"/>
    </row>
    <row r="927" spans="1:17" ht="15.75" x14ac:dyDescent="0.2">
      <c r="A927" s="17"/>
      <c r="B927" s="18"/>
      <c r="C927" s="87" t="str">
        <f>IF(B927="","",
IF(M927=$H$5,IFERROR(VLOOKUP(B927,'Baremos actuales'!A:E,5,FALSE),"No encontrado. Revisar código, fecha ejecución y/o contrato."),
IF(M927=$H$4,IFERROR(VLOOKUP(B927,'Baremos anteriores'!A:E,5,FALSE),"No encontrado. Revisar código, fecha ejecución y/o contrato."),
IF(M927=$H$3,IFERROR(VLOOKUP(B927,#REF!,5,FALSE),"No encontrado. Revisar código, fecha ejecución y/o contrato."),
IF(D927="","Código no encontrado",
IF(D927="ERROR","No encontrado. Revisar Código, fecha de ejecución y/o contrato.",
IF(D927="MATE",
IF(C926="DESCRIPCION","NO SE PUEDE COMENZAR SIN CÓDIGO DE TAREA",
IF(C926="","FALTA CÓDIGO DE TAREA",
CONCATENATE("          ",VLOOKUP(B927,'Maestro Materiales'!A:C,3,FALSE)))),IFERROR(VLOOKUP(B927,#REF!,5,FALSE),"No encontrado. Revisar código, fecha ejecución y/o contrato."))))))))</f>
        <v/>
      </c>
      <c r="D927" s="88" t="str">
        <f>IF(B927="","",
IFERROR(VLOOKUP(B927,'Maestro Materiales'!A:C,2,FALSE),
IFERROR(VLOOKUP(B927,'Baremos actuales'!A:B,2,FALSE),
IFERROR(VLOOKUP(B927,'Baremos anteriores'!A:B,2,FALSE),
""))))</f>
        <v/>
      </c>
      <c r="E927" s="9"/>
      <c r="F927" s="89" t="str">
        <f>IF(D927="MATE",
IF(E927="","¿Unidades?",""),
IF(D927="",IF(E927="","","¿Código?"),
IF(E927="","¿Unidades?",
IF(D927="TARE",
IF(M927=$H$3,IFERROR(VLOOKUP(B927,'Baremos actuales'!A:C,3,FALSE),0),
IF(M927=$H$4,IFERROR(VLOOKUP(B927,'Baremos anteriores'!A:C,3,FALSE),0),0))))))</f>
        <v/>
      </c>
      <c r="G927" s="7"/>
      <c r="H927" s="8"/>
      <c r="I927" s="8"/>
      <c r="J927" s="78" t="str">
        <f>IF($D927="","",
IF($E927="","",
IF($D927="MATE","",
IF(VLOOKUP($B927,'Baremos actuales'!A:D,4,FALSE)=J$9,$E927*$F927,IF(VLOOKUP($B927,'Baremos anteriores'!A:D,4,FALSE)="Sin Definir",$E927*$F927,"")))))</f>
        <v/>
      </c>
      <c r="K927" s="79" t="str">
        <f>IF($D927="","",
IF($E927="","",
IF($D927="MATE","",
IF(VLOOKUP($B927,'Baremos actuales'!$A:$D,4,FALSE)=K$9,$E927*$F927,IF(VLOOKUP($B927,'Baremos anteriores'!$A:$D,4,FALSE)="Desmonte",$E927*$F927,"")))))</f>
        <v/>
      </c>
      <c r="L927" s="80" t="str">
        <f>IF($D927="","",
IF($E927="","",
IF($D927="MATE","",
IF(VLOOKUP($B927,'Baremos actuales'!$A:$D,4,FALSE)=L$9,$E927*$F927,""))))</f>
        <v/>
      </c>
      <c r="M927" s="91" t="str">
        <f t="shared" si="14"/>
        <v/>
      </c>
      <c r="N927" s="96"/>
      <c r="O927" s="95"/>
      <c r="P927" s="96"/>
      <c r="Q927" s="98"/>
    </row>
    <row r="928" spans="1:17" ht="15.75" x14ac:dyDescent="0.2">
      <c r="A928" s="17"/>
      <c r="B928" s="18"/>
      <c r="C928" s="87" t="str">
        <f>IF(B928="","",
IF(M928=$H$5,IFERROR(VLOOKUP(B928,'Baremos actuales'!A:E,5,FALSE),"No encontrado. Revisar código, fecha ejecución y/o contrato."),
IF(M928=$H$4,IFERROR(VLOOKUP(B928,'Baremos anteriores'!A:E,5,FALSE),"No encontrado. Revisar código, fecha ejecución y/o contrato."),
IF(M928=$H$3,IFERROR(VLOOKUP(B928,#REF!,5,FALSE),"No encontrado. Revisar código, fecha ejecución y/o contrato."),
IF(D928="","Código no encontrado",
IF(D928="ERROR","No encontrado. Revisar Código, fecha de ejecución y/o contrato.",
IF(D928="MATE",
IF(C927="DESCRIPCION","NO SE PUEDE COMENZAR SIN CÓDIGO DE TAREA",
IF(C927="","FALTA CÓDIGO DE TAREA",
CONCATENATE("          ",VLOOKUP(B928,'Maestro Materiales'!A:C,3,FALSE)))),IFERROR(VLOOKUP(B928,#REF!,5,FALSE),"No encontrado. Revisar código, fecha ejecución y/o contrato."))))))))</f>
        <v/>
      </c>
      <c r="D928" s="88" t="str">
        <f>IF(B928="","",
IFERROR(VLOOKUP(B928,'Maestro Materiales'!A:C,2,FALSE),
IFERROR(VLOOKUP(B928,'Baremos actuales'!A:B,2,FALSE),
IFERROR(VLOOKUP(B928,'Baremos anteriores'!A:B,2,FALSE),
""))))</f>
        <v/>
      </c>
      <c r="E928" s="9"/>
      <c r="F928" s="89" t="str">
        <f>IF(D928="MATE",
IF(E928="","¿Unidades?",""),
IF(D928="",IF(E928="","","¿Código?"),
IF(E928="","¿Unidades?",
IF(D928="TARE",
IF(M928=$H$3,IFERROR(VLOOKUP(B928,'Baremos actuales'!A:C,3,FALSE),0),
IF(M928=$H$4,IFERROR(VLOOKUP(B928,'Baremos anteriores'!A:C,3,FALSE),0),0))))))</f>
        <v/>
      </c>
      <c r="G928" s="7"/>
      <c r="H928" s="8"/>
      <c r="I928" s="8"/>
      <c r="J928" s="78" t="str">
        <f>IF($D928="","",
IF($E928="","",
IF($D928="MATE","",
IF(VLOOKUP($B928,'Baremos actuales'!A:D,4,FALSE)=J$9,$E928*$F928,IF(VLOOKUP($B928,'Baremos anteriores'!A:D,4,FALSE)="Sin Definir",$E928*$F928,"")))))</f>
        <v/>
      </c>
      <c r="K928" s="79" t="str">
        <f>IF($D928="","",
IF($E928="","",
IF($D928="MATE","",
IF(VLOOKUP($B928,'Baremos actuales'!$A:$D,4,FALSE)=K$9,$E928*$F928,IF(VLOOKUP($B928,'Baremos anteriores'!$A:$D,4,FALSE)="Desmonte",$E928*$F928,"")))))</f>
        <v/>
      </c>
      <c r="L928" s="80" t="str">
        <f>IF($D928="","",
IF($E928="","",
IF($D928="MATE","",
IF(VLOOKUP($B928,'Baremos actuales'!$A:$D,4,FALSE)=L$9,$E928*$F928,""))))</f>
        <v/>
      </c>
      <c r="M928" s="91" t="str">
        <f t="shared" si="14"/>
        <v/>
      </c>
      <c r="N928" s="96"/>
      <c r="O928" s="95"/>
      <c r="P928" s="96"/>
      <c r="Q928" s="98"/>
    </row>
    <row r="929" spans="1:17" ht="15.75" x14ac:dyDescent="0.2">
      <c r="A929" s="17"/>
      <c r="B929" s="18"/>
      <c r="C929" s="87" t="str">
        <f>IF(B929="","",
IF(M929=$H$5,IFERROR(VLOOKUP(B929,'Baremos actuales'!A:E,5,FALSE),"No encontrado. Revisar código, fecha ejecución y/o contrato."),
IF(M929=$H$4,IFERROR(VLOOKUP(B929,'Baremos anteriores'!A:E,5,FALSE),"No encontrado. Revisar código, fecha ejecución y/o contrato."),
IF(M929=$H$3,IFERROR(VLOOKUP(B929,#REF!,5,FALSE),"No encontrado. Revisar código, fecha ejecución y/o contrato."),
IF(D929="","Código no encontrado",
IF(D929="ERROR","No encontrado. Revisar Código, fecha de ejecución y/o contrato.",
IF(D929="MATE",
IF(C928="DESCRIPCION","NO SE PUEDE COMENZAR SIN CÓDIGO DE TAREA",
IF(C928="","FALTA CÓDIGO DE TAREA",
CONCATENATE("          ",VLOOKUP(B929,'Maestro Materiales'!A:C,3,FALSE)))),IFERROR(VLOOKUP(B929,#REF!,5,FALSE),"No encontrado. Revisar código, fecha ejecución y/o contrato."))))))))</f>
        <v/>
      </c>
      <c r="D929" s="88" t="str">
        <f>IF(B929="","",
IFERROR(VLOOKUP(B929,'Maestro Materiales'!A:C,2,FALSE),
IFERROR(VLOOKUP(B929,'Baremos actuales'!A:B,2,FALSE),
IFERROR(VLOOKUP(B929,'Baremos anteriores'!A:B,2,FALSE),
""))))</f>
        <v/>
      </c>
      <c r="E929" s="9"/>
      <c r="F929" s="89" t="str">
        <f>IF(D929="MATE",
IF(E929="","¿Unidades?",""),
IF(D929="",IF(E929="","","¿Código?"),
IF(E929="","¿Unidades?",
IF(D929="TARE",
IF(M929=$H$3,IFERROR(VLOOKUP(B929,'Baremos actuales'!A:C,3,FALSE),0),
IF(M929=$H$4,IFERROR(VLOOKUP(B929,'Baremos anteriores'!A:C,3,FALSE),0),0))))))</f>
        <v/>
      </c>
      <c r="G929" s="7"/>
      <c r="H929" s="8"/>
      <c r="I929" s="8"/>
      <c r="J929" s="78" t="str">
        <f>IF($D929="","",
IF($E929="","",
IF($D929="MATE","",
IF(VLOOKUP($B929,'Baremos actuales'!A:D,4,FALSE)=J$9,$E929*$F929,IF(VLOOKUP($B929,'Baremos anteriores'!A:D,4,FALSE)="Sin Definir",$E929*$F929,"")))))</f>
        <v/>
      </c>
      <c r="K929" s="79" t="str">
        <f>IF($D929="","",
IF($E929="","",
IF($D929="MATE","",
IF(VLOOKUP($B929,'Baremos actuales'!$A:$D,4,FALSE)=K$9,$E929*$F929,IF(VLOOKUP($B929,'Baremos anteriores'!$A:$D,4,FALSE)="Desmonte",$E929*$F929,"")))))</f>
        <v/>
      </c>
      <c r="L929" s="80" t="str">
        <f>IF($D929="","",
IF($E929="","",
IF($D929="MATE","",
IF(VLOOKUP($B929,'Baremos actuales'!$A:$D,4,FALSE)=L$9,$E929*$F929,""))))</f>
        <v/>
      </c>
      <c r="M929" s="91" t="str">
        <f t="shared" si="14"/>
        <v/>
      </c>
      <c r="N929" s="96"/>
      <c r="O929" s="95"/>
      <c r="P929" s="96"/>
      <c r="Q929" s="98"/>
    </row>
    <row r="930" spans="1:17" ht="15.75" x14ac:dyDescent="0.2">
      <c r="A930" s="17"/>
      <c r="B930" s="18"/>
      <c r="C930" s="87" t="str">
        <f>IF(B930="","",
IF(M930=$H$5,IFERROR(VLOOKUP(B930,'Baremos actuales'!A:E,5,FALSE),"No encontrado. Revisar código, fecha ejecución y/o contrato."),
IF(M930=$H$4,IFERROR(VLOOKUP(B930,'Baremos anteriores'!A:E,5,FALSE),"No encontrado. Revisar código, fecha ejecución y/o contrato."),
IF(M930=$H$3,IFERROR(VLOOKUP(B930,#REF!,5,FALSE),"No encontrado. Revisar código, fecha ejecución y/o contrato."),
IF(D930="","Código no encontrado",
IF(D930="ERROR","No encontrado. Revisar Código, fecha de ejecución y/o contrato.",
IF(D930="MATE",
IF(C929="DESCRIPCION","NO SE PUEDE COMENZAR SIN CÓDIGO DE TAREA",
IF(C929="","FALTA CÓDIGO DE TAREA",
CONCATENATE("          ",VLOOKUP(B930,'Maestro Materiales'!A:C,3,FALSE)))),IFERROR(VLOOKUP(B930,#REF!,5,FALSE),"No encontrado. Revisar código, fecha ejecución y/o contrato."))))))))</f>
        <v/>
      </c>
      <c r="D930" s="88" t="str">
        <f>IF(B930="","",
IFERROR(VLOOKUP(B930,'Maestro Materiales'!A:C,2,FALSE),
IFERROR(VLOOKUP(B930,'Baremos actuales'!A:B,2,FALSE),
IFERROR(VLOOKUP(B930,'Baremos anteriores'!A:B,2,FALSE),
""))))</f>
        <v/>
      </c>
      <c r="E930" s="9"/>
      <c r="F930" s="89" t="str">
        <f>IF(D930="MATE",
IF(E930="","¿Unidades?",""),
IF(D930="",IF(E930="","","¿Código?"),
IF(E930="","¿Unidades?",
IF(D930="TARE",
IF(M930=$H$3,IFERROR(VLOOKUP(B930,'Baremos actuales'!A:C,3,FALSE),0),
IF(M930=$H$4,IFERROR(VLOOKUP(B930,'Baremos anteriores'!A:C,3,FALSE),0),0))))))</f>
        <v/>
      </c>
      <c r="G930" s="7"/>
      <c r="H930" s="8"/>
      <c r="I930" s="8"/>
      <c r="J930" s="78" t="str">
        <f>IF($D930="","",
IF($E930="","",
IF($D930="MATE","",
IF(VLOOKUP($B930,'Baremos actuales'!A:D,4,FALSE)=J$9,$E930*$F930,IF(VLOOKUP($B930,'Baremos anteriores'!A:D,4,FALSE)="Sin Definir",$E930*$F930,"")))))</f>
        <v/>
      </c>
      <c r="K930" s="79" t="str">
        <f>IF($D930="","",
IF($E930="","",
IF($D930="MATE","",
IF(VLOOKUP($B930,'Baremos actuales'!$A:$D,4,FALSE)=K$9,$E930*$F930,IF(VLOOKUP($B930,'Baremos anteriores'!$A:$D,4,FALSE)="Desmonte",$E930*$F930,"")))))</f>
        <v/>
      </c>
      <c r="L930" s="80" t="str">
        <f>IF($D930="","",
IF($E930="","",
IF($D930="MATE","",
IF(VLOOKUP($B930,'Baremos actuales'!$A:$D,4,FALSE)=L$9,$E930*$F930,""))))</f>
        <v/>
      </c>
      <c r="M930" s="91" t="str">
        <f t="shared" si="14"/>
        <v/>
      </c>
      <c r="N930" s="96"/>
      <c r="O930" s="95"/>
      <c r="P930" s="96"/>
      <c r="Q930" s="98"/>
    </row>
    <row r="931" spans="1:17" ht="15.75" x14ac:dyDescent="0.2">
      <c r="A931" s="17"/>
      <c r="B931" s="18"/>
      <c r="C931" s="87" t="str">
        <f>IF(B931="","",
IF(M931=$H$5,IFERROR(VLOOKUP(B931,'Baremos actuales'!A:E,5,FALSE),"No encontrado. Revisar código, fecha ejecución y/o contrato."),
IF(M931=$H$4,IFERROR(VLOOKUP(B931,'Baremos anteriores'!A:E,5,FALSE),"No encontrado. Revisar código, fecha ejecución y/o contrato."),
IF(M931=$H$3,IFERROR(VLOOKUP(B931,#REF!,5,FALSE),"No encontrado. Revisar código, fecha ejecución y/o contrato."),
IF(D931="","Código no encontrado",
IF(D931="ERROR","No encontrado. Revisar Código, fecha de ejecución y/o contrato.",
IF(D931="MATE",
IF(C930="DESCRIPCION","NO SE PUEDE COMENZAR SIN CÓDIGO DE TAREA",
IF(C930="","FALTA CÓDIGO DE TAREA",
CONCATENATE("          ",VLOOKUP(B931,'Maestro Materiales'!A:C,3,FALSE)))),IFERROR(VLOOKUP(B931,#REF!,5,FALSE),"No encontrado. Revisar código, fecha ejecución y/o contrato."))))))))</f>
        <v/>
      </c>
      <c r="D931" s="88" t="str">
        <f>IF(B931="","",
IFERROR(VLOOKUP(B931,'Maestro Materiales'!A:C,2,FALSE),
IFERROR(VLOOKUP(B931,'Baremos actuales'!A:B,2,FALSE),
IFERROR(VLOOKUP(B931,'Baremos anteriores'!A:B,2,FALSE),
""))))</f>
        <v/>
      </c>
      <c r="E931" s="9"/>
      <c r="F931" s="89" t="str">
        <f>IF(D931="MATE",
IF(E931="","¿Unidades?",""),
IF(D931="",IF(E931="","","¿Código?"),
IF(E931="","¿Unidades?",
IF(D931="TARE",
IF(M931=$H$3,IFERROR(VLOOKUP(B931,'Baremos actuales'!A:C,3,FALSE),0),
IF(M931=$H$4,IFERROR(VLOOKUP(B931,'Baremos anteriores'!A:C,3,FALSE),0),0))))))</f>
        <v/>
      </c>
      <c r="G931" s="7"/>
      <c r="H931" s="8"/>
      <c r="I931" s="8"/>
      <c r="J931" s="78" t="str">
        <f>IF($D931="","",
IF($E931="","",
IF($D931="MATE","",
IF(VLOOKUP($B931,'Baremos actuales'!A:D,4,FALSE)=J$9,$E931*$F931,IF(VLOOKUP($B931,'Baremos anteriores'!A:D,4,FALSE)="Sin Definir",$E931*$F931,"")))))</f>
        <v/>
      </c>
      <c r="K931" s="79" t="str">
        <f>IF($D931="","",
IF($E931="","",
IF($D931="MATE","",
IF(VLOOKUP($B931,'Baremos actuales'!$A:$D,4,FALSE)=K$9,$E931*$F931,IF(VLOOKUP($B931,'Baremos anteriores'!$A:$D,4,FALSE)="Desmonte",$E931*$F931,"")))))</f>
        <v/>
      </c>
      <c r="L931" s="80" t="str">
        <f>IF($D931="","",
IF($E931="","",
IF($D931="MATE","",
IF(VLOOKUP($B931,'Baremos actuales'!$A:$D,4,FALSE)=L$9,$E931*$F931,""))))</f>
        <v/>
      </c>
      <c r="M931" s="91" t="str">
        <f t="shared" si="14"/>
        <v/>
      </c>
      <c r="N931" s="96"/>
      <c r="O931" s="95"/>
      <c r="P931" s="96"/>
      <c r="Q931" s="98"/>
    </row>
    <row r="932" spans="1:17" ht="15.75" x14ac:dyDescent="0.2">
      <c r="A932" s="17"/>
      <c r="B932" s="18"/>
      <c r="C932" s="87" t="str">
        <f>IF(B932="","",
IF(M932=$H$5,IFERROR(VLOOKUP(B932,'Baremos actuales'!A:E,5,FALSE),"No encontrado. Revisar código, fecha ejecución y/o contrato."),
IF(M932=$H$4,IFERROR(VLOOKUP(B932,'Baremos anteriores'!A:E,5,FALSE),"No encontrado. Revisar código, fecha ejecución y/o contrato."),
IF(M932=$H$3,IFERROR(VLOOKUP(B932,#REF!,5,FALSE),"No encontrado. Revisar código, fecha ejecución y/o contrato."),
IF(D932="","Código no encontrado",
IF(D932="ERROR","No encontrado. Revisar Código, fecha de ejecución y/o contrato.",
IF(D932="MATE",
IF(C931="DESCRIPCION","NO SE PUEDE COMENZAR SIN CÓDIGO DE TAREA",
IF(C931="","FALTA CÓDIGO DE TAREA",
CONCATENATE("          ",VLOOKUP(B932,'Maestro Materiales'!A:C,3,FALSE)))),IFERROR(VLOOKUP(B932,#REF!,5,FALSE),"No encontrado. Revisar código, fecha ejecución y/o contrato."))))))))</f>
        <v/>
      </c>
      <c r="D932" s="88" t="str">
        <f>IF(B932="","",
IFERROR(VLOOKUP(B932,'Maestro Materiales'!A:C,2,FALSE),
IFERROR(VLOOKUP(B932,'Baremos actuales'!A:B,2,FALSE),
IFERROR(VLOOKUP(B932,'Baremos anteriores'!A:B,2,FALSE),
""))))</f>
        <v/>
      </c>
      <c r="E932" s="9"/>
      <c r="F932" s="89" t="str">
        <f>IF(D932="MATE",
IF(E932="","¿Unidades?",""),
IF(D932="",IF(E932="","","¿Código?"),
IF(E932="","¿Unidades?",
IF(D932="TARE",
IF(M932=$H$3,IFERROR(VLOOKUP(B932,'Baremos actuales'!A:C,3,FALSE),0),
IF(M932=$H$4,IFERROR(VLOOKUP(B932,'Baremos anteriores'!A:C,3,FALSE),0),0))))))</f>
        <v/>
      </c>
      <c r="G932" s="7"/>
      <c r="H932" s="8"/>
      <c r="I932" s="8"/>
      <c r="J932" s="78" t="str">
        <f>IF($D932="","",
IF($E932="","",
IF($D932="MATE","",
IF(VLOOKUP($B932,'Baremos actuales'!A:D,4,FALSE)=J$9,$E932*$F932,IF(VLOOKUP($B932,'Baremos anteriores'!A:D,4,FALSE)="Sin Definir",$E932*$F932,"")))))</f>
        <v/>
      </c>
      <c r="K932" s="79" t="str">
        <f>IF($D932="","",
IF($E932="","",
IF($D932="MATE","",
IF(VLOOKUP($B932,'Baremos actuales'!$A:$D,4,FALSE)=K$9,$E932*$F932,IF(VLOOKUP($B932,'Baremos anteriores'!$A:$D,4,FALSE)="Desmonte",$E932*$F932,"")))))</f>
        <v/>
      </c>
      <c r="L932" s="80" t="str">
        <f>IF($D932="","",
IF($E932="","",
IF($D932="MATE","",
IF(VLOOKUP($B932,'Baremos actuales'!$A:$D,4,FALSE)=L$9,$E932*$F932,""))))</f>
        <v/>
      </c>
      <c r="M932" s="91" t="str">
        <f t="shared" si="14"/>
        <v/>
      </c>
      <c r="N932" s="96"/>
      <c r="O932" s="95"/>
      <c r="P932" s="96"/>
      <c r="Q932" s="98"/>
    </row>
    <row r="933" spans="1:17" ht="15.75" x14ac:dyDescent="0.2">
      <c r="A933" s="17"/>
      <c r="B933" s="18"/>
      <c r="C933" s="87" t="str">
        <f>IF(B933="","",
IF(M933=$H$5,IFERROR(VLOOKUP(B933,'Baremos actuales'!A:E,5,FALSE),"No encontrado. Revisar código, fecha ejecución y/o contrato."),
IF(M933=$H$4,IFERROR(VLOOKUP(B933,'Baremos anteriores'!A:E,5,FALSE),"No encontrado. Revisar código, fecha ejecución y/o contrato."),
IF(M933=$H$3,IFERROR(VLOOKUP(B933,#REF!,5,FALSE),"No encontrado. Revisar código, fecha ejecución y/o contrato."),
IF(D933="","Código no encontrado",
IF(D933="ERROR","No encontrado. Revisar Código, fecha de ejecución y/o contrato.",
IF(D933="MATE",
IF(C932="DESCRIPCION","NO SE PUEDE COMENZAR SIN CÓDIGO DE TAREA",
IF(C932="","FALTA CÓDIGO DE TAREA",
CONCATENATE("          ",VLOOKUP(B933,'Maestro Materiales'!A:C,3,FALSE)))),IFERROR(VLOOKUP(B933,#REF!,5,FALSE),"No encontrado. Revisar código, fecha ejecución y/o contrato."))))))))</f>
        <v/>
      </c>
      <c r="D933" s="88" t="str">
        <f>IF(B933="","",
IFERROR(VLOOKUP(B933,'Maestro Materiales'!A:C,2,FALSE),
IFERROR(VLOOKUP(B933,'Baremos actuales'!A:B,2,FALSE),
IFERROR(VLOOKUP(B933,'Baremos anteriores'!A:B,2,FALSE),
""))))</f>
        <v/>
      </c>
      <c r="E933" s="9"/>
      <c r="F933" s="89" t="str">
        <f>IF(D933="MATE",
IF(E933="","¿Unidades?",""),
IF(D933="",IF(E933="","","¿Código?"),
IF(E933="","¿Unidades?",
IF(D933="TARE",
IF(M933=$H$3,IFERROR(VLOOKUP(B933,'Baremos actuales'!A:C,3,FALSE),0),
IF(M933=$H$4,IFERROR(VLOOKUP(B933,'Baremos anteriores'!A:C,3,FALSE),0),0))))))</f>
        <v/>
      </c>
      <c r="G933" s="7"/>
      <c r="H933" s="8"/>
      <c r="I933" s="8"/>
      <c r="J933" s="78" t="str">
        <f>IF($D933="","",
IF($E933="","",
IF($D933="MATE","",
IF(VLOOKUP($B933,'Baremos actuales'!A:D,4,FALSE)=J$9,$E933*$F933,IF(VLOOKUP($B933,'Baremos anteriores'!A:D,4,FALSE)="Sin Definir",$E933*$F933,"")))))</f>
        <v/>
      </c>
      <c r="K933" s="79" t="str">
        <f>IF($D933="","",
IF($E933="","",
IF($D933="MATE","",
IF(VLOOKUP($B933,'Baremos actuales'!$A:$D,4,FALSE)=K$9,$E933*$F933,IF(VLOOKUP($B933,'Baremos anteriores'!$A:$D,4,FALSE)="Desmonte",$E933*$F933,"")))))</f>
        <v/>
      </c>
      <c r="L933" s="80" t="str">
        <f>IF($D933="","",
IF($E933="","",
IF($D933="MATE","",
IF(VLOOKUP($B933,'Baremos actuales'!$A:$D,4,FALSE)=L$9,$E933*$F933,""))))</f>
        <v/>
      </c>
      <c r="M933" s="91" t="str">
        <f t="shared" si="14"/>
        <v/>
      </c>
      <c r="N933" s="96"/>
      <c r="O933" s="95"/>
      <c r="P933" s="96"/>
      <c r="Q933" s="98"/>
    </row>
    <row r="934" spans="1:17" ht="15.75" x14ac:dyDescent="0.2">
      <c r="A934" s="17"/>
      <c r="B934" s="18"/>
      <c r="C934" s="87" t="str">
        <f>IF(B934="","",
IF(M934=$H$5,IFERROR(VLOOKUP(B934,'Baremos actuales'!A:E,5,FALSE),"No encontrado. Revisar código, fecha ejecución y/o contrato."),
IF(M934=$H$4,IFERROR(VLOOKUP(B934,'Baremos anteriores'!A:E,5,FALSE),"No encontrado. Revisar código, fecha ejecución y/o contrato."),
IF(M934=$H$3,IFERROR(VLOOKUP(B934,#REF!,5,FALSE),"No encontrado. Revisar código, fecha ejecución y/o contrato."),
IF(D934="","Código no encontrado",
IF(D934="ERROR","No encontrado. Revisar Código, fecha de ejecución y/o contrato.",
IF(D934="MATE",
IF(C933="DESCRIPCION","NO SE PUEDE COMENZAR SIN CÓDIGO DE TAREA",
IF(C933="","FALTA CÓDIGO DE TAREA",
CONCATENATE("          ",VLOOKUP(B934,'Maestro Materiales'!A:C,3,FALSE)))),IFERROR(VLOOKUP(B934,#REF!,5,FALSE),"No encontrado. Revisar código, fecha ejecución y/o contrato."))))))))</f>
        <v/>
      </c>
      <c r="D934" s="88" t="str">
        <f>IF(B934="","",
IFERROR(VLOOKUP(B934,'Maestro Materiales'!A:C,2,FALSE),
IFERROR(VLOOKUP(B934,'Baremos actuales'!A:B,2,FALSE),
IFERROR(VLOOKUP(B934,'Baremos anteriores'!A:B,2,FALSE),
""))))</f>
        <v/>
      </c>
      <c r="E934" s="9"/>
      <c r="F934" s="89" t="str">
        <f>IF(D934="MATE",
IF(E934="","¿Unidades?",""),
IF(D934="",IF(E934="","","¿Código?"),
IF(E934="","¿Unidades?",
IF(D934="TARE",
IF(M934=$H$3,IFERROR(VLOOKUP(B934,'Baremos actuales'!A:C,3,FALSE),0),
IF(M934=$H$4,IFERROR(VLOOKUP(B934,'Baremos anteriores'!A:C,3,FALSE),0),0))))))</f>
        <v/>
      </c>
      <c r="G934" s="7"/>
      <c r="H934" s="8"/>
      <c r="I934" s="8"/>
      <c r="J934" s="78" t="str">
        <f>IF($D934="","",
IF($E934="","",
IF($D934="MATE","",
IF(VLOOKUP($B934,'Baremos actuales'!A:D,4,FALSE)=J$9,$E934*$F934,IF(VLOOKUP($B934,'Baremos anteriores'!A:D,4,FALSE)="Sin Definir",$E934*$F934,"")))))</f>
        <v/>
      </c>
      <c r="K934" s="79" t="str">
        <f>IF($D934="","",
IF($E934="","",
IF($D934="MATE","",
IF(VLOOKUP($B934,'Baremos actuales'!$A:$D,4,FALSE)=K$9,$E934*$F934,IF(VLOOKUP($B934,'Baremos anteriores'!$A:$D,4,FALSE)="Desmonte",$E934*$F934,"")))))</f>
        <v/>
      </c>
      <c r="L934" s="80" t="str">
        <f>IF($D934="","",
IF($E934="","",
IF($D934="MATE","",
IF(VLOOKUP($B934,'Baremos actuales'!$A:$D,4,FALSE)=L$9,$E934*$F934,""))))</f>
        <v/>
      </c>
      <c r="M934" s="91" t="str">
        <f t="shared" si="14"/>
        <v/>
      </c>
      <c r="N934" s="96"/>
      <c r="O934" s="95"/>
      <c r="P934" s="96"/>
      <c r="Q934" s="98"/>
    </row>
    <row r="935" spans="1:17" ht="15.75" x14ac:dyDescent="0.2">
      <c r="A935" s="17"/>
      <c r="B935" s="18"/>
      <c r="C935" s="87" t="str">
        <f>IF(B935="","",
IF(M935=$H$5,IFERROR(VLOOKUP(B935,'Baremos actuales'!A:E,5,FALSE),"No encontrado. Revisar código, fecha ejecución y/o contrato."),
IF(M935=$H$4,IFERROR(VLOOKUP(B935,'Baremos anteriores'!A:E,5,FALSE),"No encontrado. Revisar código, fecha ejecución y/o contrato."),
IF(M935=$H$3,IFERROR(VLOOKUP(B935,#REF!,5,FALSE),"No encontrado. Revisar código, fecha ejecución y/o contrato."),
IF(D935="","Código no encontrado",
IF(D935="ERROR","No encontrado. Revisar Código, fecha de ejecución y/o contrato.",
IF(D935="MATE",
IF(C934="DESCRIPCION","NO SE PUEDE COMENZAR SIN CÓDIGO DE TAREA",
IF(C934="","FALTA CÓDIGO DE TAREA",
CONCATENATE("          ",VLOOKUP(B935,'Maestro Materiales'!A:C,3,FALSE)))),IFERROR(VLOOKUP(B935,#REF!,5,FALSE),"No encontrado. Revisar código, fecha ejecución y/o contrato."))))))))</f>
        <v/>
      </c>
      <c r="D935" s="88" t="str">
        <f>IF(B935="","",
IFERROR(VLOOKUP(B935,'Maestro Materiales'!A:C,2,FALSE),
IFERROR(VLOOKUP(B935,'Baremos actuales'!A:B,2,FALSE),
IFERROR(VLOOKUP(B935,'Baremos anteriores'!A:B,2,FALSE),
""))))</f>
        <v/>
      </c>
      <c r="E935" s="9"/>
      <c r="F935" s="89" t="str">
        <f>IF(D935="MATE",
IF(E935="","¿Unidades?",""),
IF(D935="",IF(E935="","","¿Código?"),
IF(E935="","¿Unidades?",
IF(D935="TARE",
IF(M935=$H$3,IFERROR(VLOOKUP(B935,'Baremos actuales'!A:C,3,FALSE),0),
IF(M935=$H$4,IFERROR(VLOOKUP(B935,'Baremos anteriores'!A:C,3,FALSE),0),0))))))</f>
        <v/>
      </c>
      <c r="G935" s="7"/>
      <c r="H935" s="8"/>
      <c r="I935" s="8"/>
      <c r="J935" s="78" t="str">
        <f>IF($D935="","",
IF($E935="","",
IF($D935="MATE","",
IF(VLOOKUP($B935,'Baremos actuales'!A:D,4,FALSE)=J$9,$E935*$F935,IF(VLOOKUP($B935,'Baremos anteriores'!A:D,4,FALSE)="Sin Definir",$E935*$F935,"")))))</f>
        <v/>
      </c>
      <c r="K935" s="79" t="str">
        <f>IF($D935="","",
IF($E935="","",
IF($D935="MATE","",
IF(VLOOKUP($B935,'Baremos actuales'!$A:$D,4,FALSE)=K$9,$E935*$F935,IF(VLOOKUP($B935,'Baremos anteriores'!$A:$D,4,FALSE)="Desmonte",$E935*$F935,"")))))</f>
        <v/>
      </c>
      <c r="L935" s="80" t="str">
        <f>IF($D935="","",
IF($E935="","",
IF($D935="MATE","",
IF(VLOOKUP($B935,'Baremos actuales'!$A:$D,4,FALSE)=L$9,$E935*$F935,""))))</f>
        <v/>
      </c>
      <c r="M935" s="91" t="str">
        <f t="shared" si="14"/>
        <v/>
      </c>
      <c r="N935" s="96"/>
      <c r="O935" s="95"/>
      <c r="P935" s="96"/>
      <c r="Q935" s="98"/>
    </row>
    <row r="936" spans="1:17" ht="15.75" x14ac:dyDescent="0.2">
      <c r="A936" s="17"/>
      <c r="B936" s="18"/>
      <c r="C936" s="87" t="str">
        <f>IF(B936="","",
IF(M936=$H$5,IFERROR(VLOOKUP(B936,'Baremos actuales'!A:E,5,FALSE),"No encontrado. Revisar código, fecha ejecución y/o contrato."),
IF(M936=$H$4,IFERROR(VLOOKUP(B936,'Baremos anteriores'!A:E,5,FALSE),"No encontrado. Revisar código, fecha ejecución y/o contrato."),
IF(M936=$H$3,IFERROR(VLOOKUP(B936,#REF!,5,FALSE),"No encontrado. Revisar código, fecha ejecución y/o contrato."),
IF(D936="","Código no encontrado",
IF(D936="ERROR","No encontrado. Revisar Código, fecha de ejecución y/o contrato.",
IF(D936="MATE",
IF(C935="DESCRIPCION","NO SE PUEDE COMENZAR SIN CÓDIGO DE TAREA",
IF(C935="","FALTA CÓDIGO DE TAREA",
CONCATENATE("          ",VLOOKUP(B936,'Maestro Materiales'!A:C,3,FALSE)))),IFERROR(VLOOKUP(B936,#REF!,5,FALSE),"No encontrado. Revisar código, fecha ejecución y/o contrato."))))))))</f>
        <v/>
      </c>
      <c r="D936" s="88" t="str">
        <f>IF(B936="","",
IFERROR(VLOOKUP(B936,'Maestro Materiales'!A:C,2,FALSE),
IFERROR(VLOOKUP(B936,'Baremos actuales'!A:B,2,FALSE),
IFERROR(VLOOKUP(B936,'Baremos anteriores'!A:B,2,FALSE),
""))))</f>
        <v/>
      </c>
      <c r="E936" s="9"/>
      <c r="F936" s="89" t="str">
        <f>IF(D936="MATE",
IF(E936="","¿Unidades?",""),
IF(D936="",IF(E936="","","¿Código?"),
IF(E936="","¿Unidades?",
IF(D936="TARE",
IF(M936=$H$3,IFERROR(VLOOKUP(B936,'Baremos actuales'!A:C,3,FALSE),0),
IF(M936=$H$4,IFERROR(VLOOKUP(B936,'Baremos anteriores'!A:C,3,FALSE),0),0))))))</f>
        <v/>
      </c>
      <c r="G936" s="7"/>
      <c r="H936" s="8"/>
      <c r="I936" s="8"/>
      <c r="J936" s="78" t="str">
        <f>IF($D936="","",
IF($E936="","",
IF($D936="MATE","",
IF(VLOOKUP($B936,'Baremos actuales'!A:D,4,FALSE)=J$9,$E936*$F936,IF(VLOOKUP($B936,'Baremos anteriores'!A:D,4,FALSE)="Sin Definir",$E936*$F936,"")))))</f>
        <v/>
      </c>
      <c r="K936" s="79" t="str">
        <f>IF($D936="","",
IF($E936="","",
IF($D936="MATE","",
IF(VLOOKUP($B936,'Baremos actuales'!$A:$D,4,FALSE)=K$9,$E936*$F936,IF(VLOOKUP($B936,'Baremos anteriores'!$A:$D,4,FALSE)="Desmonte",$E936*$F936,"")))))</f>
        <v/>
      </c>
      <c r="L936" s="80" t="str">
        <f>IF($D936="","",
IF($E936="","",
IF($D936="MATE","",
IF(VLOOKUP($B936,'Baremos actuales'!$A:$D,4,FALSE)=L$9,$E936*$F936,""))))</f>
        <v/>
      </c>
      <c r="M936" s="91" t="str">
        <f t="shared" si="14"/>
        <v/>
      </c>
      <c r="N936" s="96"/>
      <c r="O936" s="95"/>
      <c r="P936" s="96"/>
      <c r="Q936" s="98"/>
    </row>
    <row r="937" spans="1:17" ht="15.75" x14ac:dyDescent="0.2">
      <c r="A937" s="17"/>
      <c r="B937" s="18"/>
      <c r="C937" s="87" t="str">
        <f>IF(B937="","",
IF(M937=$H$5,IFERROR(VLOOKUP(B937,'Baremos actuales'!A:E,5,FALSE),"No encontrado. Revisar código, fecha ejecución y/o contrato."),
IF(M937=$H$4,IFERROR(VLOOKUP(B937,'Baremos anteriores'!A:E,5,FALSE),"No encontrado. Revisar código, fecha ejecución y/o contrato."),
IF(M937=$H$3,IFERROR(VLOOKUP(B937,#REF!,5,FALSE),"No encontrado. Revisar código, fecha ejecución y/o contrato."),
IF(D937="","Código no encontrado",
IF(D937="ERROR","No encontrado. Revisar Código, fecha de ejecución y/o contrato.",
IF(D937="MATE",
IF(C936="DESCRIPCION","NO SE PUEDE COMENZAR SIN CÓDIGO DE TAREA",
IF(C936="","FALTA CÓDIGO DE TAREA",
CONCATENATE("          ",VLOOKUP(B937,'Maestro Materiales'!A:C,3,FALSE)))),IFERROR(VLOOKUP(B937,#REF!,5,FALSE),"No encontrado. Revisar código, fecha ejecución y/o contrato."))))))))</f>
        <v/>
      </c>
      <c r="D937" s="88" t="str">
        <f>IF(B937="","",
IFERROR(VLOOKUP(B937,'Maestro Materiales'!A:C,2,FALSE),
IFERROR(VLOOKUP(B937,'Baremos actuales'!A:B,2,FALSE),
IFERROR(VLOOKUP(B937,'Baremos anteriores'!A:B,2,FALSE),
""))))</f>
        <v/>
      </c>
      <c r="E937" s="9"/>
      <c r="F937" s="89" t="str">
        <f>IF(D937="MATE",
IF(E937="","¿Unidades?",""),
IF(D937="",IF(E937="","","¿Código?"),
IF(E937="","¿Unidades?",
IF(D937="TARE",
IF(M937=$H$3,IFERROR(VLOOKUP(B937,'Baremos actuales'!A:C,3,FALSE),0),
IF(M937=$H$4,IFERROR(VLOOKUP(B937,'Baremos anteriores'!A:C,3,FALSE),0),0))))))</f>
        <v/>
      </c>
      <c r="G937" s="7"/>
      <c r="H937" s="8"/>
      <c r="I937" s="8"/>
      <c r="J937" s="78" t="str">
        <f>IF($D937="","",
IF($E937="","",
IF($D937="MATE","",
IF(VLOOKUP($B937,'Baremos actuales'!A:D,4,FALSE)=J$9,$E937*$F937,IF(VLOOKUP($B937,'Baremos anteriores'!A:D,4,FALSE)="Sin Definir",$E937*$F937,"")))))</f>
        <v/>
      </c>
      <c r="K937" s="79" t="str">
        <f>IF($D937="","",
IF($E937="","",
IF($D937="MATE","",
IF(VLOOKUP($B937,'Baremos actuales'!$A:$D,4,FALSE)=K$9,$E937*$F937,IF(VLOOKUP($B937,'Baremos anteriores'!$A:$D,4,FALSE)="Desmonte",$E937*$F937,"")))))</f>
        <v/>
      </c>
      <c r="L937" s="80" t="str">
        <f>IF($D937="","",
IF($E937="","",
IF($D937="MATE","",
IF(VLOOKUP($B937,'Baremos actuales'!$A:$D,4,FALSE)=L$9,$E937*$F937,""))))</f>
        <v/>
      </c>
      <c r="M937" s="91" t="str">
        <f t="shared" si="14"/>
        <v/>
      </c>
      <c r="N937" s="96"/>
      <c r="O937" s="95"/>
      <c r="P937" s="96"/>
      <c r="Q937" s="98"/>
    </row>
    <row r="938" spans="1:17" ht="15.75" x14ac:dyDescent="0.2">
      <c r="A938" s="17"/>
      <c r="B938" s="18"/>
      <c r="C938" s="87" t="str">
        <f>IF(B938="","",
IF(M938=$H$5,IFERROR(VLOOKUP(B938,'Baremos actuales'!A:E,5,FALSE),"No encontrado. Revisar código, fecha ejecución y/o contrato."),
IF(M938=$H$4,IFERROR(VLOOKUP(B938,'Baremos anteriores'!A:E,5,FALSE),"No encontrado. Revisar código, fecha ejecución y/o contrato."),
IF(M938=$H$3,IFERROR(VLOOKUP(B938,#REF!,5,FALSE),"No encontrado. Revisar código, fecha ejecución y/o contrato."),
IF(D938="","Código no encontrado",
IF(D938="ERROR","No encontrado. Revisar Código, fecha de ejecución y/o contrato.",
IF(D938="MATE",
IF(C937="DESCRIPCION","NO SE PUEDE COMENZAR SIN CÓDIGO DE TAREA",
IF(C937="","FALTA CÓDIGO DE TAREA",
CONCATENATE("          ",VLOOKUP(B938,'Maestro Materiales'!A:C,3,FALSE)))),IFERROR(VLOOKUP(B938,#REF!,5,FALSE),"No encontrado. Revisar código, fecha ejecución y/o contrato."))))))))</f>
        <v/>
      </c>
      <c r="D938" s="88" t="str">
        <f>IF(B938="","",
IFERROR(VLOOKUP(B938,'Maestro Materiales'!A:C,2,FALSE),
IFERROR(VLOOKUP(B938,'Baremos actuales'!A:B,2,FALSE),
IFERROR(VLOOKUP(B938,'Baremos anteriores'!A:B,2,FALSE),
""))))</f>
        <v/>
      </c>
      <c r="E938" s="9"/>
      <c r="F938" s="89" t="str">
        <f>IF(D938="MATE",
IF(E938="","¿Unidades?",""),
IF(D938="",IF(E938="","","¿Código?"),
IF(E938="","¿Unidades?",
IF(D938="TARE",
IF(M938=$H$3,IFERROR(VLOOKUP(B938,'Baremos actuales'!A:C,3,FALSE),0),
IF(M938=$H$4,IFERROR(VLOOKUP(B938,'Baremos anteriores'!A:C,3,FALSE),0),0))))))</f>
        <v/>
      </c>
      <c r="G938" s="7"/>
      <c r="H938" s="8"/>
      <c r="I938" s="8"/>
      <c r="J938" s="78" t="str">
        <f>IF($D938="","",
IF($E938="","",
IF($D938="MATE","",
IF(VLOOKUP($B938,'Baremos actuales'!A:D,4,FALSE)=J$9,$E938*$F938,IF(VLOOKUP($B938,'Baremos anteriores'!A:D,4,FALSE)="Sin Definir",$E938*$F938,"")))))</f>
        <v/>
      </c>
      <c r="K938" s="79" t="str">
        <f>IF($D938="","",
IF($E938="","",
IF($D938="MATE","",
IF(VLOOKUP($B938,'Baremos actuales'!$A:$D,4,FALSE)=K$9,$E938*$F938,IF(VLOOKUP($B938,'Baremos anteriores'!$A:$D,4,FALSE)="Desmonte",$E938*$F938,"")))))</f>
        <v/>
      </c>
      <c r="L938" s="80" t="str">
        <f>IF($D938="","",
IF($E938="","",
IF($D938="MATE","",
IF(VLOOKUP($B938,'Baremos actuales'!$A:$D,4,FALSE)=L$9,$E938*$F938,""))))</f>
        <v/>
      </c>
      <c r="M938" s="91" t="str">
        <f t="shared" si="14"/>
        <v/>
      </c>
      <c r="N938" s="96"/>
      <c r="O938" s="95"/>
      <c r="P938" s="96"/>
      <c r="Q938" s="98"/>
    </row>
    <row r="939" spans="1:17" ht="15.75" x14ac:dyDescent="0.2">
      <c r="A939" s="17"/>
      <c r="B939" s="18"/>
      <c r="C939" s="87" t="str">
        <f>IF(B939="","",
IF(M939=$H$5,IFERROR(VLOOKUP(B939,'Baremos actuales'!A:E,5,FALSE),"No encontrado. Revisar código, fecha ejecución y/o contrato."),
IF(M939=$H$4,IFERROR(VLOOKUP(B939,'Baremos anteriores'!A:E,5,FALSE),"No encontrado. Revisar código, fecha ejecución y/o contrato."),
IF(M939=$H$3,IFERROR(VLOOKUP(B939,#REF!,5,FALSE),"No encontrado. Revisar código, fecha ejecución y/o contrato."),
IF(D939="","Código no encontrado",
IF(D939="ERROR","No encontrado. Revisar Código, fecha de ejecución y/o contrato.",
IF(D939="MATE",
IF(C938="DESCRIPCION","NO SE PUEDE COMENZAR SIN CÓDIGO DE TAREA",
IF(C938="","FALTA CÓDIGO DE TAREA",
CONCATENATE("          ",VLOOKUP(B939,'Maestro Materiales'!A:C,3,FALSE)))),IFERROR(VLOOKUP(B939,#REF!,5,FALSE),"No encontrado. Revisar código, fecha ejecución y/o contrato."))))))))</f>
        <v/>
      </c>
      <c r="D939" s="88" t="str">
        <f>IF(B939="","",
IFERROR(VLOOKUP(B939,'Maestro Materiales'!A:C,2,FALSE),
IFERROR(VLOOKUP(B939,'Baremos actuales'!A:B,2,FALSE),
IFERROR(VLOOKUP(B939,'Baremos anteriores'!A:B,2,FALSE),
""))))</f>
        <v/>
      </c>
      <c r="E939" s="9"/>
      <c r="F939" s="89" t="str">
        <f>IF(D939="MATE",
IF(E939="","¿Unidades?",""),
IF(D939="",IF(E939="","","¿Código?"),
IF(E939="","¿Unidades?",
IF(D939="TARE",
IF(M939=$H$3,IFERROR(VLOOKUP(B939,'Baremos actuales'!A:C,3,FALSE),0),
IF(M939=$H$4,IFERROR(VLOOKUP(B939,'Baremos anteriores'!A:C,3,FALSE),0),0))))))</f>
        <v/>
      </c>
      <c r="G939" s="7"/>
      <c r="H939" s="8"/>
      <c r="I939" s="8"/>
      <c r="J939" s="78" t="str">
        <f>IF($D939="","",
IF($E939="","",
IF($D939="MATE","",
IF(VLOOKUP($B939,'Baremos actuales'!A:D,4,FALSE)=J$9,$E939*$F939,IF(VLOOKUP($B939,'Baremos anteriores'!A:D,4,FALSE)="Sin Definir",$E939*$F939,"")))))</f>
        <v/>
      </c>
      <c r="K939" s="79" t="str">
        <f>IF($D939="","",
IF($E939="","",
IF($D939="MATE","",
IF(VLOOKUP($B939,'Baremos actuales'!$A:$D,4,FALSE)=K$9,$E939*$F939,IF(VLOOKUP($B939,'Baremos anteriores'!$A:$D,4,FALSE)="Desmonte",$E939*$F939,"")))))</f>
        <v/>
      </c>
      <c r="L939" s="80" t="str">
        <f>IF($D939="","",
IF($E939="","",
IF($D939="MATE","",
IF(VLOOKUP($B939,'Baremos actuales'!$A:$D,4,FALSE)=L$9,$E939*$F939,""))))</f>
        <v/>
      </c>
      <c r="M939" s="91" t="str">
        <f t="shared" si="14"/>
        <v/>
      </c>
      <c r="N939" s="96"/>
      <c r="O939" s="95"/>
      <c r="P939" s="96"/>
      <c r="Q939" s="98"/>
    </row>
    <row r="940" spans="1:17" ht="15.75" x14ac:dyDescent="0.2">
      <c r="A940" s="17"/>
      <c r="B940" s="18"/>
      <c r="C940" s="87" t="str">
        <f>IF(B940="","",
IF(M940=$H$5,IFERROR(VLOOKUP(B940,'Baremos actuales'!A:E,5,FALSE),"No encontrado. Revisar código, fecha ejecución y/o contrato."),
IF(M940=$H$4,IFERROR(VLOOKUP(B940,'Baremos anteriores'!A:E,5,FALSE),"No encontrado. Revisar código, fecha ejecución y/o contrato."),
IF(M940=$H$3,IFERROR(VLOOKUP(B940,#REF!,5,FALSE),"No encontrado. Revisar código, fecha ejecución y/o contrato."),
IF(D940="","Código no encontrado",
IF(D940="ERROR","No encontrado. Revisar Código, fecha de ejecución y/o contrato.",
IF(D940="MATE",
IF(C939="DESCRIPCION","NO SE PUEDE COMENZAR SIN CÓDIGO DE TAREA",
IF(C939="","FALTA CÓDIGO DE TAREA",
CONCATENATE("          ",VLOOKUP(B940,'Maestro Materiales'!A:C,3,FALSE)))),IFERROR(VLOOKUP(B940,#REF!,5,FALSE),"No encontrado. Revisar código, fecha ejecución y/o contrato."))))))))</f>
        <v/>
      </c>
      <c r="D940" s="88" t="str">
        <f>IF(B940="","",
IFERROR(VLOOKUP(B940,'Maestro Materiales'!A:C,2,FALSE),
IFERROR(VLOOKUP(B940,'Baremos actuales'!A:B,2,FALSE),
IFERROR(VLOOKUP(B940,'Baremos anteriores'!A:B,2,FALSE),
""))))</f>
        <v/>
      </c>
      <c r="E940" s="9"/>
      <c r="F940" s="89" t="str">
        <f>IF(D940="MATE",
IF(E940="","¿Unidades?",""),
IF(D940="",IF(E940="","","¿Código?"),
IF(E940="","¿Unidades?",
IF(D940="TARE",
IF(M940=$H$3,IFERROR(VLOOKUP(B940,'Baremos actuales'!A:C,3,FALSE),0),
IF(M940=$H$4,IFERROR(VLOOKUP(B940,'Baremos anteriores'!A:C,3,FALSE),0),0))))))</f>
        <v/>
      </c>
      <c r="G940" s="7"/>
      <c r="H940" s="8"/>
      <c r="I940" s="8"/>
      <c r="J940" s="78" t="str">
        <f>IF($D940="","",
IF($E940="","",
IF($D940="MATE","",
IF(VLOOKUP($B940,'Baremos actuales'!A:D,4,FALSE)=J$9,$E940*$F940,IF(VLOOKUP($B940,'Baremos anteriores'!A:D,4,FALSE)="Sin Definir",$E940*$F940,"")))))</f>
        <v/>
      </c>
      <c r="K940" s="79" t="str">
        <f>IF($D940="","",
IF($E940="","",
IF($D940="MATE","",
IF(VLOOKUP($B940,'Baremos actuales'!$A:$D,4,FALSE)=K$9,$E940*$F940,IF(VLOOKUP($B940,'Baremos anteriores'!$A:$D,4,FALSE)="Desmonte",$E940*$F940,"")))))</f>
        <v/>
      </c>
      <c r="L940" s="80" t="str">
        <f>IF($D940="","",
IF($E940="","",
IF($D940="MATE","",
IF(VLOOKUP($B940,'Baremos actuales'!$A:$D,4,FALSE)=L$9,$E940*$F940,""))))</f>
        <v/>
      </c>
      <c r="M940" s="91" t="str">
        <f t="shared" si="14"/>
        <v/>
      </c>
      <c r="N940" s="96"/>
      <c r="O940" s="95"/>
      <c r="P940" s="96"/>
      <c r="Q940" s="98"/>
    </row>
    <row r="941" spans="1:17" ht="15.75" x14ac:dyDescent="0.2">
      <c r="A941" s="17"/>
      <c r="B941" s="18"/>
      <c r="C941" s="87" t="str">
        <f>IF(B941="","",
IF(M941=$H$5,IFERROR(VLOOKUP(B941,'Baremos actuales'!A:E,5,FALSE),"No encontrado. Revisar código, fecha ejecución y/o contrato."),
IF(M941=$H$4,IFERROR(VLOOKUP(B941,'Baremos anteriores'!A:E,5,FALSE),"No encontrado. Revisar código, fecha ejecución y/o contrato."),
IF(M941=$H$3,IFERROR(VLOOKUP(B941,#REF!,5,FALSE),"No encontrado. Revisar código, fecha ejecución y/o contrato."),
IF(D941="","Código no encontrado",
IF(D941="ERROR","No encontrado. Revisar Código, fecha de ejecución y/o contrato.",
IF(D941="MATE",
IF(C940="DESCRIPCION","NO SE PUEDE COMENZAR SIN CÓDIGO DE TAREA",
IF(C940="","FALTA CÓDIGO DE TAREA",
CONCATENATE("          ",VLOOKUP(B941,'Maestro Materiales'!A:C,3,FALSE)))),IFERROR(VLOOKUP(B941,#REF!,5,FALSE),"No encontrado. Revisar código, fecha ejecución y/o contrato."))))))))</f>
        <v/>
      </c>
      <c r="D941" s="88" t="str">
        <f>IF(B941="","",
IFERROR(VLOOKUP(B941,'Maestro Materiales'!A:C,2,FALSE),
IFERROR(VLOOKUP(B941,'Baremos actuales'!A:B,2,FALSE),
IFERROR(VLOOKUP(B941,'Baremos anteriores'!A:B,2,FALSE),
""))))</f>
        <v/>
      </c>
      <c r="E941" s="9"/>
      <c r="F941" s="89" t="str">
        <f>IF(D941="MATE",
IF(E941="","¿Unidades?",""),
IF(D941="",IF(E941="","","¿Código?"),
IF(E941="","¿Unidades?",
IF(D941="TARE",
IF(M941=$H$3,IFERROR(VLOOKUP(B941,'Baremos actuales'!A:C,3,FALSE),0),
IF(M941=$H$4,IFERROR(VLOOKUP(B941,'Baremos anteriores'!A:C,3,FALSE),0),0))))))</f>
        <v/>
      </c>
      <c r="G941" s="7"/>
      <c r="H941" s="8"/>
      <c r="I941" s="8"/>
      <c r="J941" s="78" t="str">
        <f>IF($D941="","",
IF($E941="","",
IF($D941="MATE","",
IF(VLOOKUP($B941,'Baremos actuales'!A:D,4,FALSE)=J$9,$E941*$F941,IF(VLOOKUP($B941,'Baremos anteriores'!A:D,4,FALSE)="Sin Definir",$E941*$F941,"")))))</f>
        <v/>
      </c>
      <c r="K941" s="79" t="str">
        <f>IF($D941="","",
IF($E941="","",
IF($D941="MATE","",
IF(VLOOKUP($B941,'Baremos actuales'!$A:$D,4,FALSE)=K$9,$E941*$F941,IF(VLOOKUP($B941,'Baremos anteriores'!$A:$D,4,FALSE)="Desmonte",$E941*$F941,"")))))</f>
        <v/>
      </c>
      <c r="L941" s="80" t="str">
        <f>IF($D941="","",
IF($E941="","",
IF($D941="MATE","",
IF(VLOOKUP($B941,'Baremos actuales'!$A:$D,4,FALSE)=L$9,$E941*$F941,""))))</f>
        <v/>
      </c>
      <c r="M941" s="91" t="str">
        <f t="shared" si="14"/>
        <v/>
      </c>
      <c r="N941" s="96"/>
      <c r="O941" s="95"/>
      <c r="P941" s="96"/>
      <c r="Q941" s="98"/>
    </row>
    <row r="942" spans="1:17" ht="15.75" x14ac:dyDescent="0.2">
      <c r="A942" s="17"/>
      <c r="B942" s="18"/>
      <c r="C942" s="87" t="str">
        <f>IF(B942="","",
IF(M942=$H$5,IFERROR(VLOOKUP(B942,'Baremos actuales'!A:E,5,FALSE),"No encontrado. Revisar código, fecha ejecución y/o contrato."),
IF(M942=$H$4,IFERROR(VLOOKUP(B942,'Baremos anteriores'!A:E,5,FALSE),"No encontrado. Revisar código, fecha ejecución y/o contrato."),
IF(M942=$H$3,IFERROR(VLOOKUP(B942,#REF!,5,FALSE),"No encontrado. Revisar código, fecha ejecución y/o contrato."),
IF(D942="","Código no encontrado",
IF(D942="ERROR","No encontrado. Revisar Código, fecha de ejecución y/o contrato.",
IF(D942="MATE",
IF(C941="DESCRIPCION","NO SE PUEDE COMENZAR SIN CÓDIGO DE TAREA",
IF(C941="","FALTA CÓDIGO DE TAREA",
CONCATENATE("          ",VLOOKUP(B942,'Maestro Materiales'!A:C,3,FALSE)))),IFERROR(VLOOKUP(B942,#REF!,5,FALSE),"No encontrado. Revisar código, fecha ejecución y/o contrato."))))))))</f>
        <v/>
      </c>
      <c r="D942" s="88" t="str">
        <f>IF(B942="","",
IFERROR(VLOOKUP(B942,'Maestro Materiales'!A:C,2,FALSE),
IFERROR(VLOOKUP(B942,'Baremos actuales'!A:B,2,FALSE),
IFERROR(VLOOKUP(B942,'Baremos anteriores'!A:B,2,FALSE),
""))))</f>
        <v/>
      </c>
      <c r="E942" s="9"/>
      <c r="F942" s="89" t="str">
        <f>IF(D942="MATE",
IF(E942="","¿Unidades?",""),
IF(D942="",IF(E942="","","¿Código?"),
IF(E942="","¿Unidades?",
IF(D942="TARE",
IF(M942=$H$3,IFERROR(VLOOKUP(B942,'Baremos actuales'!A:C,3,FALSE),0),
IF(M942=$H$4,IFERROR(VLOOKUP(B942,'Baremos anteriores'!A:C,3,FALSE),0),0))))))</f>
        <v/>
      </c>
      <c r="G942" s="7"/>
      <c r="H942" s="8"/>
      <c r="I942" s="8"/>
      <c r="J942" s="78" t="str">
        <f>IF($D942="","",
IF($E942="","",
IF($D942="MATE","",
IF(VLOOKUP($B942,'Baremos actuales'!A:D,4,FALSE)=J$9,$E942*$F942,IF(VLOOKUP($B942,'Baremos anteriores'!A:D,4,FALSE)="Sin Definir",$E942*$F942,"")))))</f>
        <v/>
      </c>
      <c r="K942" s="79" t="str">
        <f>IF($D942="","",
IF($E942="","",
IF($D942="MATE","",
IF(VLOOKUP($B942,'Baremos actuales'!$A:$D,4,FALSE)=K$9,$E942*$F942,IF(VLOOKUP($B942,'Baremos anteriores'!$A:$D,4,FALSE)="Desmonte",$E942*$F942,"")))))</f>
        <v/>
      </c>
      <c r="L942" s="80" t="str">
        <f>IF($D942="","",
IF($E942="","",
IF($D942="MATE","",
IF(VLOOKUP($B942,'Baremos actuales'!$A:$D,4,FALSE)=L$9,$E942*$F942,""))))</f>
        <v/>
      </c>
      <c r="M942" s="91" t="str">
        <f t="shared" si="14"/>
        <v/>
      </c>
      <c r="N942" s="96"/>
      <c r="O942" s="95"/>
      <c r="P942" s="96"/>
      <c r="Q942" s="98"/>
    </row>
    <row r="943" spans="1:17" ht="15.75" x14ac:dyDescent="0.2">
      <c r="A943" s="17"/>
      <c r="B943" s="18"/>
      <c r="C943" s="87" t="str">
        <f>IF(B943="","",
IF(M943=$H$5,IFERROR(VLOOKUP(B943,'Baremos actuales'!A:E,5,FALSE),"No encontrado. Revisar código, fecha ejecución y/o contrato."),
IF(M943=$H$4,IFERROR(VLOOKUP(B943,'Baremos anteriores'!A:E,5,FALSE),"No encontrado. Revisar código, fecha ejecución y/o contrato."),
IF(M943=$H$3,IFERROR(VLOOKUP(B943,#REF!,5,FALSE),"No encontrado. Revisar código, fecha ejecución y/o contrato."),
IF(D943="","Código no encontrado",
IF(D943="ERROR","No encontrado. Revisar Código, fecha de ejecución y/o contrato.",
IF(D943="MATE",
IF(C942="DESCRIPCION","NO SE PUEDE COMENZAR SIN CÓDIGO DE TAREA",
IF(C942="","FALTA CÓDIGO DE TAREA",
CONCATENATE("          ",VLOOKUP(B943,'Maestro Materiales'!A:C,3,FALSE)))),IFERROR(VLOOKUP(B943,#REF!,5,FALSE),"No encontrado. Revisar código, fecha ejecución y/o contrato."))))))))</f>
        <v/>
      </c>
      <c r="D943" s="88" t="str">
        <f>IF(B943="","",
IFERROR(VLOOKUP(B943,'Maestro Materiales'!A:C,2,FALSE),
IFERROR(VLOOKUP(B943,'Baremos actuales'!A:B,2,FALSE),
IFERROR(VLOOKUP(B943,'Baremos anteriores'!A:B,2,FALSE),
""))))</f>
        <v/>
      </c>
      <c r="E943" s="9"/>
      <c r="F943" s="89" t="str">
        <f>IF(D943="MATE",
IF(E943="","¿Unidades?",""),
IF(D943="",IF(E943="","","¿Código?"),
IF(E943="","¿Unidades?",
IF(D943="TARE",
IF(M943=$H$3,IFERROR(VLOOKUP(B943,'Baremos actuales'!A:C,3,FALSE),0),
IF(M943=$H$4,IFERROR(VLOOKUP(B943,'Baremos anteriores'!A:C,3,FALSE),0),0))))))</f>
        <v/>
      </c>
      <c r="G943" s="7"/>
      <c r="H943" s="8"/>
      <c r="I943" s="8"/>
      <c r="J943" s="78" t="str">
        <f>IF($D943="","",
IF($E943="","",
IF($D943="MATE","",
IF(VLOOKUP($B943,'Baremos actuales'!A:D,4,FALSE)=J$9,$E943*$F943,IF(VLOOKUP($B943,'Baremos anteriores'!A:D,4,FALSE)="Sin Definir",$E943*$F943,"")))))</f>
        <v/>
      </c>
      <c r="K943" s="79" t="str">
        <f>IF($D943="","",
IF($E943="","",
IF($D943="MATE","",
IF(VLOOKUP($B943,'Baremos actuales'!$A:$D,4,FALSE)=K$9,$E943*$F943,IF(VLOOKUP($B943,'Baremos anteriores'!$A:$D,4,FALSE)="Desmonte",$E943*$F943,"")))))</f>
        <v/>
      </c>
      <c r="L943" s="80" t="str">
        <f>IF($D943="","",
IF($E943="","",
IF($D943="MATE","",
IF(VLOOKUP($B943,'Baremos actuales'!$A:$D,4,FALSE)=L$9,$E943*$F943,""))))</f>
        <v/>
      </c>
      <c r="M943" s="91" t="str">
        <f t="shared" si="14"/>
        <v/>
      </c>
      <c r="N943" s="96"/>
      <c r="O943" s="95"/>
      <c r="P943" s="96"/>
      <c r="Q943" s="98"/>
    </row>
    <row r="944" spans="1:17" ht="15.75" x14ac:dyDescent="0.2">
      <c r="A944" s="17"/>
      <c r="B944" s="18"/>
      <c r="C944" s="87" t="str">
        <f>IF(B944="","",
IF(M944=$H$5,IFERROR(VLOOKUP(B944,'Baremos actuales'!A:E,5,FALSE),"No encontrado. Revisar código, fecha ejecución y/o contrato."),
IF(M944=$H$4,IFERROR(VLOOKUP(B944,'Baremos anteriores'!A:E,5,FALSE),"No encontrado. Revisar código, fecha ejecución y/o contrato."),
IF(M944=$H$3,IFERROR(VLOOKUP(B944,#REF!,5,FALSE),"No encontrado. Revisar código, fecha ejecución y/o contrato."),
IF(D944="","Código no encontrado",
IF(D944="ERROR","No encontrado. Revisar Código, fecha de ejecución y/o contrato.",
IF(D944="MATE",
IF(C943="DESCRIPCION","NO SE PUEDE COMENZAR SIN CÓDIGO DE TAREA",
IF(C943="","FALTA CÓDIGO DE TAREA",
CONCATENATE("          ",VLOOKUP(B944,'Maestro Materiales'!A:C,3,FALSE)))),IFERROR(VLOOKUP(B944,#REF!,5,FALSE),"No encontrado. Revisar código, fecha ejecución y/o contrato."))))))))</f>
        <v/>
      </c>
      <c r="D944" s="88" t="str">
        <f>IF(B944="","",
IFERROR(VLOOKUP(B944,'Maestro Materiales'!A:C,2,FALSE),
IFERROR(VLOOKUP(B944,'Baremos actuales'!A:B,2,FALSE),
IFERROR(VLOOKUP(B944,'Baremos anteriores'!A:B,2,FALSE),
""))))</f>
        <v/>
      </c>
      <c r="E944" s="9"/>
      <c r="F944" s="89" t="str">
        <f>IF(D944="MATE",
IF(E944="","¿Unidades?",""),
IF(D944="",IF(E944="","","¿Código?"),
IF(E944="","¿Unidades?",
IF(D944="TARE",
IF(M944=$H$3,IFERROR(VLOOKUP(B944,'Baremos actuales'!A:C,3,FALSE),0),
IF(M944=$H$4,IFERROR(VLOOKUP(B944,'Baremos anteriores'!A:C,3,FALSE),0),0))))))</f>
        <v/>
      </c>
      <c r="G944" s="7"/>
      <c r="H944" s="8"/>
      <c r="I944" s="8"/>
      <c r="J944" s="78" t="str">
        <f>IF($D944="","",
IF($E944="","",
IF($D944="MATE","",
IF(VLOOKUP($B944,'Baremos actuales'!A:D,4,FALSE)=J$9,$E944*$F944,IF(VLOOKUP($B944,'Baremos anteriores'!A:D,4,FALSE)="Sin Definir",$E944*$F944,"")))))</f>
        <v/>
      </c>
      <c r="K944" s="79" t="str">
        <f>IF($D944="","",
IF($E944="","",
IF($D944="MATE","",
IF(VLOOKUP($B944,'Baremos actuales'!$A:$D,4,FALSE)=K$9,$E944*$F944,IF(VLOOKUP($B944,'Baremos anteriores'!$A:$D,4,FALSE)="Desmonte",$E944*$F944,"")))))</f>
        <v/>
      </c>
      <c r="L944" s="80" t="str">
        <f>IF($D944="","",
IF($E944="","",
IF($D944="MATE","",
IF(VLOOKUP($B944,'Baremos actuales'!$A:$D,4,FALSE)=L$9,$E944*$F944,""))))</f>
        <v/>
      </c>
      <c r="M944" s="91" t="str">
        <f t="shared" si="14"/>
        <v/>
      </c>
      <c r="N944" s="96"/>
      <c r="O944" s="95"/>
      <c r="P944" s="96"/>
      <c r="Q944" s="98"/>
    </row>
    <row r="945" spans="1:17" ht="15.75" x14ac:dyDescent="0.2">
      <c r="A945" s="17"/>
      <c r="B945" s="18"/>
      <c r="C945" s="87" t="str">
        <f>IF(B945="","",
IF(M945=$H$5,IFERROR(VLOOKUP(B945,'Baremos actuales'!A:E,5,FALSE),"No encontrado. Revisar código, fecha ejecución y/o contrato."),
IF(M945=$H$4,IFERROR(VLOOKUP(B945,'Baremos anteriores'!A:E,5,FALSE),"No encontrado. Revisar código, fecha ejecución y/o contrato."),
IF(M945=$H$3,IFERROR(VLOOKUP(B945,#REF!,5,FALSE),"No encontrado. Revisar código, fecha ejecución y/o contrato."),
IF(D945="","Código no encontrado",
IF(D945="ERROR","No encontrado. Revisar Código, fecha de ejecución y/o contrato.",
IF(D945="MATE",
IF(C944="DESCRIPCION","NO SE PUEDE COMENZAR SIN CÓDIGO DE TAREA",
IF(C944="","FALTA CÓDIGO DE TAREA",
CONCATENATE("          ",VLOOKUP(B945,'Maestro Materiales'!A:C,3,FALSE)))),IFERROR(VLOOKUP(B945,#REF!,5,FALSE),"No encontrado. Revisar código, fecha ejecución y/o contrato."))))))))</f>
        <v/>
      </c>
      <c r="D945" s="88" t="str">
        <f>IF(B945="","",
IFERROR(VLOOKUP(B945,'Maestro Materiales'!A:C,2,FALSE),
IFERROR(VLOOKUP(B945,'Baremos actuales'!A:B,2,FALSE),
IFERROR(VLOOKUP(B945,'Baremos anteriores'!A:B,2,FALSE),
""))))</f>
        <v/>
      </c>
      <c r="E945" s="9"/>
      <c r="F945" s="89" t="str">
        <f>IF(D945="MATE",
IF(E945="","¿Unidades?",""),
IF(D945="",IF(E945="","","¿Código?"),
IF(E945="","¿Unidades?",
IF(D945="TARE",
IF(M945=$H$3,IFERROR(VLOOKUP(B945,'Baremos actuales'!A:C,3,FALSE),0),
IF(M945=$H$4,IFERROR(VLOOKUP(B945,'Baremos anteriores'!A:C,3,FALSE),0),0))))))</f>
        <v/>
      </c>
      <c r="G945" s="7"/>
      <c r="H945" s="8"/>
      <c r="I945" s="8"/>
      <c r="J945" s="78" t="str">
        <f>IF($D945="","",
IF($E945="","",
IF($D945="MATE","",
IF(VLOOKUP($B945,'Baremos actuales'!A:D,4,FALSE)=J$9,$E945*$F945,IF(VLOOKUP($B945,'Baremos anteriores'!A:D,4,FALSE)="Sin Definir",$E945*$F945,"")))))</f>
        <v/>
      </c>
      <c r="K945" s="79" t="str">
        <f>IF($D945="","",
IF($E945="","",
IF($D945="MATE","",
IF(VLOOKUP($B945,'Baremos actuales'!$A:$D,4,FALSE)=K$9,$E945*$F945,IF(VLOOKUP($B945,'Baremos anteriores'!$A:$D,4,FALSE)="Desmonte",$E945*$F945,"")))))</f>
        <v/>
      </c>
      <c r="L945" s="80" t="str">
        <f>IF($D945="","",
IF($E945="","",
IF($D945="MATE","",
IF(VLOOKUP($B945,'Baremos actuales'!$A:$D,4,FALSE)=L$9,$E945*$F945,""))))</f>
        <v/>
      </c>
      <c r="M945" s="91" t="str">
        <f t="shared" si="14"/>
        <v/>
      </c>
      <c r="N945" s="96"/>
      <c r="O945" s="95"/>
      <c r="P945" s="96"/>
      <c r="Q945" s="98"/>
    </row>
    <row r="946" spans="1:17" ht="15.75" x14ac:dyDescent="0.2">
      <c r="A946" s="17"/>
      <c r="B946" s="18"/>
      <c r="C946" s="87" t="str">
        <f>IF(B946="","",
IF(M946=$H$5,IFERROR(VLOOKUP(B946,'Baremos actuales'!A:E,5,FALSE),"No encontrado. Revisar código, fecha ejecución y/o contrato."),
IF(M946=$H$4,IFERROR(VLOOKUP(B946,'Baremos anteriores'!A:E,5,FALSE),"No encontrado. Revisar código, fecha ejecución y/o contrato."),
IF(M946=$H$3,IFERROR(VLOOKUP(B946,#REF!,5,FALSE),"No encontrado. Revisar código, fecha ejecución y/o contrato."),
IF(D946="","Código no encontrado",
IF(D946="ERROR","No encontrado. Revisar Código, fecha de ejecución y/o contrato.",
IF(D946="MATE",
IF(C945="DESCRIPCION","NO SE PUEDE COMENZAR SIN CÓDIGO DE TAREA",
IF(C945="","FALTA CÓDIGO DE TAREA",
CONCATENATE("          ",VLOOKUP(B946,'Maestro Materiales'!A:C,3,FALSE)))),IFERROR(VLOOKUP(B946,#REF!,5,FALSE),"No encontrado. Revisar código, fecha ejecución y/o contrato."))))))))</f>
        <v/>
      </c>
      <c r="D946" s="88" t="str">
        <f>IF(B946="","",
IFERROR(VLOOKUP(B946,'Maestro Materiales'!A:C,2,FALSE),
IFERROR(VLOOKUP(B946,'Baremos actuales'!A:B,2,FALSE),
IFERROR(VLOOKUP(B946,'Baremos anteriores'!A:B,2,FALSE),
""))))</f>
        <v/>
      </c>
      <c r="E946" s="9"/>
      <c r="F946" s="89" t="str">
        <f>IF(D946="MATE",
IF(E946="","¿Unidades?",""),
IF(D946="",IF(E946="","","¿Código?"),
IF(E946="","¿Unidades?",
IF(D946="TARE",
IF(M946=$H$3,IFERROR(VLOOKUP(B946,'Baremos actuales'!A:C,3,FALSE),0),
IF(M946=$H$4,IFERROR(VLOOKUP(B946,'Baremos anteriores'!A:C,3,FALSE),0),0))))))</f>
        <v/>
      </c>
      <c r="G946" s="7"/>
      <c r="H946" s="8"/>
      <c r="I946" s="8"/>
      <c r="J946" s="78" t="str">
        <f>IF($D946="","",
IF($E946="","",
IF($D946="MATE","",
IF(VLOOKUP($B946,'Baremos actuales'!A:D,4,FALSE)=J$9,$E946*$F946,IF(VLOOKUP($B946,'Baremos anteriores'!A:D,4,FALSE)="Sin Definir",$E946*$F946,"")))))</f>
        <v/>
      </c>
      <c r="K946" s="79" t="str">
        <f>IF($D946="","",
IF($E946="","",
IF($D946="MATE","",
IF(VLOOKUP($B946,'Baremos actuales'!$A:$D,4,FALSE)=K$9,$E946*$F946,IF(VLOOKUP($B946,'Baremos anteriores'!$A:$D,4,FALSE)="Desmonte",$E946*$F946,"")))))</f>
        <v/>
      </c>
      <c r="L946" s="80" t="str">
        <f>IF($D946="","",
IF($E946="","",
IF($D946="MATE","",
IF(VLOOKUP($B946,'Baremos actuales'!$A:$D,4,FALSE)=L$9,$E946*$F946,""))))</f>
        <v/>
      </c>
      <c r="M946" s="91" t="str">
        <f t="shared" si="14"/>
        <v/>
      </c>
      <c r="N946" s="96"/>
      <c r="O946" s="95"/>
      <c r="P946" s="96"/>
      <c r="Q946" s="98"/>
    </row>
    <row r="947" spans="1:17" ht="15.75" x14ac:dyDescent="0.2">
      <c r="A947" s="17"/>
      <c r="B947" s="18"/>
      <c r="C947" s="87" t="str">
        <f>IF(B947="","",
IF(M947=$H$5,IFERROR(VLOOKUP(B947,'Baremos actuales'!A:E,5,FALSE),"No encontrado. Revisar código, fecha ejecución y/o contrato."),
IF(M947=$H$4,IFERROR(VLOOKUP(B947,'Baremos anteriores'!A:E,5,FALSE),"No encontrado. Revisar código, fecha ejecución y/o contrato."),
IF(M947=$H$3,IFERROR(VLOOKUP(B947,#REF!,5,FALSE),"No encontrado. Revisar código, fecha ejecución y/o contrato."),
IF(D947="","Código no encontrado",
IF(D947="ERROR","No encontrado. Revisar Código, fecha de ejecución y/o contrato.",
IF(D947="MATE",
IF(C946="DESCRIPCION","NO SE PUEDE COMENZAR SIN CÓDIGO DE TAREA",
IF(C946="","FALTA CÓDIGO DE TAREA",
CONCATENATE("          ",VLOOKUP(B947,'Maestro Materiales'!A:C,3,FALSE)))),IFERROR(VLOOKUP(B947,#REF!,5,FALSE),"No encontrado. Revisar código, fecha ejecución y/o contrato."))))))))</f>
        <v/>
      </c>
      <c r="D947" s="88" t="str">
        <f>IF(B947="","",
IFERROR(VLOOKUP(B947,'Maestro Materiales'!A:C,2,FALSE),
IFERROR(VLOOKUP(B947,'Baremos actuales'!A:B,2,FALSE),
IFERROR(VLOOKUP(B947,'Baremos anteriores'!A:B,2,FALSE),
""))))</f>
        <v/>
      </c>
      <c r="E947" s="9"/>
      <c r="F947" s="89" t="str">
        <f>IF(D947="MATE",
IF(E947="","¿Unidades?",""),
IF(D947="",IF(E947="","","¿Código?"),
IF(E947="","¿Unidades?",
IF(D947="TARE",
IF(M947=$H$3,IFERROR(VLOOKUP(B947,'Baremos actuales'!A:C,3,FALSE),0),
IF(M947=$H$4,IFERROR(VLOOKUP(B947,'Baremos anteriores'!A:C,3,FALSE),0),0))))))</f>
        <v/>
      </c>
      <c r="G947" s="7"/>
      <c r="H947" s="8"/>
      <c r="I947" s="8"/>
      <c r="J947" s="78" t="str">
        <f>IF($D947="","",
IF($E947="","",
IF($D947="MATE","",
IF(VLOOKUP($B947,'Baremos actuales'!A:D,4,FALSE)=J$9,$E947*$F947,IF(VLOOKUP($B947,'Baremos anteriores'!A:D,4,FALSE)="Sin Definir",$E947*$F947,"")))))</f>
        <v/>
      </c>
      <c r="K947" s="79" t="str">
        <f>IF($D947="","",
IF($E947="","",
IF($D947="MATE","",
IF(VLOOKUP($B947,'Baremos actuales'!$A:$D,4,FALSE)=K$9,$E947*$F947,IF(VLOOKUP($B947,'Baremos anteriores'!$A:$D,4,FALSE)="Desmonte",$E947*$F947,"")))))</f>
        <v/>
      </c>
      <c r="L947" s="80" t="str">
        <f>IF($D947="","",
IF($E947="","",
IF($D947="MATE","",
IF(VLOOKUP($B947,'Baremos actuales'!$A:$D,4,FALSE)=L$9,$E947*$F947,""))))</f>
        <v/>
      </c>
      <c r="M947" s="91" t="str">
        <f t="shared" si="14"/>
        <v/>
      </c>
      <c r="N947" s="96"/>
      <c r="O947" s="95"/>
      <c r="P947" s="96"/>
      <c r="Q947" s="98"/>
    </row>
    <row r="948" spans="1:17" ht="15.75" x14ac:dyDescent="0.2">
      <c r="A948" s="17"/>
      <c r="B948" s="18"/>
      <c r="C948" s="87" t="str">
        <f>IF(B948="","",
IF(M948=$H$5,IFERROR(VLOOKUP(B948,'Baremos actuales'!A:E,5,FALSE),"No encontrado. Revisar código, fecha ejecución y/o contrato."),
IF(M948=$H$4,IFERROR(VLOOKUP(B948,'Baremos anteriores'!A:E,5,FALSE),"No encontrado. Revisar código, fecha ejecución y/o contrato."),
IF(M948=$H$3,IFERROR(VLOOKUP(B948,#REF!,5,FALSE),"No encontrado. Revisar código, fecha ejecución y/o contrato."),
IF(D948="","Código no encontrado",
IF(D948="ERROR","No encontrado. Revisar Código, fecha de ejecución y/o contrato.",
IF(D948="MATE",
IF(C947="DESCRIPCION","NO SE PUEDE COMENZAR SIN CÓDIGO DE TAREA",
IF(C947="","FALTA CÓDIGO DE TAREA",
CONCATENATE("          ",VLOOKUP(B948,'Maestro Materiales'!A:C,3,FALSE)))),IFERROR(VLOOKUP(B948,#REF!,5,FALSE),"No encontrado. Revisar código, fecha ejecución y/o contrato."))))))))</f>
        <v/>
      </c>
      <c r="D948" s="88" t="str">
        <f>IF(B948="","",
IFERROR(VLOOKUP(B948,'Maestro Materiales'!A:C,2,FALSE),
IFERROR(VLOOKUP(B948,'Baremos actuales'!A:B,2,FALSE),
IFERROR(VLOOKUP(B948,'Baremos anteriores'!A:B,2,FALSE),
""))))</f>
        <v/>
      </c>
      <c r="E948" s="9"/>
      <c r="F948" s="89" t="str">
        <f>IF(D948="MATE",
IF(E948="","¿Unidades?",""),
IF(D948="",IF(E948="","","¿Código?"),
IF(E948="","¿Unidades?",
IF(D948="TARE",
IF(M948=$H$3,IFERROR(VLOOKUP(B948,'Baremos actuales'!A:C,3,FALSE),0),
IF(M948=$H$4,IFERROR(VLOOKUP(B948,'Baremos anteriores'!A:C,3,FALSE),0),0))))))</f>
        <v/>
      </c>
      <c r="G948" s="7"/>
      <c r="H948" s="8"/>
      <c r="I948" s="8"/>
      <c r="J948" s="78" t="str">
        <f>IF($D948="","",
IF($E948="","",
IF($D948="MATE","",
IF(VLOOKUP($B948,'Baremos actuales'!A:D,4,FALSE)=J$9,$E948*$F948,IF(VLOOKUP($B948,'Baremos anteriores'!A:D,4,FALSE)="Sin Definir",$E948*$F948,"")))))</f>
        <v/>
      </c>
      <c r="K948" s="79" t="str">
        <f>IF($D948="","",
IF($E948="","",
IF($D948="MATE","",
IF(VLOOKUP($B948,'Baremos actuales'!$A:$D,4,FALSE)=K$9,$E948*$F948,IF(VLOOKUP($B948,'Baremos anteriores'!$A:$D,4,FALSE)="Desmonte",$E948*$F948,"")))))</f>
        <v/>
      </c>
      <c r="L948" s="80" t="str">
        <f>IF($D948="","",
IF($E948="","",
IF($D948="MATE","",
IF(VLOOKUP($B948,'Baremos actuales'!$A:$D,4,FALSE)=L$9,$E948*$F948,""))))</f>
        <v/>
      </c>
      <c r="M948" s="91" t="str">
        <f t="shared" si="14"/>
        <v/>
      </c>
      <c r="N948" s="96"/>
      <c r="O948" s="95"/>
      <c r="P948" s="96"/>
      <c r="Q948" s="98"/>
    </row>
    <row r="949" spans="1:17" ht="15.75" x14ac:dyDescent="0.2">
      <c r="A949" s="17"/>
      <c r="B949" s="18"/>
      <c r="C949" s="87" t="str">
        <f>IF(B949="","",
IF(M949=$H$5,IFERROR(VLOOKUP(B949,'Baremos actuales'!A:E,5,FALSE),"No encontrado. Revisar código, fecha ejecución y/o contrato."),
IF(M949=$H$4,IFERROR(VLOOKUP(B949,'Baremos anteriores'!A:E,5,FALSE),"No encontrado. Revisar código, fecha ejecución y/o contrato."),
IF(M949=$H$3,IFERROR(VLOOKUP(B949,#REF!,5,FALSE),"No encontrado. Revisar código, fecha ejecución y/o contrato."),
IF(D949="","Código no encontrado",
IF(D949="ERROR","No encontrado. Revisar Código, fecha de ejecución y/o contrato.",
IF(D949="MATE",
IF(C948="DESCRIPCION","NO SE PUEDE COMENZAR SIN CÓDIGO DE TAREA",
IF(C948="","FALTA CÓDIGO DE TAREA",
CONCATENATE("          ",VLOOKUP(B949,'Maestro Materiales'!A:C,3,FALSE)))),IFERROR(VLOOKUP(B949,#REF!,5,FALSE),"No encontrado. Revisar código, fecha ejecución y/o contrato."))))))))</f>
        <v/>
      </c>
      <c r="D949" s="88" t="str">
        <f>IF(B949="","",
IFERROR(VLOOKUP(B949,'Maestro Materiales'!A:C,2,FALSE),
IFERROR(VLOOKUP(B949,'Baremos actuales'!A:B,2,FALSE),
IFERROR(VLOOKUP(B949,'Baremos anteriores'!A:B,2,FALSE),
""))))</f>
        <v/>
      </c>
      <c r="E949" s="9"/>
      <c r="F949" s="89" t="str">
        <f>IF(D949="MATE",
IF(E949="","¿Unidades?",""),
IF(D949="",IF(E949="","","¿Código?"),
IF(E949="","¿Unidades?",
IF(D949="TARE",
IF(M949=$H$3,IFERROR(VLOOKUP(B949,'Baremos actuales'!A:C,3,FALSE),0),
IF(M949=$H$4,IFERROR(VLOOKUP(B949,'Baremos anteriores'!A:C,3,FALSE),0),0))))))</f>
        <v/>
      </c>
      <c r="G949" s="7"/>
      <c r="H949" s="8"/>
      <c r="I949" s="8"/>
      <c r="J949" s="78" t="str">
        <f>IF($D949="","",
IF($E949="","",
IF($D949="MATE","",
IF(VLOOKUP($B949,'Baremos actuales'!A:D,4,FALSE)=J$9,$E949*$F949,IF(VLOOKUP($B949,'Baremos anteriores'!A:D,4,FALSE)="Sin Definir",$E949*$F949,"")))))</f>
        <v/>
      </c>
      <c r="K949" s="79" t="str">
        <f>IF($D949="","",
IF($E949="","",
IF($D949="MATE","",
IF(VLOOKUP($B949,'Baremos actuales'!$A:$D,4,FALSE)=K$9,$E949*$F949,IF(VLOOKUP($B949,'Baremos anteriores'!$A:$D,4,FALSE)="Desmonte",$E949*$F949,"")))))</f>
        <v/>
      </c>
      <c r="L949" s="80" t="str">
        <f>IF($D949="","",
IF($E949="","",
IF($D949="MATE","",
IF(VLOOKUP($B949,'Baremos actuales'!$A:$D,4,FALSE)=L$9,$E949*$F949,""))))</f>
        <v/>
      </c>
      <c r="M949" s="91" t="str">
        <f t="shared" si="14"/>
        <v/>
      </c>
      <c r="N949" s="96"/>
      <c r="O949" s="95"/>
      <c r="P949" s="96"/>
      <c r="Q949" s="98"/>
    </row>
    <row r="950" spans="1:17" ht="15.75" x14ac:dyDescent="0.2">
      <c r="A950" s="17"/>
      <c r="B950" s="18"/>
      <c r="C950" s="87" t="str">
        <f>IF(B950="","",
IF(M950=$H$5,IFERROR(VLOOKUP(B950,'Baremos actuales'!A:E,5,FALSE),"No encontrado. Revisar código, fecha ejecución y/o contrato."),
IF(M950=$H$4,IFERROR(VLOOKUP(B950,'Baremos anteriores'!A:E,5,FALSE),"No encontrado. Revisar código, fecha ejecución y/o contrato."),
IF(M950=$H$3,IFERROR(VLOOKUP(B950,#REF!,5,FALSE),"No encontrado. Revisar código, fecha ejecución y/o contrato."),
IF(D950="","Código no encontrado",
IF(D950="ERROR","No encontrado. Revisar Código, fecha de ejecución y/o contrato.",
IF(D950="MATE",
IF(C949="DESCRIPCION","NO SE PUEDE COMENZAR SIN CÓDIGO DE TAREA",
IF(C949="","FALTA CÓDIGO DE TAREA",
CONCATENATE("          ",VLOOKUP(B950,'Maestro Materiales'!A:C,3,FALSE)))),IFERROR(VLOOKUP(B950,#REF!,5,FALSE),"No encontrado. Revisar código, fecha ejecución y/o contrato."))))))))</f>
        <v/>
      </c>
      <c r="D950" s="88" t="str">
        <f>IF(B950="","",
IFERROR(VLOOKUP(B950,'Maestro Materiales'!A:C,2,FALSE),
IFERROR(VLOOKUP(B950,'Baremos actuales'!A:B,2,FALSE),
IFERROR(VLOOKUP(B950,'Baremos anteriores'!A:B,2,FALSE),
""))))</f>
        <v/>
      </c>
      <c r="E950" s="9"/>
      <c r="F950" s="89" t="str">
        <f>IF(D950="MATE",
IF(E950="","¿Unidades?",""),
IF(D950="",IF(E950="","","¿Código?"),
IF(E950="","¿Unidades?",
IF(D950="TARE",
IF(M950=$H$3,IFERROR(VLOOKUP(B950,'Baremos actuales'!A:C,3,FALSE),0),
IF(M950=$H$4,IFERROR(VLOOKUP(B950,'Baremos anteriores'!A:C,3,FALSE),0),0))))))</f>
        <v/>
      </c>
      <c r="G950" s="7"/>
      <c r="H950" s="8"/>
      <c r="I950" s="8"/>
      <c r="J950" s="78" t="str">
        <f>IF($D950="","",
IF($E950="","",
IF($D950="MATE","",
IF(VLOOKUP($B950,'Baremos actuales'!A:D,4,FALSE)=J$9,$E950*$F950,IF(VLOOKUP($B950,'Baremos anteriores'!A:D,4,FALSE)="Sin Definir",$E950*$F950,"")))))</f>
        <v/>
      </c>
      <c r="K950" s="79" t="str">
        <f>IF($D950="","",
IF($E950="","",
IF($D950="MATE","",
IF(VLOOKUP($B950,'Baremos actuales'!$A:$D,4,FALSE)=K$9,$E950*$F950,IF(VLOOKUP($B950,'Baremos anteriores'!$A:$D,4,FALSE)="Desmonte",$E950*$F950,"")))))</f>
        <v/>
      </c>
      <c r="L950" s="80" t="str">
        <f>IF($D950="","",
IF($E950="","",
IF($D950="MATE","",
IF(VLOOKUP($B950,'Baremos actuales'!$A:$D,4,FALSE)=L$9,$E950*$F950,""))))</f>
        <v/>
      </c>
      <c r="M950" s="91" t="str">
        <f t="shared" si="14"/>
        <v/>
      </c>
      <c r="N950" s="96"/>
      <c r="O950" s="95"/>
      <c r="P950" s="96"/>
      <c r="Q950" s="98"/>
    </row>
    <row r="951" spans="1:17" ht="15.75" x14ac:dyDescent="0.2">
      <c r="A951" s="17"/>
      <c r="B951" s="18"/>
      <c r="C951" s="87" t="str">
        <f>IF(B951="","",
IF(M951=$H$5,IFERROR(VLOOKUP(B951,'Baremos actuales'!A:E,5,FALSE),"No encontrado. Revisar código, fecha ejecución y/o contrato."),
IF(M951=$H$4,IFERROR(VLOOKUP(B951,'Baremos anteriores'!A:E,5,FALSE),"No encontrado. Revisar código, fecha ejecución y/o contrato."),
IF(M951=$H$3,IFERROR(VLOOKUP(B951,#REF!,5,FALSE),"No encontrado. Revisar código, fecha ejecución y/o contrato."),
IF(D951="","Código no encontrado",
IF(D951="ERROR","No encontrado. Revisar Código, fecha de ejecución y/o contrato.",
IF(D951="MATE",
IF(C950="DESCRIPCION","NO SE PUEDE COMENZAR SIN CÓDIGO DE TAREA",
IF(C950="","FALTA CÓDIGO DE TAREA",
CONCATENATE("          ",VLOOKUP(B951,'Maestro Materiales'!A:C,3,FALSE)))),IFERROR(VLOOKUP(B951,#REF!,5,FALSE),"No encontrado. Revisar código, fecha ejecución y/o contrato."))))))))</f>
        <v/>
      </c>
      <c r="D951" s="88" t="str">
        <f>IF(B951="","",
IFERROR(VLOOKUP(B951,'Maestro Materiales'!A:C,2,FALSE),
IFERROR(VLOOKUP(B951,'Baremos actuales'!A:B,2,FALSE),
IFERROR(VLOOKUP(B951,'Baremos anteriores'!A:B,2,FALSE),
""))))</f>
        <v/>
      </c>
      <c r="E951" s="9"/>
      <c r="F951" s="89" t="str">
        <f>IF(D951="MATE",
IF(E951="","¿Unidades?",""),
IF(D951="",IF(E951="","","¿Código?"),
IF(E951="","¿Unidades?",
IF(D951="TARE",
IF(M951=$H$3,IFERROR(VLOOKUP(B951,'Baremos actuales'!A:C,3,FALSE),0),
IF(M951=$H$4,IFERROR(VLOOKUP(B951,'Baremos anteriores'!A:C,3,FALSE),0),0))))))</f>
        <v/>
      </c>
      <c r="G951" s="7"/>
      <c r="H951" s="8"/>
      <c r="I951" s="8"/>
      <c r="J951" s="78" t="str">
        <f>IF($D951="","",
IF($E951="","",
IF($D951="MATE","",
IF(VLOOKUP($B951,'Baremos actuales'!A:D,4,FALSE)=J$9,$E951*$F951,IF(VLOOKUP($B951,'Baremos anteriores'!A:D,4,FALSE)="Sin Definir",$E951*$F951,"")))))</f>
        <v/>
      </c>
      <c r="K951" s="79" t="str">
        <f>IF($D951="","",
IF($E951="","",
IF($D951="MATE","",
IF(VLOOKUP($B951,'Baremos actuales'!$A:$D,4,FALSE)=K$9,$E951*$F951,IF(VLOOKUP($B951,'Baremos anteriores'!$A:$D,4,FALSE)="Desmonte",$E951*$F951,"")))))</f>
        <v/>
      </c>
      <c r="L951" s="80" t="str">
        <f>IF($D951="","",
IF($E951="","",
IF($D951="MATE","",
IF(VLOOKUP($B951,'Baremos actuales'!$A:$D,4,FALSE)=L$9,$E951*$F951,""))))</f>
        <v/>
      </c>
      <c r="M951" s="91" t="str">
        <f t="shared" si="14"/>
        <v/>
      </c>
      <c r="N951" s="96"/>
      <c r="O951" s="95"/>
      <c r="P951" s="96"/>
      <c r="Q951" s="98"/>
    </row>
    <row r="952" spans="1:17" ht="15.75" x14ac:dyDescent="0.2">
      <c r="A952" s="17"/>
      <c r="B952" s="18"/>
      <c r="C952" s="87" t="str">
        <f>IF(B952="","",
IF(M952=$H$5,IFERROR(VLOOKUP(B952,'Baremos actuales'!A:E,5,FALSE),"No encontrado. Revisar código, fecha ejecución y/o contrato."),
IF(M952=$H$4,IFERROR(VLOOKUP(B952,'Baremos anteriores'!A:E,5,FALSE),"No encontrado. Revisar código, fecha ejecución y/o contrato."),
IF(M952=$H$3,IFERROR(VLOOKUP(B952,#REF!,5,FALSE),"No encontrado. Revisar código, fecha ejecución y/o contrato."),
IF(D952="","Código no encontrado",
IF(D952="ERROR","No encontrado. Revisar Código, fecha de ejecución y/o contrato.",
IF(D952="MATE",
IF(C951="DESCRIPCION","NO SE PUEDE COMENZAR SIN CÓDIGO DE TAREA",
IF(C951="","FALTA CÓDIGO DE TAREA",
CONCATENATE("          ",VLOOKUP(B952,'Maestro Materiales'!A:C,3,FALSE)))),IFERROR(VLOOKUP(B952,#REF!,5,FALSE),"No encontrado. Revisar código, fecha ejecución y/o contrato."))))))))</f>
        <v/>
      </c>
      <c r="D952" s="88" t="str">
        <f>IF(B952="","",
IFERROR(VLOOKUP(B952,'Maestro Materiales'!A:C,2,FALSE),
IFERROR(VLOOKUP(B952,'Baremos actuales'!A:B,2,FALSE),
IFERROR(VLOOKUP(B952,'Baremos anteriores'!A:B,2,FALSE),
""))))</f>
        <v/>
      </c>
      <c r="E952" s="9"/>
      <c r="F952" s="89" t="str">
        <f>IF(D952="MATE",
IF(E952="","¿Unidades?",""),
IF(D952="",IF(E952="","","¿Código?"),
IF(E952="","¿Unidades?",
IF(D952="TARE",
IF(M952=$H$3,IFERROR(VLOOKUP(B952,'Baremos actuales'!A:C,3,FALSE),0),
IF(M952=$H$4,IFERROR(VLOOKUP(B952,'Baremos anteriores'!A:C,3,FALSE),0),0))))))</f>
        <v/>
      </c>
      <c r="G952" s="7"/>
      <c r="H952" s="8"/>
      <c r="I952" s="8"/>
      <c r="J952" s="78" t="str">
        <f>IF($D952="","",
IF($E952="","",
IF($D952="MATE","",
IF(VLOOKUP($B952,'Baremos actuales'!A:D,4,FALSE)=J$9,$E952*$F952,IF(VLOOKUP($B952,'Baremos anteriores'!A:D,4,FALSE)="Sin Definir",$E952*$F952,"")))))</f>
        <v/>
      </c>
      <c r="K952" s="79" t="str">
        <f>IF($D952="","",
IF($E952="","",
IF($D952="MATE","",
IF(VLOOKUP($B952,'Baremos actuales'!$A:$D,4,FALSE)=K$9,$E952*$F952,IF(VLOOKUP($B952,'Baremos anteriores'!$A:$D,4,FALSE)="Desmonte",$E952*$F952,"")))))</f>
        <v/>
      </c>
      <c r="L952" s="80" t="str">
        <f>IF($D952="","",
IF($E952="","",
IF($D952="MATE","",
IF(VLOOKUP($B952,'Baremos actuales'!$A:$D,4,FALSE)=L$9,$E952*$F952,""))))</f>
        <v/>
      </c>
      <c r="M952" s="91" t="str">
        <f t="shared" si="14"/>
        <v/>
      </c>
      <c r="N952" s="96"/>
      <c r="O952" s="95"/>
      <c r="P952" s="96"/>
      <c r="Q952" s="98"/>
    </row>
    <row r="953" spans="1:17" ht="15.75" x14ac:dyDescent="0.2">
      <c r="A953" s="17"/>
      <c r="B953" s="18"/>
      <c r="C953" s="87" t="str">
        <f>IF(B953="","",
IF(M953=$H$5,IFERROR(VLOOKUP(B953,'Baremos actuales'!A:E,5,FALSE),"No encontrado. Revisar código, fecha ejecución y/o contrato."),
IF(M953=$H$4,IFERROR(VLOOKUP(B953,'Baremos anteriores'!A:E,5,FALSE),"No encontrado. Revisar código, fecha ejecución y/o contrato."),
IF(M953=$H$3,IFERROR(VLOOKUP(B953,#REF!,5,FALSE),"No encontrado. Revisar código, fecha ejecución y/o contrato."),
IF(D953="","Código no encontrado",
IF(D953="ERROR","No encontrado. Revisar Código, fecha de ejecución y/o contrato.",
IF(D953="MATE",
IF(C952="DESCRIPCION","NO SE PUEDE COMENZAR SIN CÓDIGO DE TAREA",
IF(C952="","FALTA CÓDIGO DE TAREA",
CONCATENATE("          ",VLOOKUP(B953,'Maestro Materiales'!A:C,3,FALSE)))),IFERROR(VLOOKUP(B953,#REF!,5,FALSE),"No encontrado. Revisar código, fecha ejecución y/o contrato."))))))))</f>
        <v/>
      </c>
      <c r="D953" s="88" t="str">
        <f>IF(B953="","",
IFERROR(VLOOKUP(B953,'Maestro Materiales'!A:C,2,FALSE),
IFERROR(VLOOKUP(B953,'Baremos actuales'!A:B,2,FALSE),
IFERROR(VLOOKUP(B953,'Baremos anteriores'!A:B,2,FALSE),
""))))</f>
        <v/>
      </c>
      <c r="E953" s="9"/>
      <c r="F953" s="89" t="str">
        <f>IF(D953="MATE",
IF(E953="","¿Unidades?",""),
IF(D953="",IF(E953="","","¿Código?"),
IF(E953="","¿Unidades?",
IF(D953="TARE",
IF(M953=$H$3,IFERROR(VLOOKUP(B953,'Baremos actuales'!A:C,3,FALSE),0),
IF(M953=$H$4,IFERROR(VLOOKUP(B953,'Baremos anteriores'!A:C,3,FALSE),0),0))))))</f>
        <v/>
      </c>
      <c r="G953" s="7"/>
      <c r="H953" s="8"/>
      <c r="I953" s="8"/>
      <c r="J953" s="78" t="str">
        <f>IF($D953="","",
IF($E953="","",
IF($D953="MATE","",
IF(VLOOKUP($B953,'Baremos actuales'!A:D,4,FALSE)=J$9,$E953*$F953,IF(VLOOKUP($B953,'Baremos anteriores'!A:D,4,FALSE)="Sin Definir",$E953*$F953,"")))))</f>
        <v/>
      </c>
      <c r="K953" s="79" t="str">
        <f>IF($D953="","",
IF($E953="","",
IF($D953="MATE","",
IF(VLOOKUP($B953,'Baremos actuales'!$A:$D,4,FALSE)=K$9,$E953*$F953,IF(VLOOKUP($B953,'Baremos anteriores'!$A:$D,4,FALSE)="Desmonte",$E953*$F953,"")))))</f>
        <v/>
      </c>
      <c r="L953" s="80" t="str">
        <f>IF($D953="","",
IF($E953="","",
IF($D953="MATE","",
IF(VLOOKUP($B953,'Baremos actuales'!$A:$D,4,FALSE)=L$9,$E953*$F953,""))))</f>
        <v/>
      </c>
      <c r="M953" s="91" t="str">
        <f t="shared" si="14"/>
        <v/>
      </c>
      <c r="N953" s="96"/>
      <c r="O953" s="95"/>
      <c r="P953" s="96"/>
      <c r="Q953" s="98"/>
    </row>
    <row r="954" spans="1:17" ht="15.75" x14ac:dyDescent="0.2">
      <c r="A954" s="17"/>
      <c r="B954" s="18"/>
      <c r="C954" s="87" t="str">
        <f>IF(B954="","",
IF(M954=$H$5,IFERROR(VLOOKUP(B954,'Baremos actuales'!A:E,5,FALSE),"No encontrado. Revisar código, fecha ejecución y/o contrato."),
IF(M954=$H$4,IFERROR(VLOOKUP(B954,'Baremos anteriores'!A:E,5,FALSE),"No encontrado. Revisar código, fecha ejecución y/o contrato."),
IF(M954=$H$3,IFERROR(VLOOKUP(B954,#REF!,5,FALSE),"No encontrado. Revisar código, fecha ejecución y/o contrato."),
IF(D954="","Código no encontrado",
IF(D954="ERROR","No encontrado. Revisar Código, fecha de ejecución y/o contrato.",
IF(D954="MATE",
IF(C953="DESCRIPCION","NO SE PUEDE COMENZAR SIN CÓDIGO DE TAREA",
IF(C953="","FALTA CÓDIGO DE TAREA",
CONCATENATE("          ",VLOOKUP(B954,'Maestro Materiales'!A:C,3,FALSE)))),IFERROR(VLOOKUP(B954,#REF!,5,FALSE),"No encontrado. Revisar código, fecha ejecución y/o contrato."))))))))</f>
        <v/>
      </c>
      <c r="D954" s="88" t="str">
        <f>IF(B954="","",
IFERROR(VLOOKUP(B954,'Maestro Materiales'!A:C,2,FALSE),
IFERROR(VLOOKUP(B954,'Baremos actuales'!A:B,2,FALSE),
IFERROR(VLOOKUP(B954,'Baremos anteriores'!A:B,2,FALSE),
""))))</f>
        <v/>
      </c>
      <c r="E954" s="9"/>
      <c r="F954" s="89" t="str">
        <f>IF(D954="MATE",
IF(E954="","¿Unidades?",""),
IF(D954="",IF(E954="","","¿Código?"),
IF(E954="","¿Unidades?",
IF(D954="TARE",
IF(M954=$H$3,IFERROR(VLOOKUP(B954,'Baremos actuales'!A:C,3,FALSE),0),
IF(M954=$H$4,IFERROR(VLOOKUP(B954,'Baremos anteriores'!A:C,3,FALSE),0),0))))))</f>
        <v/>
      </c>
      <c r="G954" s="7"/>
      <c r="H954" s="8"/>
      <c r="I954" s="8"/>
      <c r="J954" s="78" t="str">
        <f>IF($D954="","",
IF($E954="","",
IF($D954="MATE","",
IF(VLOOKUP($B954,'Baremos actuales'!A:D,4,FALSE)=J$9,$E954*$F954,IF(VLOOKUP($B954,'Baremos anteriores'!A:D,4,FALSE)="Sin Definir",$E954*$F954,"")))))</f>
        <v/>
      </c>
      <c r="K954" s="79" t="str">
        <f>IF($D954="","",
IF($E954="","",
IF($D954="MATE","",
IF(VLOOKUP($B954,'Baremos actuales'!$A:$D,4,FALSE)=K$9,$E954*$F954,IF(VLOOKUP($B954,'Baremos anteriores'!$A:$D,4,FALSE)="Desmonte",$E954*$F954,"")))))</f>
        <v/>
      </c>
      <c r="L954" s="80" t="str">
        <f>IF($D954="","",
IF($E954="","",
IF($D954="MATE","",
IF(VLOOKUP($B954,'Baremos actuales'!$A:$D,4,FALSE)=L$9,$E954*$F954,""))))</f>
        <v/>
      </c>
      <c r="M954" s="91" t="str">
        <f t="shared" si="14"/>
        <v/>
      </c>
      <c r="N954" s="96"/>
      <c r="O954" s="95"/>
      <c r="P954" s="96"/>
      <c r="Q954" s="98"/>
    </row>
    <row r="955" spans="1:17" ht="15.75" x14ac:dyDescent="0.2">
      <c r="A955" s="17"/>
      <c r="B955" s="18"/>
      <c r="C955" s="87" t="str">
        <f>IF(B955="","",
IF(M955=$H$5,IFERROR(VLOOKUP(B955,'Baremos actuales'!A:E,5,FALSE),"No encontrado. Revisar código, fecha ejecución y/o contrato."),
IF(M955=$H$4,IFERROR(VLOOKUP(B955,'Baremos anteriores'!A:E,5,FALSE),"No encontrado. Revisar código, fecha ejecución y/o contrato."),
IF(M955=$H$3,IFERROR(VLOOKUP(B955,#REF!,5,FALSE),"No encontrado. Revisar código, fecha ejecución y/o contrato."),
IF(D955="","Código no encontrado",
IF(D955="ERROR","No encontrado. Revisar Código, fecha de ejecución y/o contrato.",
IF(D955="MATE",
IF(C954="DESCRIPCION","NO SE PUEDE COMENZAR SIN CÓDIGO DE TAREA",
IF(C954="","FALTA CÓDIGO DE TAREA",
CONCATENATE("          ",VLOOKUP(B955,'Maestro Materiales'!A:C,3,FALSE)))),IFERROR(VLOOKUP(B955,#REF!,5,FALSE),"No encontrado. Revisar código, fecha ejecución y/o contrato."))))))))</f>
        <v/>
      </c>
      <c r="D955" s="88" t="str">
        <f>IF(B955="","",
IFERROR(VLOOKUP(B955,'Maestro Materiales'!A:C,2,FALSE),
IFERROR(VLOOKUP(B955,'Baremos actuales'!A:B,2,FALSE),
IFERROR(VLOOKUP(B955,'Baremos anteriores'!A:B,2,FALSE),
""))))</f>
        <v/>
      </c>
      <c r="E955" s="9"/>
      <c r="F955" s="89" t="str">
        <f>IF(D955="MATE",
IF(E955="","¿Unidades?",""),
IF(D955="",IF(E955="","","¿Código?"),
IF(E955="","¿Unidades?",
IF(D955="TARE",
IF(M955=$H$3,IFERROR(VLOOKUP(B955,'Baremos actuales'!A:C,3,FALSE),0),
IF(M955=$H$4,IFERROR(VLOOKUP(B955,'Baremos anteriores'!A:C,3,FALSE),0),0))))))</f>
        <v/>
      </c>
      <c r="G955" s="7"/>
      <c r="H955" s="8"/>
      <c r="I955" s="8"/>
      <c r="J955" s="78" t="str">
        <f>IF($D955="","",
IF($E955="","",
IF($D955="MATE","",
IF(VLOOKUP($B955,'Baremos actuales'!A:D,4,FALSE)=J$9,$E955*$F955,IF(VLOOKUP($B955,'Baremos anteriores'!A:D,4,FALSE)="Sin Definir",$E955*$F955,"")))))</f>
        <v/>
      </c>
      <c r="K955" s="79" t="str">
        <f>IF($D955="","",
IF($E955="","",
IF($D955="MATE","",
IF(VLOOKUP($B955,'Baremos actuales'!$A:$D,4,FALSE)=K$9,$E955*$F955,IF(VLOOKUP($B955,'Baremos anteriores'!$A:$D,4,FALSE)="Desmonte",$E955*$F955,"")))))</f>
        <v/>
      </c>
      <c r="L955" s="80" t="str">
        <f>IF($D955="","",
IF($E955="","",
IF($D955="MATE","",
IF(VLOOKUP($B955,'Baremos actuales'!$A:$D,4,FALSE)=L$9,$E955*$F955,""))))</f>
        <v/>
      </c>
      <c r="M955" s="91" t="str">
        <f t="shared" si="14"/>
        <v/>
      </c>
      <c r="N955" s="96"/>
      <c r="O955" s="95"/>
      <c r="P955" s="96"/>
      <c r="Q955" s="98"/>
    </row>
    <row r="956" spans="1:17" ht="15.75" x14ac:dyDescent="0.2">
      <c r="A956" s="17"/>
      <c r="B956" s="18"/>
      <c r="C956" s="87" t="str">
        <f>IF(B956="","",
IF(M956=$H$5,IFERROR(VLOOKUP(B956,'Baremos actuales'!A:E,5,FALSE),"No encontrado. Revisar código, fecha ejecución y/o contrato."),
IF(M956=$H$4,IFERROR(VLOOKUP(B956,'Baremos anteriores'!A:E,5,FALSE),"No encontrado. Revisar código, fecha ejecución y/o contrato."),
IF(M956=$H$3,IFERROR(VLOOKUP(B956,#REF!,5,FALSE),"No encontrado. Revisar código, fecha ejecución y/o contrato."),
IF(D956="","Código no encontrado",
IF(D956="ERROR","No encontrado. Revisar Código, fecha de ejecución y/o contrato.",
IF(D956="MATE",
IF(C955="DESCRIPCION","NO SE PUEDE COMENZAR SIN CÓDIGO DE TAREA",
IF(C955="","FALTA CÓDIGO DE TAREA",
CONCATENATE("          ",VLOOKUP(B956,'Maestro Materiales'!A:C,3,FALSE)))),IFERROR(VLOOKUP(B956,#REF!,5,FALSE),"No encontrado. Revisar código, fecha ejecución y/o contrato."))))))))</f>
        <v/>
      </c>
      <c r="D956" s="88" t="str">
        <f>IF(B956="","",
IFERROR(VLOOKUP(B956,'Maestro Materiales'!A:C,2,FALSE),
IFERROR(VLOOKUP(B956,'Baremos actuales'!A:B,2,FALSE),
IFERROR(VLOOKUP(B956,'Baremos anteriores'!A:B,2,FALSE),
""))))</f>
        <v/>
      </c>
      <c r="E956" s="9"/>
      <c r="F956" s="89" t="str">
        <f>IF(D956="MATE",
IF(E956="","¿Unidades?",""),
IF(D956="",IF(E956="","","¿Código?"),
IF(E956="","¿Unidades?",
IF(D956="TARE",
IF(M956=$H$3,IFERROR(VLOOKUP(B956,'Baremos actuales'!A:C,3,FALSE),0),
IF(M956=$H$4,IFERROR(VLOOKUP(B956,'Baremos anteriores'!A:C,3,FALSE),0),0))))))</f>
        <v/>
      </c>
      <c r="G956" s="7"/>
      <c r="H956" s="8"/>
      <c r="I956" s="8"/>
      <c r="J956" s="78" t="str">
        <f>IF($D956="","",
IF($E956="","",
IF($D956="MATE","",
IF(VLOOKUP($B956,'Baremos actuales'!A:D,4,FALSE)=J$9,$E956*$F956,IF(VLOOKUP($B956,'Baremos anteriores'!A:D,4,FALSE)="Sin Definir",$E956*$F956,"")))))</f>
        <v/>
      </c>
      <c r="K956" s="79" t="str">
        <f>IF($D956="","",
IF($E956="","",
IF($D956="MATE","",
IF(VLOOKUP($B956,'Baremos actuales'!$A:$D,4,FALSE)=K$9,$E956*$F956,IF(VLOOKUP($B956,'Baremos anteriores'!$A:$D,4,FALSE)="Desmonte",$E956*$F956,"")))))</f>
        <v/>
      </c>
      <c r="L956" s="80" t="str">
        <f>IF($D956="","",
IF($E956="","",
IF($D956="MATE","",
IF(VLOOKUP($B956,'Baremos actuales'!$A:$D,4,FALSE)=L$9,$E956*$F956,""))))</f>
        <v/>
      </c>
      <c r="M956" s="91" t="str">
        <f t="shared" si="14"/>
        <v/>
      </c>
      <c r="N956" s="96"/>
      <c r="O956" s="95"/>
      <c r="P956" s="96"/>
      <c r="Q956" s="98"/>
    </row>
    <row r="957" spans="1:17" ht="15.75" x14ac:dyDescent="0.2">
      <c r="A957" s="17"/>
      <c r="B957" s="18"/>
      <c r="C957" s="87" t="str">
        <f>IF(B957="","",
IF(M957=$H$5,IFERROR(VLOOKUP(B957,'Baremos actuales'!A:E,5,FALSE),"No encontrado. Revisar código, fecha ejecución y/o contrato."),
IF(M957=$H$4,IFERROR(VLOOKUP(B957,'Baremos anteriores'!A:E,5,FALSE),"No encontrado. Revisar código, fecha ejecución y/o contrato."),
IF(M957=$H$3,IFERROR(VLOOKUP(B957,#REF!,5,FALSE),"No encontrado. Revisar código, fecha ejecución y/o contrato."),
IF(D957="","Código no encontrado",
IF(D957="ERROR","No encontrado. Revisar Código, fecha de ejecución y/o contrato.",
IF(D957="MATE",
IF(C956="DESCRIPCION","NO SE PUEDE COMENZAR SIN CÓDIGO DE TAREA",
IF(C956="","FALTA CÓDIGO DE TAREA",
CONCATENATE("          ",VLOOKUP(B957,'Maestro Materiales'!A:C,3,FALSE)))),IFERROR(VLOOKUP(B957,#REF!,5,FALSE),"No encontrado. Revisar código, fecha ejecución y/o contrato."))))))))</f>
        <v/>
      </c>
      <c r="D957" s="88" t="str">
        <f>IF(B957="","",
IFERROR(VLOOKUP(B957,'Maestro Materiales'!A:C,2,FALSE),
IFERROR(VLOOKUP(B957,'Baremos actuales'!A:B,2,FALSE),
IFERROR(VLOOKUP(B957,'Baremos anteriores'!A:B,2,FALSE),
""))))</f>
        <v/>
      </c>
      <c r="E957" s="9"/>
      <c r="F957" s="89" t="str">
        <f>IF(D957="MATE",
IF(E957="","¿Unidades?",""),
IF(D957="",IF(E957="","","¿Código?"),
IF(E957="","¿Unidades?",
IF(D957="TARE",
IF(M957=$H$3,IFERROR(VLOOKUP(B957,'Baremos actuales'!A:C,3,FALSE),0),
IF(M957=$H$4,IFERROR(VLOOKUP(B957,'Baremos anteriores'!A:C,3,FALSE),0),0))))))</f>
        <v/>
      </c>
      <c r="G957" s="7"/>
      <c r="H957" s="8"/>
      <c r="I957" s="8"/>
      <c r="J957" s="78" t="str">
        <f>IF($D957="","",
IF($E957="","",
IF($D957="MATE","",
IF(VLOOKUP($B957,'Baremos actuales'!A:D,4,FALSE)=J$9,$E957*$F957,IF(VLOOKUP($B957,'Baremos anteriores'!A:D,4,FALSE)="Sin Definir",$E957*$F957,"")))))</f>
        <v/>
      </c>
      <c r="K957" s="79" t="str">
        <f>IF($D957="","",
IF($E957="","",
IF($D957="MATE","",
IF(VLOOKUP($B957,'Baremos actuales'!$A:$D,4,FALSE)=K$9,$E957*$F957,IF(VLOOKUP($B957,'Baremos anteriores'!$A:$D,4,FALSE)="Desmonte",$E957*$F957,"")))))</f>
        <v/>
      </c>
      <c r="L957" s="80" t="str">
        <f>IF($D957="","",
IF($E957="","",
IF($D957="MATE","",
IF(VLOOKUP($B957,'Baremos actuales'!$A:$D,4,FALSE)=L$9,$E957*$F957,""))))</f>
        <v/>
      </c>
      <c r="M957" s="91" t="str">
        <f t="shared" si="14"/>
        <v/>
      </c>
      <c r="N957" s="96"/>
      <c r="O957" s="95"/>
      <c r="P957" s="96"/>
      <c r="Q957" s="98"/>
    </row>
    <row r="958" spans="1:17" ht="15.75" x14ac:dyDescent="0.2">
      <c r="A958" s="17"/>
      <c r="B958" s="18"/>
      <c r="C958" s="87" t="str">
        <f>IF(B958="","",
IF(M958=$H$5,IFERROR(VLOOKUP(B958,'Baremos actuales'!A:E,5,FALSE),"No encontrado. Revisar código, fecha ejecución y/o contrato."),
IF(M958=$H$4,IFERROR(VLOOKUP(B958,'Baremos anteriores'!A:E,5,FALSE),"No encontrado. Revisar código, fecha ejecución y/o contrato."),
IF(M958=$H$3,IFERROR(VLOOKUP(B958,#REF!,5,FALSE),"No encontrado. Revisar código, fecha ejecución y/o contrato."),
IF(D958="","Código no encontrado",
IF(D958="ERROR","No encontrado. Revisar Código, fecha de ejecución y/o contrato.",
IF(D958="MATE",
IF(C957="DESCRIPCION","NO SE PUEDE COMENZAR SIN CÓDIGO DE TAREA",
IF(C957="","FALTA CÓDIGO DE TAREA",
CONCATENATE("          ",VLOOKUP(B958,'Maestro Materiales'!A:C,3,FALSE)))),IFERROR(VLOOKUP(B958,#REF!,5,FALSE),"No encontrado. Revisar código, fecha ejecución y/o contrato."))))))))</f>
        <v/>
      </c>
      <c r="D958" s="88" t="str">
        <f>IF(B958="","",
IFERROR(VLOOKUP(B958,'Maestro Materiales'!A:C,2,FALSE),
IFERROR(VLOOKUP(B958,'Baremos actuales'!A:B,2,FALSE),
IFERROR(VLOOKUP(B958,'Baremos anteriores'!A:B,2,FALSE),
""))))</f>
        <v/>
      </c>
      <c r="E958" s="9"/>
      <c r="F958" s="89" t="str">
        <f>IF(D958="MATE",
IF(E958="","¿Unidades?",""),
IF(D958="",IF(E958="","","¿Código?"),
IF(E958="","¿Unidades?",
IF(D958="TARE",
IF(M958=$H$3,IFERROR(VLOOKUP(B958,'Baremos actuales'!A:C,3,FALSE),0),
IF(M958=$H$4,IFERROR(VLOOKUP(B958,'Baremos anteriores'!A:C,3,FALSE),0),0))))))</f>
        <v/>
      </c>
      <c r="G958" s="7"/>
      <c r="H958" s="8"/>
      <c r="I958" s="8"/>
      <c r="J958" s="78" t="str">
        <f>IF($D958="","",
IF($E958="","",
IF($D958="MATE","",
IF(VLOOKUP($B958,'Baremos actuales'!A:D,4,FALSE)=J$9,$E958*$F958,IF(VLOOKUP($B958,'Baremos anteriores'!A:D,4,FALSE)="Sin Definir",$E958*$F958,"")))))</f>
        <v/>
      </c>
      <c r="K958" s="79" t="str">
        <f>IF($D958="","",
IF($E958="","",
IF($D958="MATE","",
IF(VLOOKUP($B958,'Baremos actuales'!$A:$D,4,FALSE)=K$9,$E958*$F958,IF(VLOOKUP($B958,'Baremos anteriores'!$A:$D,4,FALSE)="Desmonte",$E958*$F958,"")))))</f>
        <v/>
      </c>
      <c r="L958" s="80" t="str">
        <f>IF($D958="","",
IF($E958="","",
IF($D958="MATE","",
IF(VLOOKUP($B958,'Baremos actuales'!$A:$D,4,FALSE)=L$9,$E958*$F958,""))))</f>
        <v/>
      </c>
      <c r="M958" s="91" t="str">
        <f t="shared" si="14"/>
        <v/>
      </c>
      <c r="N958" s="96"/>
      <c r="O958" s="95"/>
      <c r="P958" s="96"/>
      <c r="Q958" s="98"/>
    </row>
    <row r="959" spans="1:17" ht="15.75" x14ac:dyDescent="0.2">
      <c r="A959" s="17"/>
      <c r="B959" s="18"/>
      <c r="C959" s="87" t="str">
        <f>IF(B959="","",
IF(M959=$H$5,IFERROR(VLOOKUP(B959,'Baremos actuales'!A:E,5,FALSE),"No encontrado. Revisar código, fecha ejecución y/o contrato."),
IF(M959=$H$4,IFERROR(VLOOKUP(B959,'Baremos anteriores'!A:E,5,FALSE),"No encontrado. Revisar código, fecha ejecución y/o contrato."),
IF(M959=$H$3,IFERROR(VLOOKUP(B959,#REF!,5,FALSE),"No encontrado. Revisar código, fecha ejecución y/o contrato."),
IF(D959="","Código no encontrado",
IF(D959="ERROR","No encontrado. Revisar Código, fecha de ejecución y/o contrato.",
IF(D959="MATE",
IF(C958="DESCRIPCION","NO SE PUEDE COMENZAR SIN CÓDIGO DE TAREA",
IF(C958="","FALTA CÓDIGO DE TAREA",
CONCATENATE("          ",VLOOKUP(B959,'Maestro Materiales'!A:C,3,FALSE)))),IFERROR(VLOOKUP(B959,#REF!,5,FALSE),"No encontrado. Revisar código, fecha ejecución y/o contrato."))))))))</f>
        <v/>
      </c>
      <c r="D959" s="88" t="str">
        <f>IF(B959="","",
IFERROR(VLOOKUP(B959,'Maestro Materiales'!A:C,2,FALSE),
IFERROR(VLOOKUP(B959,'Baremos actuales'!A:B,2,FALSE),
IFERROR(VLOOKUP(B959,'Baremos anteriores'!A:B,2,FALSE),
""))))</f>
        <v/>
      </c>
      <c r="E959" s="9"/>
      <c r="F959" s="89" t="str">
        <f>IF(D959="MATE",
IF(E959="","¿Unidades?",""),
IF(D959="",IF(E959="","","¿Código?"),
IF(E959="","¿Unidades?",
IF(D959="TARE",
IF(M959=$H$3,IFERROR(VLOOKUP(B959,'Baremos actuales'!A:C,3,FALSE),0),
IF(M959=$H$4,IFERROR(VLOOKUP(B959,'Baremos anteriores'!A:C,3,FALSE),0),0))))))</f>
        <v/>
      </c>
      <c r="G959" s="7"/>
      <c r="H959" s="8"/>
      <c r="I959" s="8"/>
      <c r="J959" s="78" t="str">
        <f>IF($D959="","",
IF($E959="","",
IF($D959="MATE","",
IF(VLOOKUP($B959,'Baremos actuales'!A:D,4,FALSE)=J$9,$E959*$F959,IF(VLOOKUP($B959,'Baremos anteriores'!A:D,4,FALSE)="Sin Definir",$E959*$F959,"")))))</f>
        <v/>
      </c>
      <c r="K959" s="79" t="str">
        <f>IF($D959="","",
IF($E959="","",
IF($D959="MATE","",
IF(VLOOKUP($B959,'Baremos actuales'!$A:$D,4,FALSE)=K$9,$E959*$F959,IF(VLOOKUP($B959,'Baremos anteriores'!$A:$D,4,FALSE)="Desmonte",$E959*$F959,"")))))</f>
        <v/>
      </c>
      <c r="L959" s="80" t="str">
        <f>IF($D959="","",
IF($E959="","",
IF($D959="MATE","",
IF(VLOOKUP($B959,'Baremos actuales'!$A:$D,4,FALSE)=L$9,$E959*$F959,""))))</f>
        <v/>
      </c>
      <c r="M959" s="91" t="str">
        <f t="shared" si="14"/>
        <v/>
      </c>
      <c r="N959" s="96"/>
      <c r="O959" s="95"/>
      <c r="P959" s="96"/>
      <c r="Q959" s="98"/>
    </row>
    <row r="960" spans="1:17" ht="15.75" x14ac:dyDescent="0.2">
      <c r="A960" s="17"/>
      <c r="B960" s="18"/>
      <c r="C960" s="87" t="str">
        <f>IF(B960="","",
IF(M960=$H$5,IFERROR(VLOOKUP(B960,'Baremos actuales'!A:E,5,FALSE),"No encontrado. Revisar código, fecha ejecución y/o contrato."),
IF(M960=$H$4,IFERROR(VLOOKUP(B960,'Baremos anteriores'!A:E,5,FALSE),"No encontrado. Revisar código, fecha ejecución y/o contrato."),
IF(M960=$H$3,IFERROR(VLOOKUP(B960,#REF!,5,FALSE),"No encontrado. Revisar código, fecha ejecución y/o contrato."),
IF(D960="","Código no encontrado",
IF(D960="ERROR","No encontrado. Revisar Código, fecha de ejecución y/o contrato.",
IF(D960="MATE",
IF(C959="DESCRIPCION","NO SE PUEDE COMENZAR SIN CÓDIGO DE TAREA",
IF(C959="","FALTA CÓDIGO DE TAREA",
CONCATENATE("          ",VLOOKUP(B960,'Maestro Materiales'!A:C,3,FALSE)))),IFERROR(VLOOKUP(B960,#REF!,5,FALSE),"No encontrado. Revisar código, fecha ejecución y/o contrato."))))))))</f>
        <v/>
      </c>
      <c r="D960" s="88" t="str">
        <f>IF(B960="","",
IFERROR(VLOOKUP(B960,'Maestro Materiales'!A:C,2,FALSE),
IFERROR(VLOOKUP(B960,'Baremos actuales'!A:B,2,FALSE),
IFERROR(VLOOKUP(B960,'Baremos anteriores'!A:B,2,FALSE),
""))))</f>
        <v/>
      </c>
      <c r="E960" s="9"/>
      <c r="F960" s="89" t="str">
        <f>IF(D960="MATE",
IF(E960="","¿Unidades?",""),
IF(D960="",IF(E960="","","¿Código?"),
IF(E960="","¿Unidades?",
IF(D960="TARE",
IF(M960=$H$3,IFERROR(VLOOKUP(B960,'Baremos actuales'!A:C,3,FALSE),0),
IF(M960=$H$4,IFERROR(VLOOKUP(B960,'Baremos anteriores'!A:C,3,FALSE),0),0))))))</f>
        <v/>
      </c>
      <c r="G960" s="7"/>
      <c r="H960" s="8"/>
      <c r="I960" s="8"/>
      <c r="J960" s="78" t="str">
        <f>IF($D960="","",
IF($E960="","",
IF($D960="MATE","",
IF(VLOOKUP($B960,'Baremos actuales'!A:D,4,FALSE)=J$9,$E960*$F960,IF(VLOOKUP($B960,'Baremos anteriores'!A:D,4,FALSE)="Sin Definir",$E960*$F960,"")))))</f>
        <v/>
      </c>
      <c r="K960" s="79" t="str">
        <f>IF($D960="","",
IF($E960="","",
IF($D960="MATE","",
IF(VLOOKUP($B960,'Baremos actuales'!$A:$D,4,FALSE)=K$9,$E960*$F960,IF(VLOOKUP($B960,'Baremos anteriores'!$A:$D,4,FALSE)="Desmonte",$E960*$F960,"")))))</f>
        <v/>
      </c>
      <c r="L960" s="80" t="str">
        <f>IF($D960="","",
IF($E960="","",
IF($D960="MATE","",
IF(VLOOKUP($B960,'Baremos actuales'!$A:$D,4,FALSE)=L$9,$E960*$F960,""))))</f>
        <v/>
      </c>
      <c r="M960" s="91" t="str">
        <f t="shared" si="14"/>
        <v/>
      </c>
      <c r="N960" s="96"/>
      <c r="O960" s="95"/>
      <c r="P960" s="96"/>
      <c r="Q960" s="98"/>
    </row>
    <row r="961" spans="1:17" ht="15.75" x14ac:dyDescent="0.2">
      <c r="A961" s="17"/>
      <c r="B961" s="18"/>
      <c r="C961" s="87" t="str">
        <f>IF(B961="","",
IF(M961=$H$5,IFERROR(VLOOKUP(B961,'Baremos actuales'!A:E,5,FALSE),"No encontrado. Revisar código, fecha ejecución y/o contrato."),
IF(M961=$H$4,IFERROR(VLOOKUP(B961,'Baremos anteriores'!A:E,5,FALSE),"No encontrado. Revisar código, fecha ejecución y/o contrato."),
IF(M961=$H$3,IFERROR(VLOOKUP(B961,#REF!,5,FALSE),"No encontrado. Revisar código, fecha ejecución y/o contrato."),
IF(D961="","Código no encontrado",
IF(D961="ERROR","No encontrado. Revisar Código, fecha de ejecución y/o contrato.",
IF(D961="MATE",
IF(C960="DESCRIPCION","NO SE PUEDE COMENZAR SIN CÓDIGO DE TAREA",
IF(C960="","FALTA CÓDIGO DE TAREA",
CONCATENATE("          ",VLOOKUP(B961,'Maestro Materiales'!A:C,3,FALSE)))),IFERROR(VLOOKUP(B961,#REF!,5,FALSE),"No encontrado. Revisar código, fecha ejecución y/o contrato."))))))))</f>
        <v/>
      </c>
      <c r="D961" s="88" t="str">
        <f>IF(B961="","",
IFERROR(VLOOKUP(B961,'Maestro Materiales'!A:C,2,FALSE),
IFERROR(VLOOKUP(B961,'Baremos actuales'!A:B,2,FALSE),
IFERROR(VLOOKUP(B961,'Baremos anteriores'!A:B,2,FALSE),
""))))</f>
        <v/>
      </c>
      <c r="E961" s="9"/>
      <c r="F961" s="89" t="str">
        <f>IF(D961="MATE",
IF(E961="","¿Unidades?",""),
IF(D961="",IF(E961="","","¿Código?"),
IF(E961="","¿Unidades?",
IF(D961="TARE",
IF(M961=$H$3,IFERROR(VLOOKUP(B961,'Baremos actuales'!A:C,3,FALSE),0),
IF(M961=$H$4,IFERROR(VLOOKUP(B961,'Baremos anteriores'!A:C,3,FALSE),0),0))))))</f>
        <v/>
      </c>
      <c r="G961" s="7"/>
      <c r="H961" s="8"/>
      <c r="I961" s="8"/>
      <c r="J961" s="78" t="str">
        <f>IF($D961="","",
IF($E961="","",
IF($D961="MATE","",
IF(VLOOKUP($B961,'Baremos actuales'!A:D,4,FALSE)=J$9,$E961*$F961,IF(VLOOKUP($B961,'Baremos anteriores'!A:D,4,FALSE)="Sin Definir",$E961*$F961,"")))))</f>
        <v/>
      </c>
      <c r="K961" s="79" t="str">
        <f>IF($D961="","",
IF($E961="","",
IF($D961="MATE","",
IF(VLOOKUP($B961,'Baremos actuales'!$A:$D,4,FALSE)=K$9,$E961*$F961,IF(VLOOKUP($B961,'Baremos anteriores'!$A:$D,4,FALSE)="Desmonte",$E961*$F961,"")))))</f>
        <v/>
      </c>
      <c r="L961" s="80" t="str">
        <f>IF($D961="","",
IF($E961="","",
IF($D961="MATE","",
IF(VLOOKUP($B961,'Baremos actuales'!$A:$D,4,FALSE)=L$9,$E961*$F961,""))))</f>
        <v/>
      </c>
      <c r="M961" s="91" t="str">
        <f t="shared" si="14"/>
        <v/>
      </c>
      <c r="N961" s="96"/>
      <c r="O961" s="95"/>
      <c r="P961" s="96"/>
      <c r="Q961" s="98"/>
    </row>
    <row r="962" spans="1:17" ht="15.75" x14ac:dyDescent="0.2">
      <c r="A962" s="17"/>
      <c r="B962" s="18"/>
      <c r="C962" s="87" t="str">
        <f>IF(B962="","",
IF(M962=$H$5,IFERROR(VLOOKUP(B962,'Baremos actuales'!A:E,5,FALSE),"No encontrado. Revisar código, fecha ejecución y/o contrato."),
IF(M962=$H$4,IFERROR(VLOOKUP(B962,'Baremos anteriores'!A:E,5,FALSE),"No encontrado. Revisar código, fecha ejecución y/o contrato."),
IF(M962=$H$3,IFERROR(VLOOKUP(B962,#REF!,5,FALSE),"No encontrado. Revisar código, fecha ejecución y/o contrato."),
IF(D962="","Código no encontrado",
IF(D962="ERROR","No encontrado. Revisar Código, fecha de ejecución y/o contrato.",
IF(D962="MATE",
IF(C961="DESCRIPCION","NO SE PUEDE COMENZAR SIN CÓDIGO DE TAREA",
IF(C961="","FALTA CÓDIGO DE TAREA",
CONCATENATE("          ",VLOOKUP(B962,'Maestro Materiales'!A:C,3,FALSE)))),IFERROR(VLOOKUP(B962,#REF!,5,FALSE),"No encontrado. Revisar código, fecha ejecución y/o contrato."))))))))</f>
        <v/>
      </c>
      <c r="D962" s="88" t="str">
        <f>IF(B962="","",
IFERROR(VLOOKUP(B962,'Maestro Materiales'!A:C,2,FALSE),
IFERROR(VLOOKUP(B962,'Baremos actuales'!A:B,2,FALSE),
IFERROR(VLOOKUP(B962,'Baremos anteriores'!A:B,2,FALSE),
""))))</f>
        <v/>
      </c>
      <c r="E962" s="9"/>
      <c r="F962" s="89" t="str">
        <f>IF(D962="MATE",
IF(E962="","¿Unidades?",""),
IF(D962="",IF(E962="","","¿Código?"),
IF(E962="","¿Unidades?",
IF(D962="TARE",
IF(M962=$H$3,IFERROR(VLOOKUP(B962,'Baremos actuales'!A:C,3,FALSE),0),
IF(M962=$H$4,IFERROR(VLOOKUP(B962,'Baremos anteriores'!A:C,3,FALSE),0),0))))))</f>
        <v/>
      </c>
      <c r="G962" s="7"/>
      <c r="H962" s="8"/>
      <c r="I962" s="8"/>
      <c r="J962" s="78" t="str">
        <f>IF($D962="","",
IF($E962="","",
IF($D962="MATE","",
IF(VLOOKUP($B962,'Baremos actuales'!A:D,4,FALSE)=J$9,$E962*$F962,IF(VLOOKUP($B962,'Baremos anteriores'!A:D,4,FALSE)="Sin Definir",$E962*$F962,"")))))</f>
        <v/>
      </c>
      <c r="K962" s="79" t="str">
        <f>IF($D962="","",
IF($E962="","",
IF($D962="MATE","",
IF(VLOOKUP($B962,'Baremos actuales'!$A:$D,4,FALSE)=K$9,$E962*$F962,IF(VLOOKUP($B962,'Baremos anteriores'!$A:$D,4,FALSE)="Desmonte",$E962*$F962,"")))))</f>
        <v/>
      </c>
      <c r="L962" s="80" t="str">
        <f>IF($D962="","",
IF($E962="","",
IF($D962="MATE","",
IF(VLOOKUP($B962,'Baremos actuales'!$A:$D,4,FALSE)=L$9,$E962*$F962,""))))</f>
        <v/>
      </c>
      <c r="M962" s="91" t="str">
        <f t="shared" si="14"/>
        <v/>
      </c>
      <c r="N962" s="96"/>
      <c r="O962" s="95"/>
      <c r="P962" s="96"/>
      <c r="Q962" s="98"/>
    </row>
    <row r="963" spans="1:17" ht="15.75" x14ac:dyDescent="0.2">
      <c r="A963" s="17"/>
      <c r="B963" s="18"/>
      <c r="C963" s="87" t="str">
        <f>IF(B963="","",
IF(M963=$H$5,IFERROR(VLOOKUP(B963,'Baremos actuales'!A:E,5,FALSE),"No encontrado. Revisar código, fecha ejecución y/o contrato."),
IF(M963=$H$4,IFERROR(VLOOKUP(B963,'Baremos anteriores'!A:E,5,FALSE),"No encontrado. Revisar código, fecha ejecución y/o contrato."),
IF(M963=$H$3,IFERROR(VLOOKUP(B963,#REF!,5,FALSE),"No encontrado. Revisar código, fecha ejecución y/o contrato."),
IF(D963="","Código no encontrado",
IF(D963="ERROR","No encontrado. Revisar Código, fecha de ejecución y/o contrato.",
IF(D963="MATE",
IF(C962="DESCRIPCION","NO SE PUEDE COMENZAR SIN CÓDIGO DE TAREA",
IF(C962="","FALTA CÓDIGO DE TAREA",
CONCATENATE("          ",VLOOKUP(B963,'Maestro Materiales'!A:C,3,FALSE)))),IFERROR(VLOOKUP(B963,#REF!,5,FALSE),"No encontrado. Revisar código, fecha ejecución y/o contrato."))))))))</f>
        <v/>
      </c>
      <c r="D963" s="88" t="str">
        <f>IF(B963="","",
IFERROR(VLOOKUP(B963,'Maestro Materiales'!A:C,2,FALSE),
IFERROR(VLOOKUP(B963,'Baremos actuales'!A:B,2,FALSE),
IFERROR(VLOOKUP(B963,'Baremos anteriores'!A:B,2,FALSE),
""))))</f>
        <v/>
      </c>
      <c r="E963" s="9"/>
      <c r="F963" s="89" t="str">
        <f>IF(D963="MATE",
IF(E963="","¿Unidades?",""),
IF(D963="",IF(E963="","","¿Código?"),
IF(E963="","¿Unidades?",
IF(D963="TARE",
IF(M963=$H$3,IFERROR(VLOOKUP(B963,'Baremos actuales'!A:C,3,FALSE),0),
IF(M963=$H$4,IFERROR(VLOOKUP(B963,'Baremos anteriores'!A:C,3,FALSE),0),0))))))</f>
        <v/>
      </c>
      <c r="G963" s="7"/>
      <c r="H963" s="8"/>
      <c r="I963" s="8"/>
      <c r="J963" s="78" t="str">
        <f>IF($D963="","",
IF($E963="","",
IF($D963="MATE","",
IF(VLOOKUP($B963,'Baremos actuales'!A:D,4,FALSE)=J$9,$E963*$F963,IF(VLOOKUP($B963,'Baremos anteriores'!A:D,4,FALSE)="Sin Definir",$E963*$F963,"")))))</f>
        <v/>
      </c>
      <c r="K963" s="79" t="str">
        <f>IF($D963="","",
IF($E963="","",
IF($D963="MATE","",
IF(VLOOKUP($B963,'Baremos actuales'!$A:$D,4,FALSE)=K$9,$E963*$F963,IF(VLOOKUP($B963,'Baremos anteriores'!$A:$D,4,FALSE)="Desmonte",$E963*$F963,"")))))</f>
        <v/>
      </c>
      <c r="L963" s="80" t="str">
        <f>IF($D963="","",
IF($E963="","",
IF($D963="MATE","",
IF(VLOOKUP($B963,'Baremos actuales'!$A:$D,4,FALSE)=L$9,$E963*$F963,""))))</f>
        <v/>
      </c>
      <c r="M963" s="91" t="str">
        <f t="shared" si="14"/>
        <v/>
      </c>
      <c r="N963" s="96"/>
      <c r="O963" s="95"/>
      <c r="P963" s="96"/>
      <c r="Q963" s="98"/>
    </row>
    <row r="964" spans="1:17" ht="15.75" x14ac:dyDescent="0.2">
      <c r="A964" s="17"/>
      <c r="B964" s="18"/>
      <c r="C964" s="87" t="str">
        <f>IF(B964="","",
IF(M964=$H$5,IFERROR(VLOOKUP(B964,'Baremos actuales'!A:E,5,FALSE),"No encontrado. Revisar código, fecha ejecución y/o contrato."),
IF(M964=$H$4,IFERROR(VLOOKUP(B964,'Baremos anteriores'!A:E,5,FALSE),"No encontrado. Revisar código, fecha ejecución y/o contrato."),
IF(M964=$H$3,IFERROR(VLOOKUP(B964,#REF!,5,FALSE),"No encontrado. Revisar código, fecha ejecución y/o contrato."),
IF(D964="","Código no encontrado",
IF(D964="ERROR","No encontrado. Revisar Código, fecha de ejecución y/o contrato.",
IF(D964="MATE",
IF(C963="DESCRIPCION","NO SE PUEDE COMENZAR SIN CÓDIGO DE TAREA",
IF(C963="","FALTA CÓDIGO DE TAREA",
CONCATENATE("          ",VLOOKUP(B964,'Maestro Materiales'!A:C,3,FALSE)))),IFERROR(VLOOKUP(B964,#REF!,5,FALSE),"No encontrado. Revisar código, fecha ejecución y/o contrato."))))))))</f>
        <v/>
      </c>
      <c r="D964" s="88" t="str">
        <f>IF(B964="","",
IFERROR(VLOOKUP(B964,'Maestro Materiales'!A:C,2,FALSE),
IFERROR(VLOOKUP(B964,'Baremos actuales'!A:B,2,FALSE),
IFERROR(VLOOKUP(B964,'Baremos anteriores'!A:B,2,FALSE),
""))))</f>
        <v/>
      </c>
      <c r="E964" s="9"/>
      <c r="F964" s="89" t="str">
        <f>IF(D964="MATE",
IF(E964="","¿Unidades?",""),
IF(D964="",IF(E964="","","¿Código?"),
IF(E964="","¿Unidades?",
IF(D964="TARE",
IF(M964=$H$3,IFERROR(VLOOKUP(B964,'Baremos actuales'!A:C,3,FALSE),0),
IF(M964=$H$4,IFERROR(VLOOKUP(B964,'Baremos anteriores'!A:C,3,FALSE),0),0))))))</f>
        <v/>
      </c>
      <c r="G964" s="7"/>
      <c r="H964" s="8"/>
      <c r="I964" s="8"/>
      <c r="J964" s="78" t="str">
        <f>IF($D964="","",
IF($E964="","",
IF($D964="MATE","",
IF(VLOOKUP($B964,'Baremos actuales'!A:D,4,FALSE)=J$9,$E964*$F964,IF(VLOOKUP($B964,'Baremos anteriores'!A:D,4,FALSE)="Sin Definir",$E964*$F964,"")))))</f>
        <v/>
      </c>
      <c r="K964" s="79" t="str">
        <f>IF($D964="","",
IF($E964="","",
IF($D964="MATE","",
IF(VLOOKUP($B964,'Baremos actuales'!$A:$D,4,FALSE)=K$9,$E964*$F964,IF(VLOOKUP($B964,'Baremos anteriores'!$A:$D,4,FALSE)="Desmonte",$E964*$F964,"")))))</f>
        <v/>
      </c>
      <c r="L964" s="80" t="str">
        <f>IF($D964="","",
IF($E964="","",
IF($D964="MATE","",
IF(VLOOKUP($B964,'Baremos actuales'!$A:$D,4,FALSE)=L$9,$E964*$F964,""))))</f>
        <v/>
      </c>
      <c r="M964" s="91" t="str">
        <f t="shared" si="14"/>
        <v/>
      </c>
      <c r="N964" s="96"/>
      <c r="O964" s="95"/>
      <c r="P964" s="96"/>
      <c r="Q964" s="98"/>
    </row>
    <row r="965" spans="1:17" ht="15.75" x14ac:dyDescent="0.2">
      <c r="A965" s="17"/>
      <c r="B965" s="18"/>
      <c r="C965" s="87" t="str">
        <f>IF(B965="","",
IF(M965=$H$5,IFERROR(VLOOKUP(B965,'Baremos actuales'!A:E,5,FALSE),"No encontrado. Revisar código, fecha ejecución y/o contrato."),
IF(M965=$H$4,IFERROR(VLOOKUP(B965,'Baremos anteriores'!A:E,5,FALSE),"No encontrado. Revisar código, fecha ejecución y/o contrato."),
IF(M965=$H$3,IFERROR(VLOOKUP(B965,#REF!,5,FALSE),"No encontrado. Revisar código, fecha ejecución y/o contrato."),
IF(D965="","Código no encontrado",
IF(D965="ERROR","No encontrado. Revisar Código, fecha de ejecución y/o contrato.",
IF(D965="MATE",
IF(C964="DESCRIPCION","NO SE PUEDE COMENZAR SIN CÓDIGO DE TAREA",
IF(C964="","FALTA CÓDIGO DE TAREA",
CONCATENATE("          ",VLOOKUP(B965,'Maestro Materiales'!A:C,3,FALSE)))),IFERROR(VLOOKUP(B965,#REF!,5,FALSE),"No encontrado. Revisar código, fecha ejecución y/o contrato."))))))))</f>
        <v/>
      </c>
      <c r="D965" s="88" t="str">
        <f>IF(B965="","",
IFERROR(VLOOKUP(B965,'Maestro Materiales'!A:C,2,FALSE),
IFERROR(VLOOKUP(B965,'Baremos actuales'!A:B,2,FALSE),
IFERROR(VLOOKUP(B965,'Baremos anteriores'!A:B,2,FALSE),
""))))</f>
        <v/>
      </c>
      <c r="E965" s="9"/>
      <c r="F965" s="89" t="str">
        <f>IF(D965="MATE",
IF(E965="","¿Unidades?",""),
IF(D965="",IF(E965="","","¿Código?"),
IF(E965="","¿Unidades?",
IF(D965="TARE",
IF(M965=$H$3,IFERROR(VLOOKUP(B965,'Baremos actuales'!A:C,3,FALSE),0),
IF(M965=$H$4,IFERROR(VLOOKUP(B965,'Baremos anteriores'!A:C,3,FALSE),0),0))))))</f>
        <v/>
      </c>
      <c r="G965" s="7"/>
      <c r="H965" s="8"/>
      <c r="I965" s="8"/>
      <c r="J965" s="78" t="str">
        <f>IF($D965="","",
IF($E965="","",
IF($D965="MATE","",
IF(VLOOKUP($B965,'Baremos actuales'!A:D,4,FALSE)=J$9,$E965*$F965,IF(VLOOKUP($B965,'Baremos anteriores'!A:D,4,FALSE)="Sin Definir",$E965*$F965,"")))))</f>
        <v/>
      </c>
      <c r="K965" s="79" t="str">
        <f>IF($D965="","",
IF($E965="","",
IF($D965="MATE","",
IF(VLOOKUP($B965,'Baremos actuales'!$A:$D,4,FALSE)=K$9,$E965*$F965,IF(VLOOKUP($B965,'Baremos anteriores'!$A:$D,4,FALSE)="Desmonte",$E965*$F965,"")))))</f>
        <v/>
      </c>
      <c r="L965" s="80" t="str">
        <f>IF($D965="","",
IF($E965="","",
IF($D965="MATE","",
IF(VLOOKUP($B965,'Baremos actuales'!$A:$D,4,FALSE)=L$9,$E965*$F965,""))))</f>
        <v/>
      </c>
      <c r="M965" s="91" t="str">
        <f t="shared" si="14"/>
        <v/>
      </c>
      <c r="N965" s="96"/>
      <c r="O965" s="95"/>
      <c r="P965" s="96"/>
      <c r="Q965" s="98"/>
    </row>
    <row r="966" spans="1:17" ht="15.75" x14ac:dyDescent="0.2">
      <c r="A966" s="17"/>
      <c r="B966" s="18"/>
      <c r="C966" s="87" t="str">
        <f>IF(B966="","",
IF(M966=$H$5,IFERROR(VLOOKUP(B966,'Baremos actuales'!A:E,5,FALSE),"No encontrado. Revisar código, fecha ejecución y/o contrato."),
IF(M966=$H$4,IFERROR(VLOOKUP(B966,'Baremos anteriores'!A:E,5,FALSE),"No encontrado. Revisar código, fecha ejecución y/o contrato."),
IF(M966=$H$3,IFERROR(VLOOKUP(B966,#REF!,5,FALSE),"No encontrado. Revisar código, fecha ejecución y/o contrato."),
IF(D966="","Código no encontrado",
IF(D966="ERROR","No encontrado. Revisar Código, fecha de ejecución y/o contrato.",
IF(D966="MATE",
IF(C965="DESCRIPCION","NO SE PUEDE COMENZAR SIN CÓDIGO DE TAREA",
IF(C965="","FALTA CÓDIGO DE TAREA",
CONCATENATE("          ",VLOOKUP(B966,'Maestro Materiales'!A:C,3,FALSE)))),IFERROR(VLOOKUP(B966,#REF!,5,FALSE),"No encontrado. Revisar código, fecha ejecución y/o contrato."))))))))</f>
        <v/>
      </c>
      <c r="D966" s="88" t="str">
        <f>IF(B966="","",
IFERROR(VLOOKUP(B966,'Maestro Materiales'!A:C,2,FALSE),
IFERROR(VLOOKUP(B966,'Baremos actuales'!A:B,2,FALSE),
IFERROR(VLOOKUP(B966,'Baremos anteriores'!A:B,2,FALSE),
""))))</f>
        <v/>
      </c>
      <c r="E966" s="9"/>
      <c r="F966" s="89" t="str">
        <f>IF(D966="MATE",
IF(E966="","¿Unidades?",""),
IF(D966="",IF(E966="","","¿Código?"),
IF(E966="","¿Unidades?",
IF(D966="TARE",
IF(M966=$H$3,IFERROR(VLOOKUP(B966,'Baremos actuales'!A:C,3,FALSE),0),
IF(M966=$H$4,IFERROR(VLOOKUP(B966,'Baremos anteriores'!A:C,3,FALSE),0),0))))))</f>
        <v/>
      </c>
      <c r="G966" s="7"/>
      <c r="H966" s="8"/>
      <c r="I966" s="8"/>
      <c r="J966" s="78" t="str">
        <f>IF($D966="","",
IF($E966="","",
IF($D966="MATE","",
IF(VLOOKUP($B966,'Baremos actuales'!A:D,4,FALSE)=J$9,$E966*$F966,IF(VLOOKUP($B966,'Baremos anteriores'!A:D,4,FALSE)="Sin Definir",$E966*$F966,"")))))</f>
        <v/>
      </c>
      <c r="K966" s="79" t="str">
        <f>IF($D966="","",
IF($E966="","",
IF($D966="MATE","",
IF(VLOOKUP($B966,'Baremos actuales'!$A:$D,4,FALSE)=K$9,$E966*$F966,IF(VLOOKUP($B966,'Baremos anteriores'!$A:$D,4,FALSE)="Desmonte",$E966*$F966,"")))))</f>
        <v/>
      </c>
      <c r="L966" s="80" t="str">
        <f>IF($D966="","",
IF($E966="","",
IF($D966="MATE","",
IF(VLOOKUP($B966,'Baremos actuales'!$A:$D,4,FALSE)=L$9,$E966*$F966,""))))</f>
        <v/>
      </c>
      <c r="M966" s="91" t="str">
        <f t="shared" si="14"/>
        <v/>
      </c>
      <c r="N966" s="96"/>
      <c r="O966" s="95"/>
      <c r="P966" s="96"/>
      <c r="Q966" s="98"/>
    </row>
    <row r="967" spans="1:17" ht="15.75" x14ac:dyDescent="0.2">
      <c r="A967" s="17"/>
      <c r="B967" s="18"/>
      <c r="C967" s="87" t="str">
        <f>IF(B967="","",
IF(M967=$H$5,IFERROR(VLOOKUP(B967,'Baremos actuales'!A:E,5,FALSE),"No encontrado. Revisar código, fecha ejecución y/o contrato."),
IF(M967=$H$4,IFERROR(VLOOKUP(B967,'Baremos anteriores'!A:E,5,FALSE),"No encontrado. Revisar código, fecha ejecución y/o contrato."),
IF(M967=$H$3,IFERROR(VLOOKUP(B967,#REF!,5,FALSE),"No encontrado. Revisar código, fecha ejecución y/o contrato."),
IF(D967="","Código no encontrado",
IF(D967="ERROR","No encontrado. Revisar Código, fecha de ejecución y/o contrato.",
IF(D967="MATE",
IF(C966="DESCRIPCION","NO SE PUEDE COMENZAR SIN CÓDIGO DE TAREA",
IF(C966="","FALTA CÓDIGO DE TAREA",
CONCATENATE("          ",VLOOKUP(B967,'Maestro Materiales'!A:C,3,FALSE)))),IFERROR(VLOOKUP(B967,#REF!,5,FALSE),"No encontrado. Revisar código, fecha ejecución y/o contrato."))))))))</f>
        <v/>
      </c>
      <c r="D967" s="88" t="str">
        <f>IF(B967="","",
IFERROR(VLOOKUP(B967,'Maestro Materiales'!A:C,2,FALSE),
IFERROR(VLOOKUP(B967,'Baremos actuales'!A:B,2,FALSE),
IFERROR(VLOOKUP(B967,'Baremos anteriores'!A:B,2,FALSE),
""))))</f>
        <v/>
      </c>
      <c r="E967" s="9"/>
      <c r="F967" s="89" t="str">
        <f>IF(D967="MATE",
IF(E967="","¿Unidades?",""),
IF(D967="",IF(E967="","","¿Código?"),
IF(E967="","¿Unidades?",
IF(D967="TARE",
IF(M967=$H$3,IFERROR(VLOOKUP(B967,'Baremos actuales'!A:C,3,FALSE),0),
IF(M967=$H$4,IFERROR(VLOOKUP(B967,'Baremos anteriores'!A:C,3,FALSE),0),0))))))</f>
        <v/>
      </c>
      <c r="G967" s="7"/>
      <c r="H967" s="8"/>
      <c r="I967" s="8"/>
      <c r="J967" s="78" t="str">
        <f>IF($D967="","",
IF($E967="","",
IF($D967="MATE","",
IF(VLOOKUP($B967,'Baremos actuales'!A:D,4,FALSE)=J$9,$E967*$F967,IF(VLOOKUP($B967,'Baremos anteriores'!A:D,4,FALSE)="Sin Definir",$E967*$F967,"")))))</f>
        <v/>
      </c>
      <c r="K967" s="79" t="str">
        <f>IF($D967="","",
IF($E967="","",
IF($D967="MATE","",
IF(VLOOKUP($B967,'Baremos actuales'!$A:$D,4,FALSE)=K$9,$E967*$F967,IF(VLOOKUP($B967,'Baremos anteriores'!$A:$D,4,FALSE)="Desmonte",$E967*$F967,"")))))</f>
        <v/>
      </c>
      <c r="L967" s="80" t="str">
        <f>IF($D967="","",
IF($E967="","",
IF($D967="MATE","",
IF(VLOOKUP($B967,'Baremos actuales'!$A:$D,4,FALSE)=L$9,$E967*$F967,""))))</f>
        <v/>
      </c>
      <c r="M967" s="91" t="str">
        <f t="shared" si="14"/>
        <v/>
      </c>
      <c r="N967" s="96"/>
      <c r="O967" s="95"/>
      <c r="P967" s="96"/>
      <c r="Q967" s="98"/>
    </row>
    <row r="968" spans="1:17" ht="15.75" x14ac:dyDescent="0.2">
      <c r="A968" s="17"/>
      <c r="B968" s="18"/>
      <c r="C968" s="87" t="str">
        <f>IF(B968="","",
IF(M968=$H$5,IFERROR(VLOOKUP(B968,'Baremos actuales'!A:E,5,FALSE),"No encontrado. Revisar código, fecha ejecución y/o contrato."),
IF(M968=$H$4,IFERROR(VLOOKUP(B968,'Baremos anteriores'!A:E,5,FALSE),"No encontrado. Revisar código, fecha ejecución y/o contrato."),
IF(M968=$H$3,IFERROR(VLOOKUP(B968,#REF!,5,FALSE),"No encontrado. Revisar código, fecha ejecución y/o contrato."),
IF(D968="","Código no encontrado",
IF(D968="ERROR","No encontrado. Revisar Código, fecha de ejecución y/o contrato.",
IF(D968="MATE",
IF(C967="DESCRIPCION","NO SE PUEDE COMENZAR SIN CÓDIGO DE TAREA",
IF(C967="","FALTA CÓDIGO DE TAREA",
CONCATENATE("          ",VLOOKUP(B968,'Maestro Materiales'!A:C,3,FALSE)))),IFERROR(VLOOKUP(B968,#REF!,5,FALSE),"No encontrado. Revisar código, fecha ejecución y/o contrato."))))))))</f>
        <v/>
      </c>
      <c r="D968" s="88" t="str">
        <f>IF(B968="","",
IFERROR(VLOOKUP(B968,'Maestro Materiales'!A:C,2,FALSE),
IFERROR(VLOOKUP(B968,'Baremos actuales'!A:B,2,FALSE),
IFERROR(VLOOKUP(B968,'Baremos anteriores'!A:B,2,FALSE),
""))))</f>
        <v/>
      </c>
      <c r="E968" s="9"/>
      <c r="F968" s="89" t="str">
        <f>IF(D968="MATE",
IF(E968="","¿Unidades?",""),
IF(D968="",IF(E968="","","¿Código?"),
IF(E968="","¿Unidades?",
IF(D968="TARE",
IF(M968=$H$3,IFERROR(VLOOKUP(B968,'Baremos actuales'!A:C,3,FALSE),0),
IF(M968=$H$4,IFERROR(VLOOKUP(B968,'Baremos anteriores'!A:C,3,FALSE),0),0))))))</f>
        <v/>
      </c>
      <c r="G968" s="7"/>
      <c r="H968" s="8"/>
      <c r="I968" s="8"/>
      <c r="J968" s="78" t="str">
        <f>IF($D968="","",
IF($E968="","",
IF($D968="MATE","",
IF(VLOOKUP($B968,'Baremos actuales'!A:D,4,FALSE)=J$9,$E968*$F968,IF(VLOOKUP($B968,'Baremos anteriores'!A:D,4,FALSE)="Sin Definir",$E968*$F968,"")))))</f>
        <v/>
      </c>
      <c r="K968" s="79" t="str">
        <f>IF($D968="","",
IF($E968="","",
IF($D968="MATE","",
IF(VLOOKUP($B968,'Baremos actuales'!$A:$D,4,FALSE)=K$9,$E968*$F968,IF(VLOOKUP($B968,'Baremos anteriores'!$A:$D,4,FALSE)="Desmonte",$E968*$F968,"")))))</f>
        <v/>
      </c>
      <c r="L968" s="80" t="str">
        <f>IF($D968="","",
IF($E968="","",
IF($D968="MATE","",
IF(VLOOKUP($B968,'Baremos actuales'!$A:$D,4,FALSE)=L$9,$E968*$F968,""))))</f>
        <v/>
      </c>
      <c r="M968" s="91" t="str">
        <f t="shared" si="14"/>
        <v/>
      </c>
      <c r="N968" s="96"/>
      <c r="O968" s="95"/>
      <c r="P968" s="96"/>
      <c r="Q968" s="98"/>
    </row>
    <row r="969" spans="1:17" ht="15.75" x14ac:dyDescent="0.2">
      <c r="A969" s="17"/>
      <c r="B969" s="18"/>
      <c r="C969" s="87" t="str">
        <f>IF(B969="","",
IF(M969=$H$5,IFERROR(VLOOKUP(B969,'Baremos actuales'!A:E,5,FALSE),"No encontrado. Revisar código, fecha ejecución y/o contrato."),
IF(M969=$H$4,IFERROR(VLOOKUP(B969,'Baremos anteriores'!A:E,5,FALSE),"No encontrado. Revisar código, fecha ejecución y/o contrato."),
IF(M969=$H$3,IFERROR(VLOOKUP(B969,#REF!,5,FALSE),"No encontrado. Revisar código, fecha ejecución y/o contrato."),
IF(D969="","Código no encontrado",
IF(D969="ERROR","No encontrado. Revisar Código, fecha de ejecución y/o contrato.",
IF(D969="MATE",
IF(C968="DESCRIPCION","NO SE PUEDE COMENZAR SIN CÓDIGO DE TAREA",
IF(C968="","FALTA CÓDIGO DE TAREA",
CONCATENATE("          ",VLOOKUP(B969,'Maestro Materiales'!A:C,3,FALSE)))),IFERROR(VLOOKUP(B969,#REF!,5,FALSE),"No encontrado. Revisar código, fecha ejecución y/o contrato."))))))))</f>
        <v/>
      </c>
      <c r="D969" s="88" t="str">
        <f>IF(B969="","",
IFERROR(VLOOKUP(B969,'Maestro Materiales'!A:C,2,FALSE),
IFERROR(VLOOKUP(B969,'Baremos actuales'!A:B,2,FALSE),
IFERROR(VLOOKUP(B969,'Baremos anteriores'!A:B,2,FALSE),
""))))</f>
        <v/>
      </c>
      <c r="E969" s="9"/>
      <c r="F969" s="89" t="str">
        <f>IF(D969="MATE",
IF(E969="","¿Unidades?",""),
IF(D969="",IF(E969="","","¿Código?"),
IF(E969="","¿Unidades?",
IF(D969="TARE",
IF(M969=$H$3,IFERROR(VLOOKUP(B969,'Baremos actuales'!A:C,3,FALSE),0),
IF(M969=$H$4,IFERROR(VLOOKUP(B969,'Baremos anteriores'!A:C,3,FALSE),0),0))))))</f>
        <v/>
      </c>
      <c r="G969" s="7"/>
      <c r="H969" s="8"/>
      <c r="I969" s="8"/>
      <c r="J969" s="78" t="str">
        <f>IF($D969="","",
IF($E969="","",
IF($D969="MATE","",
IF(VLOOKUP($B969,'Baremos actuales'!A:D,4,FALSE)=J$9,$E969*$F969,IF(VLOOKUP($B969,'Baremos anteriores'!A:D,4,FALSE)="Sin Definir",$E969*$F969,"")))))</f>
        <v/>
      </c>
      <c r="K969" s="79" t="str">
        <f>IF($D969="","",
IF($E969="","",
IF($D969="MATE","",
IF(VLOOKUP($B969,'Baremos actuales'!$A:$D,4,FALSE)=K$9,$E969*$F969,IF(VLOOKUP($B969,'Baremos anteriores'!$A:$D,4,FALSE)="Desmonte",$E969*$F969,"")))))</f>
        <v/>
      </c>
      <c r="L969" s="80" t="str">
        <f>IF($D969="","",
IF($E969="","",
IF($D969="MATE","",
IF(VLOOKUP($B969,'Baremos actuales'!$A:$D,4,FALSE)=L$9,$E969*$F969,""))))</f>
        <v/>
      </c>
      <c r="M969" s="91" t="str">
        <f t="shared" si="14"/>
        <v/>
      </c>
      <c r="N969" s="96"/>
      <c r="O969" s="95"/>
      <c r="P969" s="96"/>
      <c r="Q969" s="98"/>
    </row>
    <row r="970" spans="1:17" ht="15.75" x14ac:dyDescent="0.2">
      <c r="A970" s="17"/>
      <c r="B970" s="18"/>
      <c r="C970" s="87" t="str">
        <f>IF(B970="","",
IF(M970=$H$5,IFERROR(VLOOKUP(B970,'Baremos actuales'!A:E,5,FALSE),"No encontrado. Revisar código, fecha ejecución y/o contrato."),
IF(M970=$H$4,IFERROR(VLOOKUP(B970,'Baremos anteriores'!A:E,5,FALSE),"No encontrado. Revisar código, fecha ejecución y/o contrato."),
IF(M970=$H$3,IFERROR(VLOOKUP(B970,#REF!,5,FALSE),"No encontrado. Revisar código, fecha ejecución y/o contrato."),
IF(D970="","Código no encontrado",
IF(D970="ERROR","No encontrado. Revisar Código, fecha de ejecución y/o contrato.",
IF(D970="MATE",
IF(C969="DESCRIPCION","NO SE PUEDE COMENZAR SIN CÓDIGO DE TAREA",
IF(C969="","FALTA CÓDIGO DE TAREA",
CONCATENATE("          ",VLOOKUP(B970,'Maestro Materiales'!A:C,3,FALSE)))),IFERROR(VLOOKUP(B970,#REF!,5,FALSE),"No encontrado. Revisar código, fecha ejecución y/o contrato."))))))))</f>
        <v/>
      </c>
      <c r="D970" s="88" t="str">
        <f>IF(B970="","",
IFERROR(VLOOKUP(B970,'Maestro Materiales'!A:C,2,FALSE),
IFERROR(VLOOKUP(B970,'Baremos actuales'!A:B,2,FALSE),
IFERROR(VLOOKUP(B970,'Baremos anteriores'!A:B,2,FALSE),
""))))</f>
        <v/>
      </c>
      <c r="E970" s="9"/>
      <c r="F970" s="89" t="str">
        <f>IF(D970="MATE",
IF(E970="","¿Unidades?",""),
IF(D970="",IF(E970="","","¿Código?"),
IF(E970="","¿Unidades?",
IF(D970="TARE",
IF(M970=$H$3,IFERROR(VLOOKUP(B970,'Baremos actuales'!A:C,3,FALSE),0),
IF(M970=$H$4,IFERROR(VLOOKUP(B970,'Baremos anteriores'!A:C,3,FALSE),0),0))))))</f>
        <v/>
      </c>
      <c r="G970" s="7"/>
      <c r="H970" s="8"/>
      <c r="I970" s="8"/>
      <c r="J970" s="78" t="str">
        <f>IF($D970="","",
IF($E970="","",
IF($D970="MATE","",
IF(VLOOKUP($B970,'Baremos actuales'!A:D,4,FALSE)=J$9,$E970*$F970,IF(VLOOKUP($B970,'Baremos anteriores'!A:D,4,FALSE)="Sin Definir",$E970*$F970,"")))))</f>
        <v/>
      </c>
      <c r="K970" s="79" t="str">
        <f>IF($D970="","",
IF($E970="","",
IF($D970="MATE","",
IF(VLOOKUP($B970,'Baremos actuales'!$A:$D,4,FALSE)=K$9,$E970*$F970,IF(VLOOKUP($B970,'Baremos anteriores'!$A:$D,4,FALSE)="Desmonte",$E970*$F970,"")))))</f>
        <v/>
      </c>
      <c r="L970" s="80" t="str">
        <f>IF($D970="","",
IF($E970="","",
IF($D970="MATE","",
IF(VLOOKUP($B970,'Baremos actuales'!$A:$D,4,FALSE)=L$9,$E970*$F970,""))))</f>
        <v/>
      </c>
      <c r="M970" s="91" t="str">
        <f t="shared" si="14"/>
        <v/>
      </c>
      <c r="N970" s="96"/>
      <c r="O970" s="95"/>
      <c r="P970" s="96"/>
      <c r="Q970" s="98"/>
    </row>
    <row r="971" spans="1:17" ht="15.75" x14ac:dyDescent="0.2">
      <c r="A971" s="17"/>
      <c r="B971" s="18"/>
      <c r="C971" s="87" t="str">
        <f>IF(B971="","",
IF(M971=$H$5,IFERROR(VLOOKUP(B971,'Baremos actuales'!A:E,5,FALSE),"No encontrado. Revisar código, fecha ejecución y/o contrato."),
IF(M971=$H$4,IFERROR(VLOOKUP(B971,'Baremos anteriores'!A:E,5,FALSE),"No encontrado. Revisar código, fecha ejecución y/o contrato."),
IF(M971=$H$3,IFERROR(VLOOKUP(B971,#REF!,5,FALSE),"No encontrado. Revisar código, fecha ejecución y/o contrato."),
IF(D971="","Código no encontrado",
IF(D971="ERROR","No encontrado. Revisar Código, fecha de ejecución y/o contrato.",
IF(D971="MATE",
IF(C970="DESCRIPCION","NO SE PUEDE COMENZAR SIN CÓDIGO DE TAREA",
IF(C970="","FALTA CÓDIGO DE TAREA",
CONCATENATE("          ",VLOOKUP(B971,'Maestro Materiales'!A:C,3,FALSE)))),IFERROR(VLOOKUP(B971,#REF!,5,FALSE),"No encontrado. Revisar código, fecha ejecución y/o contrato."))))))))</f>
        <v/>
      </c>
      <c r="D971" s="88" t="str">
        <f>IF(B971="","",
IFERROR(VLOOKUP(B971,'Maestro Materiales'!A:C,2,FALSE),
IFERROR(VLOOKUP(B971,'Baremos actuales'!A:B,2,FALSE),
IFERROR(VLOOKUP(B971,'Baremos anteriores'!A:B,2,FALSE),
""))))</f>
        <v/>
      </c>
      <c r="E971" s="9"/>
      <c r="F971" s="89" t="str">
        <f>IF(D971="MATE",
IF(E971="","¿Unidades?",""),
IF(D971="",IF(E971="","","¿Código?"),
IF(E971="","¿Unidades?",
IF(D971="TARE",
IF(M971=$H$3,IFERROR(VLOOKUP(B971,'Baremos actuales'!A:C,3,FALSE),0),
IF(M971=$H$4,IFERROR(VLOOKUP(B971,'Baremos anteriores'!A:C,3,FALSE),0),0))))))</f>
        <v/>
      </c>
      <c r="G971" s="7"/>
      <c r="H971" s="8"/>
      <c r="I971" s="8"/>
      <c r="J971" s="78" t="str">
        <f>IF($D971="","",
IF($E971="","",
IF($D971="MATE","",
IF(VLOOKUP($B971,'Baremos actuales'!A:D,4,FALSE)=J$9,$E971*$F971,IF(VLOOKUP($B971,'Baremos anteriores'!A:D,4,FALSE)="Sin Definir",$E971*$F971,"")))))</f>
        <v/>
      </c>
      <c r="K971" s="79" t="str">
        <f>IF($D971="","",
IF($E971="","",
IF($D971="MATE","",
IF(VLOOKUP($B971,'Baremos actuales'!$A:$D,4,FALSE)=K$9,$E971*$F971,IF(VLOOKUP($B971,'Baremos anteriores'!$A:$D,4,FALSE)="Desmonte",$E971*$F971,"")))))</f>
        <v/>
      </c>
      <c r="L971" s="80" t="str">
        <f>IF($D971="","",
IF($E971="","",
IF($D971="MATE","",
IF(VLOOKUP($B971,'Baremos actuales'!$A:$D,4,FALSE)=L$9,$E971*$F971,""))))</f>
        <v/>
      </c>
      <c r="M971" s="91" t="str">
        <f t="shared" ref="M971:M1010" si="15">IF(D971="MATE","Materiales",IF(B971="","",
IF($Q$1="O","Obsoleto",$F$2)))</f>
        <v/>
      </c>
      <c r="N971" s="96"/>
      <c r="O971" s="95"/>
      <c r="P971" s="96"/>
      <c r="Q971" s="98"/>
    </row>
    <row r="972" spans="1:17" ht="15.75" x14ac:dyDescent="0.2">
      <c r="A972" s="17"/>
      <c r="B972" s="18"/>
      <c r="C972" s="87" t="str">
        <f>IF(B972="","",
IF(M972=$H$5,IFERROR(VLOOKUP(B972,'Baremos actuales'!A:E,5,FALSE),"No encontrado. Revisar código, fecha ejecución y/o contrato."),
IF(M972=$H$4,IFERROR(VLOOKUP(B972,'Baremos anteriores'!A:E,5,FALSE),"No encontrado. Revisar código, fecha ejecución y/o contrato."),
IF(M972=$H$3,IFERROR(VLOOKUP(B972,#REF!,5,FALSE),"No encontrado. Revisar código, fecha ejecución y/o contrato."),
IF(D972="","Código no encontrado",
IF(D972="ERROR","No encontrado. Revisar Código, fecha de ejecución y/o contrato.",
IF(D972="MATE",
IF(C971="DESCRIPCION","NO SE PUEDE COMENZAR SIN CÓDIGO DE TAREA",
IF(C971="","FALTA CÓDIGO DE TAREA",
CONCATENATE("          ",VLOOKUP(B972,'Maestro Materiales'!A:C,3,FALSE)))),IFERROR(VLOOKUP(B972,#REF!,5,FALSE),"No encontrado. Revisar código, fecha ejecución y/o contrato."))))))))</f>
        <v/>
      </c>
      <c r="D972" s="88" t="str">
        <f>IF(B972="","",
IFERROR(VLOOKUP(B972,'Maestro Materiales'!A:C,2,FALSE),
IFERROR(VLOOKUP(B972,'Baremos actuales'!A:B,2,FALSE),
IFERROR(VLOOKUP(B972,'Baremos anteriores'!A:B,2,FALSE),
""))))</f>
        <v/>
      </c>
      <c r="E972" s="9"/>
      <c r="F972" s="89" t="str">
        <f>IF(D972="MATE",
IF(E972="","¿Unidades?",""),
IF(D972="",IF(E972="","","¿Código?"),
IF(E972="","¿Unidades?",
IF(D972="TARE",
IF(M972=$H$3,IFERROR(VLOOKUP(B972,'Baremos actuales'!A:C,3,FALSE),0),
IF(M972=$H$4,IFERROR(VLOOKUP(B972,'Baremos anteriores'!A:C,3,FALSE),0),0))))))</f>
        <v/>
      </c>
      <c r="G972" s="7"/>
      <c r="H972" s="8"/>
      <c r="I972" s="8"/>
      <c r="J972" s="78" t="str">
        <f>IF($D972="","",
IF($E972="","",
IF($D972="MATE","",
IF(VLOOKUP($B972,'Baremos actuales'!A:D,4,FALSE)=J$9,$E972*$F972,IF(VLOOKUP($B972,'Baremos anteriores'!A:D,4,FALSE)="Sin Definir",$E972*$F972,"")))))</f>
        <v/>
      </c>
      <c r="K972" s="79" t="str">
        <f>IF($D972="","",
IF($E972="","",
IF($D972="MATE","",
IF(VLOOKUP($B972,'Baremos actuales'!$A:$D,4,FALSE)=K$9,$E972*$F972,IF(VLOOKUP($B972,'Baremos anteriores'!$A:$D,4,FALSE)="Desmonte",$E972*$F972,"")))))</f>
        <v/>
      </c>
      <c r="L972" s="80" t="str">
        <f>IF($D972="","",
IF($E972="","",
IF($D972="MATE","",
IF(VLOOKUP($B972,'Baremos actuales'!$A:$D,4,FALSE)=L$9,$E972*$F972,""))))</f>
        <v/>
      </c>
      <c r="M972" s="91" t="str">
        <f t="shared" si="15"/>
        <v/>
      </c>
      <c r="N972" s="96"/>
      <c r="O972" s="95"/>
      <c r="P972" s="96"/>
      <c r="Q972" s="98"/>
    </row>
    <row r="973" spans="1:17" ht="15.75" x14ac:dyDescent="0.2">
      <c r="A973" s="17"/>
      <c r="B973" s="18"/>
      <c r="C973" s="87" t="str">
        <f>IF(B973="","",
IF(M973=$H$5,IFERROR(VLOOKUP(B973,'Baremos actuales'!A:E,5,FALSE),"No encontrado. Revisar código, fecha ejecución y/o contrato."),
IF(M973=$H$4,IFERROR(VLOOKUP(B973,'Baremos anteriores'!A:E,5,FALSE),"No encontrado. Revisar código, fecha ejecución y/o contrato."),
IF(M973=$H$3,IFERROR(VLOOKUP(B973,#REF!,5,FALSE),"No encontrado. Revisar código, fecha ejecución y/o contrato."),
IF(D973="","Código no encontrado",
IF(D973="ERROR","No encontrado. Revisar Código, fecha de ejecución y/o contrato.",
IF(D973="MATE",
IF(C972="DESCRIPCION","NO SE PUEDE COMENZAR SIN CÓDIGO DE TAREA",
IF(C972="","FALTA CÓDIGO DE TAREA",
CONCATENATE("          ",VLOOKUP(B973,'Maestro Materiales'!A:C,3,FALSE)))),IFERROR(VLOOKUP(B973,#REF!,5,FALSE),"No encontrado. Revisar código, fecha ejecución y/o contrato."))))))))</f>
        <v/>
      </c>
      <c r="D973" s="88" t="str">
        <f>IF(B973="","",
IFERROR(VLOOKUP(B973,'Maestro Materiales'!A:C,2,FALSE),
IFERROR(VLOOKUP(B973,'Baremos actuales'!A:B,2,FALSE),
IFERROR(VLOOKUP(B973,'Baremos anteriores'!A:B,2,FALSE),
""))))</f>
        <v/>
      </c>
      <c r="E973" s="9"/>
      <c r="F973" s="89" t="str">
        <f>IF(D973="MATE",
IF(E973="","¿Unidades?",""),
IF(D973="",IF(E973="","","¿Código?"),
IF(E973="","¿Unidades?",
IF(D973="TARE",
IF(M973=$H$3,IFERROR(VLOOKUP(B973,'Baremos actuales'!A:C,3,FALSE),0),
IF(M973=$H$4,IFERROR(VLOOKUP(B973,'Baremos anteriores'!A:C,3,FALSE),0),0))))))</f>
        <v/>
      </c>
      <c r="G973" s="7"/>
      <c r="H973" s="8"/>
      <c r="I973" s="8"/>
      <c r="J973" s="78" t="str">
        <f>IF($D973="","",
IF($E973="","",
IF($D973="MATE","",
IF(VLOOKUP($B973,'Baremos actuales'!A:D,4,FALSE)=J$9,$E973*$F973,IF(VLOOKUP($B973,'Baremos anteriores'!A:D,4,FALSE)="Sin Definir",$E973*$F973,"")))))</f>
        <v/>
      </c>
      <c r="K973" s="79" t="str">
        <f>IF($D973="","",
IF($E973="","",
IF($D973="MATE","",
IF(VLOOKUP($B973,'Baremos actuales'!$A:$D,4,FALSE)=K$9,$E973*$F973,IF(VLOOKUP($B973,'Baremos anteriores'!$A:$D,4,FALSE)="Desmonte",$E973*$F973,"")))))</f>
        <v/>
      </c>
      <c r="L973" s="80" t="str">
        <f>IF($D973="","",
IF($E973="","",
IF($D973="MATE","",
IF(VLOOKUP($B973,'Baremos actuales'!$A:$D,4,FALSE)=L$9,$E973*$F973,""))))</f>
        <v/>
      </c>
      <c r="M973" s="91" t="str">
        <f t="shared" si="15"/>
        <v/>
      </c>
      <c r="N973" s="96"/>
      <c r="O973" s="95"/>
      <c r="P973" s="96"/>
      <c r="Q973" s="98"/>
    </row>
    <row r="974" spans="1:17" ht="15.75" x14ac:dyDescent="0.2">
      <c r="A974" s="17"/>
      <c r="B974" s="18"/>
      <c r="C974" s="87" t="str">
        <f>IF(B974="","",
IF(M974=$H$5,IFERROR(VLOOKUP(B974,'Baremos actuales'!A:E,5,FALSE),"No encontrado. Revisar código, fecha ejecución y/o contrato."),
IF(M974=$H$4,IFERROR(VLOOKUP(B974,'Baremos anteriores'!A:E,5,FALSE),"No encontrado. Revisar código, fecha ejecución y/o contrato."),
IF(M974=$H$3,IFERROR(VLOOKUP(B974,#REF!,5,FALSE),"No encontrado. Revisar código, fecha ejecución y/o contrato."),
IF(D974="","Código no encontrado",
IF(D974="ERROR","No encontrado. Revisar Código, fecha de ejecución y/o contrato.",
IF(D974="MATE",
IF(C973="DESCRIPCION","NO SE PUEDE COMENZAR SIN CÓDIGO DE TAREA",
IF(C973="","FALTA CÓDIGO DE TAREA",
CONCATENATE("          ",VLOOKUP(B974,'Maestro Materiales'!A:C,3,FALSE)))),IFERROR(VLOOKUP(B974,#REF!,5,FALSE),"No encontrado. Revisar código, fecha ejecución y/o contrato."))))))))</f>
        <v/>
      </c>
      <c r="D974" s="88" t="str">
        <f>IF(B974="","",
IFERROR(VLOOKUP(B974,'Maestro Materiales'!A:C,2,FALSE),
IFERROR(VLOOKUP(B974,'Baremos actuales'!A:B,2,FALSE),
IFERROR(VLOOKUP(B974,'Baremos anteriores'!A:B,2,FALSE),
""))))</f>
        <v/>
      </c>
      <c r="E974" s="9"/>
      <c r="F974" s="89" t="str">
        <f>IF(D974="MATE",
IF(E974="","¿Unidades?",""),
IF(D974="",IF(E974="","","¿Código?"),
IF(E974="","¿Unidades?",
IF(D974="TARE",
IF(M974=$H$3,IFERROR(VLOOKUP(B974,'Baremos actuales'!A:C,3,FALSE),0),
IF(M974=$H$4,IFERROR(VLOOKUP(B974,'Baremos anteriores'!A:C,3,FALSE),0),0))))))</f>
        <v/>
      </c>
      <c r="G974" s="7"/>
      <c r="H974" s="8"/>
      <c r="I974" s="8"/>
      <c r="J974" s="78" t="str">
        <f>IF($D974="","",
IF($E974="","",
IF($D974="MATE","",
IF(VLOOKUP($B974,'Baremos actuales'!A:D,4,FALSE)=J$9,$E974*$F974,IF(VLOOKUP($B974,'Baremos anteriores'!A:D,4,FALSE)="Sin Definir",$E974*$F974,"")))))</f>
        <v/>
      </c>
      <c r="K974" s="79" t="str">
        <f>IF($D974="","",
IF($E974="","",
IF($D974="MATE","",
IF(VLOOKUP($B974,'Baremos actuales'!$A:$D,4,FALSE)=K$9,$E974*$F974,IF(VLOOKUP($B974,'Baremos anteriores'!$A:$D,4,FALSE)="Desmonte",$E974*$F974,"")))))</f>
        <v/>
      </c>
      <c r="L974" s="80" t="str">
        <f>IF($D974="","",
IF($E974="","",
IF($D974="MATE","",
IF(VLOOKUP($B974,'Baremos actuales'!$A:$D,4,FALSE)=L$9,$E974*$F974,""))))</f>
        <v/>
      </c>
      <c r="M974" s="91" t="str">
        <f t="shared" si="15"/>
        <v/>
      </c>
      <c r="N974" s="96"/>
      <c r="O974" s="95"/>
      <c r="P974" s="96"/>
      <c r="Q974" s="98"/>
    </row>
    <row r="975" spans="1:17" ht="15.75" x14ac:dyDescent="0.2">
      <c r="A975" s="17"/>
      <c r="B975" s="18"/>
      <c r="C975" s="87" t="str">
        <f>IF(B975="","",
IF(M975=$H$5,IFERROR(VLOOKUP(B975,'Baremos actuales'!A:E,5,FALSE),"No encontrado. Revisar código, fecha ejecución y/o contrato."),
IF(M975=$H$4,IFERROR(VLOOKUP(B975,'Baremos anteriores'!A:E,5,FALSE),"No encontrado. Revisar código, fecha ejecución y/o contrato."),
IF(M975=$H$3,IFERROR(VLOOKUP(B975,#REF!,5,FALSE),"No encontrado. Revisar código, fecha ejecución y/o contrato."),
IF(D975="","Código no encontrado",
IF(D975="ERROR","No encontrado. Revisar Código, fecha de ejecución y/o contrato.",
IF(D975="MATE",
IF(C974="DESCRIPCION","NO SE PUEDE COMENZAR SIN CÓDIGO DE TAREA",
IF(C974="","FALTA CÓDIGO DE TAREA",
CONCATENATE("          ",VLOOKUP(B975,'Maestro Materiales'!A:C,3,FALSE)))),IFERROR(VLOOKUP(B975,#REF!,5,FALSE),"No encontrado. Revisar código, fecha ejecución y/o contrato."))))))))</f>
        <v/>
      </c>
      <c r="D975" s="88" t="str">
        <f>IF(B975="","",
IFERROR(VLOOKUP(B975,'Maestro Materiales'!A:C,2,FALSE),
IFERROR(VLOOKUP(B975,'Baremos actuales'!A:B,2,FALSE),
IFERROR(VLOOKUP(B975,'Baremos anteriores'!A:B,2,FALSE),
""))))</f>
        <v/>
      </c>
      <c r="E975" s="9"/>
      <c r="F975" s="89" t="str">
        <f>IF(D975="MATE",
IF(E975="","¿Unidades?",""),
IF(D975="",IF(E975="","","¿Código?"),
IF(E975="","¿Unidades?",
IF(D975="TARE",
IF(M975=$H$3,IFERROR(VLOOKUP(B975,'Baremos actuales'!A:C,3,FALSE),0),
IF(M975=$H$4,IFERROR(VLOOKUP(B975,'Baremos anteriores'!A:C,3,FALSE),0),0))))))</f>
        <v/>
      </c>
      <c r="G975" s="7"/>
      <c r="H975" s="8"/>
      <c r="I975" s="8"/>
      <c r="J975" s="78" t="str">
        <f>IF($D975="","",
IF($E975="","",
IF($D975="MATE","",
IF(VLOOKUP($B975,'Baremos actuales'!A:D,4,FALSE)=J$9,$E975*$F975,IF(VLOOKUP($B975,'Baremos anteriores'!A:D,4,FALSE)="Sin Definir",$E975*$F975,"")))))</f>
        <v/>
      </c>
      <c r="K975" s="79" t="str">
        <f>IF($D975="","",
IF($E975="","",
IF($D975="MATE","",
IF(VLOOKUP($B975,'Baremos actuales'!$A:$D,4,FALSE)=K$9,$E975*$F975,IF(VLOOKUP($B975,'Baremos anteriores'!$A:$D,4,FALSE)="Desmonte",$E975*$F975,"")))))</f>
        <v/>
      </c>
      <c r="L975" s="80" t="str">
        <f>IF($D975="","",
IF($E975="","",
IF($D975="MATE","",
IF(VLOOKUP($B975,'Baremos actuales'!$A:$D,4,FALSE)=L$9,$E975*$F975,""))))</f>
        <v/>
      </c>
      <c r="M975" s="91" t="str">
        <f t="shared" si="15"/>
        <v/>
      </c>
      <c r="N975" s="96"/>
      <c r="O975" s="95"/>
      <c r="P975" s="96"/>
      <c r="Q975" s="98"/>
    </row>
    <row r="976" spans="1:17" ht="15.75" x14ac:dyDescent="0.2">
      <c r="A976" s="17"/>
      <c r="B976" s="18"/>
      <c r="C976" s="87" t="str">
        <f>IF(B976="","",
IF(M976=$H$5,IFERROR(VLOOKUP(B976,'Baremos actuales'!A:E,5,FALSE),"No encontrado. Revisar código, fecha ejecución y/o contrato."),
IF(M976=$H$4,IFERROR(VLOOKUP(B976,'Baremos anteriores'!A:E,5,FALSE),"No encontrado. Revisar código, fecha ejecución y/o contrato."),
IF(M976=$H$3,IFERROR(VLOOKUP(B976,#REF!,5,FALSE),"No encontrado. Revisar código, fecha ejecución y/o contrato."),
IF(D976="","Código no encontrado",
IF(D976="ERROR","No encontrado. Revisar Código, fecha de ejecución y/o contrato.",
IF(D976="MATE",
IF(C975="DESCRIPCION","NO SE PUEDE COMENZAR SIN CÓDIGO DE TAREA",
IF(C975="","FALTA CÓDIGO DE TAREA",
CONCATENATE("          ",VLOOKUP(B976,'Maestro Materiales'!A:C,3,FALSE)))),IFERROR(VLOOKUP(B976,#REF!,5,FALSE),"No encontrado. Revisar código, fecha ejecución y/o contrato."))))))))</f>
        <v/>
      </c>
      <c r="D976" s="88" t="str">
        <f>IF(B976="","",
IFERROR(VLOOKUP(B976,'Maestro Materiales'!A:C,2,FALSE),
IFERROR(VLOOKUP(B976,'Baremos actuales'!A:B,2,FALSE),
IFERROR(VLOOKUP(B976,'Baremos anteriores'!A:B,2,FALSE),
""))))</f>
        <v/>
      </c>
      <c r="E976" s="9"/>
      <c r="F976" s="89" t="str">
        <f>IF(D976="MATE",
IF(E976="","¿Unidades?",""),
IF(D976="",IF(E976="","","¿Código?"),
IF(E976="","¿Unidades?",
IF(D976="TARE",
IF(M976=$H$3,IFERROR(VLOOKUP(B976,'Baremos actuales'!A:C,3,FALSE),0),
IF(M976=$H$4,IFERROR(VLOOKUP(B976,'Baremos anteriores'!A:C,3,FALSE),0),0))))))</f>
        <v/>
      </c>
      <c r="G976" s="7"/>
      <c r="H976" s="8"/>
      <c r="I976" s="8"/>
      <c r="J976" s="78" t="str">
        <f>IF($D976="","",
IF($E976="","",
IF($D976="MATE","",
IF(VLOOKUP($B976,'Baremos actuales'!A:D,4,FALSE)=J$9,$E976*$F976,IF(VLOOKUP($B976,'Baremos anteriores'!A:D,4,FALSE)="Sin Definir",$E976*$F976,"")))))</f>
        <v/>
      </c>
      <c r="K976" s="79" t="str">
        <f>IF($D976="","",
IF($E976="","",
IF($D976="MATE","",
IF(VLOOKUP($B976,'Baremos actuales'!$A:$D,4,FALSE)=K$9,$E976*$F976,IF(VLOOKUP($B976,'Baremos anteriores'!$A:$D,4,FALSE)="Desmonte",$E976*$F976,"")))))</f>
        <v/>
      </c>
      <c r="L976" s="80" t="str">
        <f>IF($D976="","",
IF($E976="","",
IF($D976="MATE","",
IF(VLOOKUP($B976,'Baremos actuales'!$A:$D,4,FALSE)=L$9,$E976*$F976,""))))</f>
        <v/>
      </c>
      <c r="M976" s="91" t="str">
        <f t="shared" si="15"/>
        <v/>
      </c>
      <c r="N976" s="96"/>
      <c r="O976" s="95"/>
      <c r="P976" s="96"/>
      <c r="Q976" s="98"/>
    </row>
    <row r="977" spans="1:17" ht="15.75" x14ac:dyDescent="0.2">
      <c r="A977" s="17"/>
      <c r="B977" s="18"/>
      <c r="C977" s="87" t="str">
        <f>IF(B977="","",
IF(M977=$H$5,IFERROR(VLOOKUP(B977,'Baremos actuales'!A:E,5,FALSE),"No encontrado. Revisar código, fecha ejecución y/o contrato."),
IF(M977=$H$4,IFERROR(VLOOKUP(B977,'Baremos anteriores'!A:E,5,FALSE),"No encontrado. Revisar código, fecha ejecución y/o contrato."),
IF(M977=$H$3,IFERROR(VLOOKUP(B977,#REF!,5,FALSE),"No encontrado. Revisar código, fecha ejecución y/o contrato."),
IF(D977="","Código no encontrado",
IF(D977="ERROR","No encontrado. Revisar Código, fecha de ejecución y/o contrato.",
IF(D977="MATE",
IF(C976="DESCRIPCION","NO SE PUEDE COMENZAR SIN CÓDIGO DE TAREA",
IF(C976="","FALTA CÓDIGO DE TAREA",
CONCATENATE("          ",VLOOKUP(B977,'Maestro Materiales'!A:C,3,FALSE)))),IFERROR(VLOOKUP(B977,#REF!,5,FALSE),"No encontrado. Revisar código, fecha ejecución y/o contrato."))))))))</f>
        <v/>
      </c>
      <c r="D977" s="88" t="str">
        <f>IF(B977="","",
IFERROR(VLOOKUP(B977,'Maestro Materiales'!A:C,2,FALSE),
IFERROR(VLOOKUP(B977,'Baremos actuales'!A:B,2,FALSE),
IFERROR(VLOOKUP(B977,'Baremos anteriores'!A:B,2,FALSE),
""))))</f>
        <v/>
      </c>
      <c r="E977" s="9"/>
      <c r="F977" s="89" t="str">
        <f>IF(D977="MATE",
IF(E977="","¿Unidades?",""),
IF(D977="",IF(E977="","","¿Código?"),
IF(E977="","¿Unidades?",
IF(D977="TARE",
IF(M977=$H$3,IFERROR(VLOOKUP(B977,'Baremos actuales'!A:C,3,FALSE),0),
IF(M977=$H$4,IFERROR(VLOOKUP(B977,'Baremos anteriores'!A:C,3,FALSE),0),0))))))</f>
        <v/>
      </c>
      <c r="G977" s="7"/>
      <c r="H977" s="8"/>
      <c r="I977" s="8"/>
      <c r="J977" s="78" t="str">
        <f>IF($D977="","",
IF($E977="","",
IF($D977="MATE","",
IF(VLOOKUP($B977,'Baremos actuales'!A:D,4,FALSE)=J$9,$E977*$F977,IF(VLOOKUP($B977,'Baremos anteriores'!A:D,4,FALSE)="Sin Definir",$E977*$F977,"")))))</f>
        <v/>
      </c>
      <c r="K977" s="79" t="str">
        <f>IF($D977="","",
IF($E977="","",
IF($D977="MATE","",
IF(VLOOKUP($B977,'Baremos actuales'!$A:$D,4,FALSE)=K$9,$E977*$F977,IF(VLOOKUP($B977,'Baremos anteriores'!$A:$D,4,FALSE)="Desmonte",$E977*$F977,"")))))</f>
        <v/>
      </c>
      <c r="L977" s="80" t="str">
        <f>IF($D977="","",
IF($E977="","",
IF($D977="MATE","",
IF(VLOOKUP($B977,'Baremos actuales'!$A:$D,4,FALSE)=L$9,$E977*$F977,""))))</f>
        <v/>
      </c>
      <c r="M977" s="91" t="str">
        <f t="shared" si="15"/>
        <v/>
      </c>
      <c r="N977" s="96"/>
      <c r="O977" s="95"/>
      <c r="P977" s="96"/>
      <c r="Q977" s="98"/>
    </row>
    <row r="978" spans="1:17" ht="15.75" x14ac:dyDescent="0.2">
      <c r="A978" s="17"/>
      <c r="B978" s="18"/>
      <c r="C978" s="87" t="str">
        <f>IF(B978="","",
IF(M978=$H$5,IFERROR(VLOOKUP(B978,'Baremos actuales'!A:E,5,FALSE),"No encontrado. Revisar código, fecha ejecución y/o contrato."),
IF(M978=$H$4,IFERROR(VLOOKUP(B978,'Baremos anteriores'!A:E,5,FALSE),"No encontrado. Revisar código, fecha ejecución y/o contrato."),
IF(M978=$H$3,IFERROR(VLOOKUP(B978,#REF!,5,FALSE),"No encontrado. Revisar código, fecha ejecución y/o contrato."),
IF(D978="","Código no encontrado",
IF(D978="ERROR","No encontrado. Revisar Código, fecha de ejecución y/o contrato.",
IF(D978="MATE",
IF(C977="DESCRIPCION","NO SE PUEDE COMENZAR SIN CÓDIGO DE TAREA",
IF(C977="","FALTA CÓDIGO DE TAREA",
CONCATENATE("          ",VLOOKUP(B978,'Maestro Materiales'!A:C,3,FALSE)))),IFERROR(VLOOKUP(B978,#REF!,5,FALSE),"No encontrado. Revisar código, fecha ejecución y/o contrato."))))))))</f>
        <v/>
      </c>
      <c r="D978" s="88" t="str">
        <f>IF(B978="","",
IFERROR(VLOOKUP(B978,'Maestro Materiales'!A:C,2,FALSE),
IFERROR(VLOOKUP(B978,'Baremos actuales'!A:B,2,FALSE),
IFERROR(VLOOKUP(B978,'Baremos anteriores'!A:B,2,FALSE),
""))))</f>
        <v/>
      </c>
      <c r="E978" s="9"/>
      <c r="F978" s="89" t="str">
        <f>IF(D978="MATE",
IF(E978="","¿Unidades?",""),
IF(D978="",IF(E978="","","¿Código?"),
IF(E978="","¿Unidades?",
IF(D978="TARE",
IF(M978=$H$3,IFERROR(VLOOKUP(B978,'Baremos actuales'!A:C,3,FALSE),0),
IF(M978=$H$4,IFERROR(VLOOKUP(B978,'Baremos anteriores'!A:C,3,FALSE),0),0))))))</f>
        <v/>
      </c>
      <c r="G978" s="7"/>
      <c r="H978" s="8"/>
      <c r="I978" s="8"/>
      <c r="J978" s="78" t="str">
        <f>IF($D978="","",
IF($E978="","",
IF($D978="MATE","",
IF(VLOOKUP($B978,'Baremos actuales'!A:D,4,FALSE)=J$9,$E978*$F978,IF(VLOOKUP($B978,'Baremos anteriores'!A:D,4,FALSE)="Sin Definir",$E978*$F978,"")))))</f>
        <v/>
      </c>
      <c r="K978" s="79" t="str">
        <f>IF($D978="","",
IF($E978="","",
IF($D978="MATE","",
IF(VLOOKUP($B978,'Baremos actuales'!$A:$D,4,FALSE)=K$9,$E978*$F978,IF(VLOOKUP($B978,'Baremos anteriores'!$A:$D,4,FALSE)="Desmonte",$E978*$F978,"")))))</f>
        <v/>
      </c>
      <c r="L978" s="80" t="str">
        <f>IF($D978="","",
IF($E978="","",
IF($D978="MATE","",
IF(VLOOKUP($B978,'Baremos actuales'!$A:$D,4,FALSE)=L$9,$E978*$F978,""))))</f>
        <v/>
      </c>
      <c r="M978" s="91" t="str">
        <f t="shared" si="15"/>
        <v/>
      </c>
      <c r="N978" s="96"/>
      <c r="O978" s="95"/>
      <c r="P978" s="96"/>
      <c r="Q978" s="98"/>
    </row>
    <row r="979" spans="1:17" ht="15.75" x14ac:dyDescent="0.2">
      <c r="A979" s="17"/>
      <c r="B979" s="18"/>
      <c r="C979" s="87" t="str">
        <f>IF(B979="","",
IF(M979=$H$5,IFERROR(VLOOKUP(B979,'Baremos actuales'!A:E,5,FALSE),"No encontrado. Revisar código, fecha ejecución y/o contrato."),
IF(M979=$H$4,IFERROR(VLOOKUP(B979,'Baremos anteriores'!A:E,5,FALSE),"No encontrado. Revisar código, fecha ejecución y/o contrato."),
IF(M979=$H$3,IFERROR(VLOOKUP(B979,#REF!,5,FALSE),"No encontrado. Revisar código, fecha ejecución y/o contrato."),
IF(D979="","Código no encontrado",
IF(D979="ERROR","No encontrado. Revisar Código, fecha de ejecución y/o contrato.",
IF(D979="MATE",
IF(C978="DESCRIPCION","NO SE PUEDE COMENZAR SIN CÓDIGO DE TAREA",
IF(C978="","FALTA CÓDIGO DE TAREA",
CONCATENATE("          ",VLOOKUP(B979,'Maestro Materiales'!A:C,3,FALSE)))),IFERROR(VLOOKUP(B979,#REF!,5,FALSE),"No encontrado. Revisar código, fecha ejecución y/o contrato."))))))))</f>
        <v/>
      </c>
      <c r="D979" s="88" t="str">
        <f>IF(B979="","",
IFERROR(VLOOKUP(B979,'Maestro Materiales'!A:C,2,FALSE),
IFERROR(VLOOKUP(B979,'Baremos actuales'!A:B,2,FALSE),
IFERROR(VLOOKUP(B979,'Baremos anteriores'!A:B,2,FALSE),
""))))</f>
        <v/>
      </c>
      <c r="E979" s="9"/>
      <c r="F979" s="89" t="str">
        <f>IF(D979="MATE",
IF(E979="","¿Unidades?",""),
IF(D979="",IF(E979="","","¿Código?"),
IF(E979="","¿Unidades?",
IF(D979="TARE",
IF(M979=$H$3,IFERROR(VLOOKUP(B979,'Baremos actuales'!A:C,3,FALSE),0),
IF(M979=$H$4,IFERROR(VLOOKUP(B979,'Baremos anteriores'!A:C,3,FALSE),0),0))))))</f>
        <v/>
      </c>
      <c r="G979" s="7"/>
      <c r="H979" s="8"/>
      <c r="I979" s="8"/>
      <c r="J979" s="78" t="str">
        <f>IF($D979="","",
IF($E979="","",
IF($D979="MATE","",
IF(VLOOKUP($B979,'Baremos actuales'!A:D,4,FALSE)=J$9,$E979*$F979,IF(VLOOKUP($B979,'Baremos anteriores'!A:D,4,FALSE)="Sin Definir",$E979*$F979,"")))))</f>
        <v/>
      </c>
      <c r="K979" s="79" t="str">
        <f>IF($D979="","",
IF($E979="","",
IF($D979="MATE","",
IF(VLOOKUP($B979,'Baremos actuales'!$A:$D,4,FALSE)=K$9,$E979*$F979,IF(VLOOKUP($B979,'Baremos anteriores'!$A:$D,4,FALSE)="Desmonte",$E979*$F979,"")))))</f>
        <v/>
      </c>
      <c r="L979" s="80" t="str">
        <f>IF($D979="","",
IF($E979="","",
IF($D979="MATE","",
IF(VLOOKUP($B979,'Baremos actuales'!$A:$D,4,FALSE)=L$9,$E979*$F979,""))))</f>
        <v/>
      </c>
      <c r="M979" s="91" t="str">
        <f t="shared" si="15"/>
        <v/>
      </c>
      <c r="N979" s="96"/>
      <c r="O979" s="95"/>
      <c r="P979" s="96"/>
      <c r="Q979" s="98"/>
    </row>
    <row r="980" spans="1:17" ht="15.75" x14ac:dyDescent="0.2">
      <c r="A980" s="17"/>
      <c r="B980" s="18"/>
      <c r="C980" s="87" t="str">
        <f>IF(B980="","",
IF(M980=$H$5,IFERROR(VLOOKUP(B980,'Baremos actuales'!A:E,5,FALSE),"No encontrado. Revisar código, fecha ejecución y/o contrato."),
IF(M980=$H$4,IFERROR(VLOOKUP(B980,'Baremos anteriores'!A:E,5,FALSE),"No encontrado. Revisar código, fecha ejecución y/o contrato."),
IF(M980=$H$3,IFERROR(VLOOKUP(B980,#REF!,5,FALSE),"No encontrado. Revisar código, fecha ejecución y/o contrato."),
IF(D980="","Código no encontrado",
IF(D980="ERROR","No encontrado. Revisar Código, fecha de ejecución y/o contrato.",
IF(D980="MATE",
IF(C979="DESCRIPCION","NO SE PUEDE COMENZAR SIN CÓDIGO DE TAREA",
IF(C979="","FALTA CÓDIGO DE TAREA",
CONCATENATE("          ",VLOOKUP(B980,'Maestro Materiales'!A:C,3,FALSE)))),IFERROR(VLOOKUP(B980,#REF!,5,FALSE),"No encontrado. Revisar código, fecha ejecución y/o contrato."))))))))</f>
        <v/>
      </c>
      <c r="D980" s="88" t="str">
        <f>IF(B980="","",
IFERROR(VLOOKUP(B980,'Maestro Materiales'!A:C,2,FALSE),
IFERROR(VLOOKUP(B980,'Baremos actuales'!A:B,2,FALSE),
IFERROR(VLOOKUP(B980,'Baremos anteriores'!A:B,2,FALSE),
""))))</f>
        <v/>
      </c>
      <c r="E980" s="9"/>
      <c r="F980" s="89" t="str">
        <f>IF(D980="MATE",
IF(E980="","¿Unidades?",""),
IF(D980="",IF(E980="","","¿Código?"),
IF(E980="","¿Unidades?",
IF(D980="TARE",
IF(M980=$H$3,IFERROR(VLOOKUP(B980,'Baremos actuales'!A:C,3,FALSE),0),
IF(M980=$H$4,IFERROR(VLOOKUP(B980,'Baremos anteriores'!A:C,3,FALSE),0),0))))))</f>
        <v/>
      </c>
      <c r="G980" s="7"/>
      <c r="H980" s="8"/>
      <c r="I980" s="8"/>
      <c r="J980" s="78" t="str">
        <f>IF($D980="","",
IF($E980="","",
IF($D980="MATE","",
IF(VLOOKUP($B980,'Baremos actuales'!A:D,4,FALSE)=J$9,$E980*$F980,IF(VLOOKUP($B980,'Baremos anteriores'!A:D,4,FALSE)="Sin Definir",$E980*$F980,"")))))</f>
        <v/>
      </c>
      <c r="K980" s="79" t="str">
        <f>IF($D980="","",
IF($E980="","",
IF($D980="MATE","",
IF(VLOOKUP($B980,'Baremos actuales'!$A:$D,4,FALSE)=K$9,$E980*$F980,IF(VLOOKUP($B980,'Baremos anteriores'!$A:$D,4,FALSE)="Desmonte",$E980*$F980,"")))))</f>
        <v/>
      </c>
      <c r="L980" s="80" t="str">
        <f>IF($D980="","",
IF($E980="","",
IF($D980="MATE","",
IF(VLOOKUP($B980,'Baremos actuales'!$A:$D,4,FALSE)=L$9,$E980*$F980,""))))</f>
        <v/>
      </c>
      <c r="M980" s="91" t="str">
        <f t="shared" si="15"/>
        <v/>
      </c>
      <c r="N980" s="96"/>
      <c r="O980" s="95"/>
      <c r="P980" s="96"/>
      <c r="Q980" s="98"/>
    </row>
    <row r="981" spans="1:17" ht="15.75" x14ac:dyDescent="0.2">
      <c r="A981" s="17"/>
      <c r="B981" s="18"/>
      <c r="C981" s="87" t="str">
        <f>IF(B981="","",
IF(M981=$H$5,IFERROR(VLOOKUP(B981,'Baremos actuales'!A:E,5,FALSE),"No encontrado. Revisar código, fecha ejecución y/o contrato."),
IF(M981=$H$4,IFERROR(VLOOKUP(B981,'Baremos anteriores'!A:E,5,FALSE),"No encontrado. Revisar código, fecha ejecución y/o contrato."),
IF(M981=$H$3,IFERROR(VLOOKUP(B981,#REF!,5,FALSE),"No encontrado. Revisar código, fecha ejecución y/o contrato."),
IF(D981="","Código no encontrado",
IF(D981="ERROR","No encontrado. Revisar Código, fecha de ejecución y/o contrato.",
IF(D981="MATE",
IF(C980="DESCRIPCION","NO SE PUEDE COMENZAR SIN CÓDIGO DE TAREA",
IF(C980="","FALTA CÓDIGO DE TAREA",
CONCATENATE("          ",VLOOKUP(B981,'Maestro Materiales'!A:C,3,FALSE)))),IFERROR(VLOOKUP(B981,#REF!,5,FALSE),"No encontrado. Revisar código, fecha ejecución y/o contrato."))))))))</f>
        <v/>
      </c>
      <c r="D981" s="88" t="str">
        <f>IF(B981="","",
IFERROR(VLOOKUP(B981,'Maestro Materiales'!A:C,2,FALSE),
IFERROR(VLOOKUP(B981,'Baremos actuales'!A:B,2,FALSE),
IFERROR(VLOOKUP(B981,'Baremos anteriores'!A:B,2,FALSE),
""))))</f>
        <v/>
      </c>
      <c r="E981" s="9"/>
      <c r="F981" s="89" t="str">
        <f>IF(D981="MATE",
IF(E981="","¿Unidades?",""),
IF(D981="",IF(E981="","","¿Código?"),
IF(E981="","¿Unidades?",
IF(D981="TARE",
IF(M981=$H$3,IFERROR(VLOOKUP(B981,'Baremos actuales'!A:C,3,FALSE),0),
IF(M981=$H$4,IFERROR(VLOOKUP(B981,'Baremos anteriores'!A:C,3,FALSE),0),0))))))</f>
        <v/>
      </c>
      <c r="G981" s="7"/>
      <c r="H981" s="8"/>
      <c r="I981" s="8"/>
      <c r="J981" s="78" t="str">
        <f>IF($D981="","",
IF($E981="","",
IF($D981="MATE","",
IF(VLOOKUP($B981,'Baremos actuales'!A:D,4,FALSE)=J$9,$E981*$F981,IF(VLOOKUP($B981,'Baremos anteriores'!A:D,4,FALSE)="Sin Definir",$E981*$F981,"")))))</f>
        <v/>
      </c>
      <c r="K981" s="79" t="str">
        <f>IF($D981="","",
IF($E981="","",
IF($D981="MATE","",
IF(VLOOKUP($B981,'Baremos actuales'!$A:$D,4,FALSE)=K$9,$E981*$F981,IF(VLOOKUP($B981,'Baremos anteriores'!$A:$D,4,FALSE)="Desmonte",$E981*$F981,"")))))</f>
        <v/>
      </c>
      <c r="L981" s="80" t="str">
        <f>IF($D981="","",
IF($E981="","",
IF($D981="MATE","",
IF(VLOOKUP($B981,'Baremos actuales'!$A:$D,4,FALSE)=L$9,$E981*$F981,""))))</f>
        <v/>
      </c>
      <c r="M981" s="91" t="str">
        <f t="shared" si="15"/>
        <v/>
      </c>
      <c r="N981" s="96"/>
      <c r="O981" s="95"/>
      <c r="P981" s="96"/>
      <c r="Q981" s="98"/>
    </row>
    <row r="982" spans="1:17" ht="15.75" x14ac:dyDescent="0.2">
      <c r="A982" s="17"/>
      <c r="B982" s="18"/>
      <c r="C982" s="87" t="str">
        <f>IF(B982="","",
IF(M982=$H$5,IFERROR(VLOOKUP(B982,'Baremos actuales'!A:E,5,FALSE),"No encontrado. Revisar código, fecha ejecución y/o contrato."),
IF(M982=$H$4,IFERROR(VLOOKUP(B982,'Baremos anteriores'!A:E,5,FALSE),"No encontrado. Revisar código, fecha ejecución y/o contrato."),
IF(M982=$H$3,IFERROR(VLOOKUP(B982,#REF!,5,FALSE),"No encontrado. Revisar código, fecha ejecución y/o contrato."),
IF(D982="","Código no encontrado",
IF(D982="ERROR","No encontrado. Revisar Código, fecha de ejecución y/o contrato.",
IF(D982="MATE",
IF(C981="DESCRIPCION","NO SE PUEDE COMENZAR SIN CÓDIGO DE TAREA",
IF(C981="","FALTA CÓDIGO DE TAREA",
CONCATENATE("          ",VLOOKUP(B982,'Maestro Materiales'!A:C,3,FALSE)))),IFERROR(VLOOKUP(B982,#REF!,5,FALSE),"No encontrado. Revisar código, fecha ejecución y/o contrato."))))))))</f>
        <v/>
      </c>
      <c r="D982" s="88" t="str">
        <f>IF(B982="","",
IFERROR(VLOOKUP(B982,'Maestro Materiales'!A:C,2,FALSE),
IFERROR(VLOOKUP(B982,'Baremos actuales'!A:B,2,FALSE),
IFERROR(VLOOKUP(B982,'Baremos anteriores'!A:B,2,FALSE),
""))))</f>
        <v/>
      </c>
      <c r="E982" s="9"/>
      <c r="F982" s="89" t="str">
        <f>IF(D982="MATE",
IF(E982="","¿Unidades?",""),
IF(D982="",IF(E982="","","¿Código?"),
IF(E982="","¿Unidades?",
IF(D982="TARE",
IF(M982=$H$3,IFERROR(VLOOKUP(B982,'Baremos actuales'!A:C,3,FALSE),0),
IF(M982=$H$4,IFERROR(VLOOKUP(B982,'Baremos anteriores'!A:C,3,FALSE),0),0))))))</f>
        <v/>
      </c>
      <c r="G982" s="7"/>
      <c r="H982" s="8"/>
      <c r="I982" s="8"/>
      <c r="J982" s="78" t="str">
        <f>IF($D982="","",
IF($E982="","",
IF($D982="MATE","",
IF(VLOOKUP($B982,'Baremos actuales'!A:D,4,FALSE)=J$9,$E982*$F982,IF(VLOOKUP($B982,'Baremos anteriores'!A:D,4,FALSE)="Sin Definir",$E982*$F982,"")))))</f>
        <v/>
      </c>
      <c r="K982" s="79" t="str">
        <f>IF($D982="","",
IF($E982="","",
IF($D982="MATE","",
IF(VLOOKUP($B982,'Baremos actuales'!$A:$D,4,FALSE)=K$9,$E982*$F982,IF(VLOOKUP($B982,'Baremos anteriores'!$A:$D,4,FALSE)="Desmonte",$E982*$F982,"")))))</f>
        <v/>
      </c>
      <c r="L982" s="80" t="str">
        <f>IF($D982="","",
IF($E982="","",
IF($D982="MATE","",
IF(VLOOKUP($B982,'Baremos actuales'!$A:$D,4,FALSE)=L$9,$E982*$F982,""))))</f>
        <v/>
      </c>
      <c r="M982" s="91" t="str">
        <f t="shared" si="15"/>
        <v/>
      </c>
      <c r="N982" s="96"/>
      <c r="O982" s="95"/>
      <c r="P982" s="96"/>
      <c r="Q982" s="98"/>
    </row>
    <row r="983" spans="1:17" ht="15.75" x14ac:dyDescent="0.2">
      <c r="A983" s="17"/>
      <c r="B983" s="18"/>
      <c r="C983" s="87" t="str">
        <f>IF(B983="","",
IF(M983=$H$5,IFERROR(VLOOKUP(B983,'Baremos actuales'!A:E,5,FALSE),"No encontrado. Revisar código, fecha ejecución y/o contrato."),
IF(M983=$H$4,IFERROR(VLOOKUP(B983,'Baremos anteriores'!A:E,5,FALSE),"No encontrado. Revisar código, fecha ejecución y/o contrato."),
IF(M983=$H$3,IFERROR(VLOOKUP(B983,#REF!,5,FALSE),"No encontrado. Revisar código, fecha ejecución y/o contrato."),
IF(D983="","Código no encontrado",
IF(D983="ERROR","No encontrado. Revisar Código, fecha de ejecución y/o contrato.",
IF(D983="MATE",
IF(C982="DESCRIPCION","NO SE PUEDE COMENZAR SIN CÓDIGO DE TAREA",
IF(C982="","FALTA CÓDIGO DE TAREA",
CONCATENATE("          ",VLOOKUP(B983,'Maestro Materiales'!A:C,3,FALSE)))),IFERROR(VLOOKUP(B983,#REF!,5,FALSE),"No encontrado. Revisar código, fecha ejecución y/o contrato."))))))))</f>
        <v/>
      </c>
      <c r="D983" s="88" t="str">
        <f>IF(B983="","",
IFERROR(VLOOKUP(B983,'Maestro Materiales'!A:C,2,FALSE),
IFERROR(VLOOKUP(B983,'Baremos actuales'!A:B,2,FALSE),
IFERROR(VLOOKUP(B983,'Baremos anteriores'!A:B,2,FALSE),
""))))</f>
        <v/>
      </c>
      <c r="E983" s="9"/>
      <c r="F983" s="89" t="str">
        <f>IF(D983="MATE",
IF(E983="","¿Unidades?",""),
IF(D983="",IF(E983="","","¿Código?"),
IF(E983="","¿Unidades?",
IF(D983="TARE",
IF(M983=$H$3,IFERROR(VLOOKUP(B983,'Baremos actuales'!A:C,3,FALSE),0),
IF(M983=$H$4,IFERROR(VLOOKUP(B983,'Baremos anteriores'!A:C,3,FALSE),0),0))))))</f>
        <v/>
      </c>
      <c r="G983" s="7"/>
      <c r="H983" s="8"/>
      <c r="I983" s="8"/>
      <c r="J983" s="78" t="str">
        <f>IF($D983="","",
IF($E983="","",
IF($D983="MATE","",
IF(VLOOKUP($B983,'Baremos actuales'!A:D,4,FALSE)=J$9,$E983*$F983,IF(VLOOKUP($B983,'Baremos anteriores'!A:D,4,FALSE)="Sin Definir",$E983*$F983,"")))))</f>
        <v/>
      </c>
      <c r="K983" s="79" t="str">
        <f>IF($D983="","",
IF($E983="","",
IF($D983="MATE","",
IF(VLOOKUP($B983,'Baremos actuales'!$A:$D,4,FALSE)=K$9,$E983*$F983,IF(VLOOKUP($B983,'Baremos anteriores'!$A:$D,4,FALSE)="Desmonte",$E983*$F983,"")))))</f>
        <v/>
      </c>
      <c r="L983" s="80" t="str">
        <f>IF($D983="","",
IF($E983="","",
IF($D983="MATE","",
IF(VLOOKUP($B983,'Baremos actuales'!$A:$D,4,FALSE)=L$9,$E983*$F983,""))))</f>
        <v/>
      </c>
      <c r="M983" s="91" t="str">
        <f t="shared" si="15"/>
        <v/>
      </c>
      <c r="N983" s="96"/>
      <c r="O983" s="95"/>
      <c r="P983" s="96"/>
      <c r="Q983" s="98"/>
    </row>
    <row r="984" spans="1:17" ht="15.75" x14ac:dyDescent="0.2">
      <c r="A984" s="17"/>
      <c r="B984" s="18"/>
      <c r="C984" s="87" t="str">
        <f>IF(B984="","",
IF(M984=$H$5,IFERROR(VLOOKUP(B984,'Baremos actuales'!A:E,5,FALSE),"No encontrado. Revisar código, fecha ejecución y/o contrato."),
IF(M984=$H$4,IFERROR(VLOOKUP(B984,'Baremos anteriores'!A:E,5,FALSE),"No encontrado. Revisar código, fecha ejecución y/o contrato."),
IF(M984=$H$3,IFERROR(VLOOKUP(B984,#REF!,5,FALSE),"No encontrado. Revisar código, fecha ejecución y/o contrato."),
IF(D984="","Código no encontrado",
IF(D984="ERROR","No encontrado. Revisar Código, fecha de ejecución y/o contrato.",
IF(D984="MATE",
IF(C983="DESCRIPCION","NO SE PUEDE COMENZAR SIN CÓDIGO DE TAREA",
IF(C983="","FALTA CÓDIGO DE TAREA",
CONCATENATE("          ",VLOOKUP(B984,'Maestro Materiales'!A:C,3,FALSE)))),IFERROR(VLOOKUP(B984,#REF!,5,FALSE),"No encontrado. Revisar código, fecha ejecución y/o contrato."))))))))</f>
        <v/>
      </c>
      <c r="D984" s="88" t="str">
        <f>IF(B984="","",
IFERROR(VLOOKUP(B984,'Maestro Materiales'!A:C,2,FALSE),
IFERROR(VLOOKUP(B984,'Baremos actuales'!A:B,2,FALSE),
IFERROR(VLOOKUP(B984,'Baremos anteriores'!A:B,2,FALSE),
""))))</f>
        <v/>
      </c>
      <c r="E984" s="9"/>
      <c r="F984" s="89" t="str">
        <f>IF(D984="MATE",
IF(E984="","¿Unidades?",""),
IF(D984="",IF(E984="","","¿Código?"),
IF(E984="","¿Unidades?",
IF(D984="TARE",
IF(M984=$H$3,IFERROR(VLOOKUP(B984,'Baremos actuales'!A:C,3,FALSE),0),
IF(M984=$H$4,IFERROR(VLOOKUP(B984,'Baremos anteriores'!A:C,3,FALSE),0),0))))))</f>
        <v/>
      </c>
      <c r="G984" s="7"/>
      <c r="H984" s="8"/>
      <c r="I984" s="8"/>
      <c r="J984" s="78" t="str">
        <f>IF($D984="","",
IF($E984="","",
IF($D984="MATE","",
IF(VLOOKUP($B984,'Baremos actuales'!A:D,4,FALSE)=J$9,$E984*$F984,IF(VLOOKUP($B984,'Baremos anteriores'!A:D,4,FALSE)="Sin Definir",$E984*$F984,"")))))</f>
        <v/>
      </c>
      <c r="K984" s="79" t="str">
        <f>IF($D984="","",
IF($E984="","",
IF($D984="MATE","",
IF(VLOOKUP($B984,'Baremos actuales'!$A:$D,4,FALSE)=K$9,$E984*$F984,IF(VLOOKUP($B984,'Baremos anteriores'!$A:$D,4,FALSE)="Desmonte",$E984*$F984,"")))))</f>
        <v/>
      </c>
      <c r="L984" s="80" t="str">
        <f>IF($D984="","",
IF($E984="","",
IF($D984="MATE","",
IF(VLOOKUP($B984,'Baremos actuales'!$A:$D,4,FALSE)=L$9,$E984*$F984,""))))</f>
        <v/>
      </c>
      <c r="M984" s="91" t="str">
        <f t="shared" si="15"/>
        <v/>
      </c>
      <c r="N984" s="96"/>
      <c r="O984" s="95"/>
      <c r="P984" s="96"/>
      <c r="Q984" s="98"/>
    </row>
    <row r="985" spans="1:17" ht="15.75" x14ac:dyDescent="0.2">
      <c r="A985" s="17"/>
      <c r="B985" s="18"/>
      <c r="C985" s="87" t="str">
        <f>IF(B985="","",
IF(M985=$H$5,IFERROR(VLOOKUP(B985,'Baremos actuales'!A:E,5,FALSE),"No encontrado. Revisar código, fecha ejecución y/o contrato."),
IF(M985=$H$4,IFERROR(VLOOKUP(B985,'Baremos anteriores'!A:E,5,FALSE),"No encontrado. Revisar código, fecha ejecución y/o contrato."),
IF(M985=$H$3,IFERROR(VLOOKUP(B985,#REF!,5,FALSE),"No encontrado. Revisar código, fecha ejecución y/o contrato."),
IF(D985="","Código no encontrado",
IF(D985="ERROR","No encontrado. Revisar Código, fecha de ejecución y/o contrato.",
IF(D985="MATE",
IF(C984="DESCRIPCION","NO SE PUEDE COMENZAR SIN CÓDIGO DE TAREA",
IF(C984="","FALTA CÓDIGO DE TAREA",
CONCATENATE("          ",VLOOKUP(B985,'Maestro Materiales'!A:C,3,FALSE)))),IFERROR(VLOOKUP(B985,#REF!,5,FALSE),"No encontrado. Revisar código, fecha ejecución y/o contrato."))))))))</f>
        <v/>
      </c>
      <c r="D985" s="88" t="str">
        <f>IF(B985="","",
IFERROR(VLOOKUP(B985,'Maestro Materiales'!A:C,2,FALSE),
IFERROR(VLOOKUP(B985,'Baremos actuales'!A:B,2,FALSE),
IFERROR(VLOOKUP(B985,'Baremos anteriores'!A:B,2,FALSE),
""))))</f>
        <v/>
      </c>
      <c r="E985" s="9"/>
      <c r="F985" s="89" t="str">
        <f>IF(D985="MATE",
IF(E985="","¿Unidades?",""),
IF(D985="",IF(E985="","","¿Código?"),
IF(E985="","¿Unidades?",
IF(D985="TARE",
IF(M985=$H$3,IFERROR(VLOOKUP(B985,'Baremos actuales'!A:C,3,FALSE),0),
IF(M985=$H$4,IFERROR(VLOOKUP(B985,'Baremos anteriores'!A:C,3,FALSE),0),0))))))</f>
        <v/>
      </c>
      <c r="G985" s="7"/>
      <c r="H985" s="8"/>
      <c r="I985" s="8"/>
      <c r="J985" s="78" t="str">
        <f>IF($D985="","",
IF($E985="","",
IF($D985="MATE","",
IF(VLOOKUP($B985,'Baremos actuales'!A:D,4,FALSE)=J$9,$E985*$F985,IF(VLOOKUP($B985,'Baremos anteriores'!A:D,4,FALSE)="Sin Definir",$E985*$F985,"")))))</f>
        <v/>
      </c>
      <c r="K985" s="79" t="str">
        <f>IF($D985="","",
IF($E985="","",
IF($D985="MATE","",
IF(VLOOKUP($B985,'Baremos actuales'!$A:$D,4,FALSE)=K$9,$E985*$F985,IF(VLOOKUP($B985,'Baremos anteriores'!$A:$D,4,FALSE)="Desmonte",$E985*$F985,"")))))</f>
        <v/>
      </c>
      <c r="L985" s="80" t="str">
        <f>IF($D985="","",
IF($E985="","",
IF($D985="MATE","",
IF(VLOOKUP($B985,'Baremos actuales'!$A:$D,4,FALSE)=L$9,$E985*$F985,""))))</f>
        <v/>
      </c>
      <c r="M985" s="91" t="str">
        <f t="shared" si="15"/>
        <v/>
      </c>
      <c r="N985" s="96"/>
      <c r="O985" s="95"/>
      <c r="P985" s="96"/>
      <c r="Q985" s="98"/>
    </row>
    <row r="986" spans="1:17" ht="15.75" x14ac:dyDescent="0.2">
      <c r="A986" s="17"/>
      <c r="B986" s="18"/>
      <c r="C986" s="87" t="str">
        <f>IF(B986="","",
IF(M986=$H$5,IFERROR(VLOOKUP(B986,'Baremos actuales'!A:E,5,FALSE),"No encontrado. Revisar código, fecha ejecución y/o contrato."),
IF(M986=$H$4,IFERROR(VLOOKUP(B986,'Baremos anteriores'!A:E,5,FALSE),"No encontrado. Revisar código, fecha ejecución y/o contrato."),
IF(M986=$H$3,IFERROR(VLOOKUP(B986,#REF!,5,FALSE),"No encontrado. Revisar código, fecha ejecución y/o contrato."),
IF(D986="","Código no encontrado",
IF(D986="ERROR","No encontrado. Revisar Código, fecha de ejecución y/o contrato.",
IF(D986="MATE",
IF(C985="DESCRIPCION","NO SE PUEDE COMENZAR SIN CÓDIGO DE TAREA",
IF(C985="","FALTA CÓDIGO DE TAREA",
CONCATENATE("          ",VLOOKUP(B986,'Maestro Materiales'!A:C,3,FALSE)))),IFERROR(VLOOKUP(B986,#REF!,5,FALSE),"No encontrado. Revisar código, fecha ejecución y/o contrato."))))))))</f>
        <v/>
      </c>
      <c r="D986" s="88" t="str">
        <f>IF(B986="","",
IFERROR(VLOOKUP(B986,'Maestro Materiales'!A:C,2,FALSE),
IFERROR(VLOOKUP(B986,'Baremos actuales'!A:B,2,FALSE),
IFERROR(VLOOKUP(B986,'Baremos anteriores'!A:B,2,FALSE),
""))))</f>
        <v/>
      </c>
      <c r="E986" s="9"/>
      <c r="F986" s="89" t="str">
        <f>IF(D986="MATE",
IF(E986="","¿Unidades?",""),
IF(D986="",IF(E986="","","¿Código?"),
IF(E986="","¿Unidades?",
IF(D986="TARE",
IF(M986=$H$3,IFERROR(VLOOKUP(B986,'Baremos actuales'!A:C,3,FALSE),0),
IF(M986=$H$4,IFERROR(VLOOKUP(B986,'Baremos anteriores'!A:C,3,FALSE),0),0))))))</f>
        <v/>
      </c>
      <c r="G986" s="7"/>
      <c r="H986" s="8"/>
      <c r="I986" s="8"/>
      <c r="J986" s="78" t="str">
        <f>IF($D986="","",
IF($E986="","",
IF($D986="MATE","",
IF(VLOOKUP($B986,'Baremos actuales'!A:D,4,FALSE)=J$9,$E986*$F986,IF(VLOOKUP($B986,'Baremos anteriores'!A:D,4,FALSE)="Sin Definir",$E986*$F986,"")))))</f>
        <v/>
      </c>
      <c r="K986" s="79" t="str">
        <f>IF($D986="","",
IF($E986="","",
IF($D986="MATE","",
IF(VLOOKUP($B986,'Baremos actuales'!$A:$D,4,FALSE)=K$9,$E986*$F986,IF(VLOOKUP($B986,'Baremos anteriores'!$A:$D,4,FALSE)="Desmonte",$E986*$F986,"")))))</f>
        <v/>
      </c>
      <c r="L986" s="80" t="str">
        <f>IF($D986="","",
IF($E986="","",
IF($D986="MATE","",
IF(VLOOKUP($B986,'Baremos actuales'!$A:$D,4,FALSE)=L$9,$E986*$F986,""))))</f>
        <v/>
      </c>
      <c r="M986" s="91" t="str">
        <f t="shared" si="15"/>
        <v/>
      </c>
      <c r="N986" s="96"/>
      <c r="O986" s="95"/>
      <c r="P986" s="96"/>
      <c r="Q986" s="98"/>
    </row>
    <row r="987" spans="1:17" ht="15.75" x14ac:dyDescent="0.2">
      <c r="A987" s="17"/>
      <c r="B987" s="18"/>
      <c r="C987" s="87" t="str">
        <f>IF(B987="","",
IF(M987=$H$5,IFERROR(VLOOKUP(B987,'Baremos actuales'!A:E,5,FALSE),"No encontrado. Revisar código, fecha ejecución y/o contrato."),
IF(M987=$H$4,IFERROR(VLOOKUP(B987,'Baremos anteriores'!A:E,5,FALSE),"No encontrado. Revisar código, fecha ejecución y/o contrato."),
IF(M987=$H$3,IFERROR(VLOOKUP(B987,#REF!,5,FALSE),"No encontrado. Revisar código, fecha ejecución y/o contrato."),
IF(D987="","Código no encontrado",
IF(D987="ERROR","No encontrado. Revisar Código, fecha de ejecución y/o contrato.",
IF(D987="MATE",
IF(C986="DESCRIPCION","NO SE PUEDE COMENZAR SIN CÓDIGO DE TAREA",
IF(C986="","FALTA CÓDIGO DE TAREA",
CONCATENATE("          ",VLOOKUP(B987,'Maestro Materiales'!A:C,3,FALSE)))),IFERROR(VLOOKUP(B987,#REF!,5,FALSE),"No encontrado. Revisar código, fecha ejecución y/o contrato."))))))))</f>
        <v/>
      </c>
      <c r="D987" s="88" t="str">
        <f>IF(B987="","",
IFERROR(VLOOKUP(B987,'Maestro Materiales'!A:C,2,FALSE),
IFERROR(VLOOKUP(B987,'Baremos actuales'!A:B,2,FALSE),
IFERROR(VLOOKUP(B987,'Baremos anteriores'!A:B,2,FALSE),
""))))</f>
        <v/>
      </c>
      <c r="E987" s="9"/>
      <c r="F987" s="89" t="str">
        <f>IF(D987="MATE",
IF(E987="","¿Unidades?",""),
IF(D987="",IF(E987="","","¿Código?"),
IF(E987="","¿Unidades?",
IF(D987="TARE",
IF(M987=$H$3,IFERROR(VLOOKUP(B987,'Baremos actuales'!A:C,3,FALSE),0),
IF(M987=$H$4,IFERROR(VLOOKUP(B987,'Baremos anteriores'!A:C,3,FALSE),0),0))))))</f>
        <v/>
      </c>
      <c r="G987" s="7"/>
      <c r="H987" s="8"/>
      <c r="I987" s="8"/>
      <c r="J987" s="78" t="str">
        <f>IF($D987="","",
IF($E987="","",
IF($D987="MATE","",
IF(VLOOKUP($B987,'Baremos actuales'!A:D,4,FALSE)=J$9,$E987*$F987,IF(VLOOKUP($B987,'Baremos anteriores'!A:D,4,FALSE)="Sin Definir",$E987*$F987,"")))))</f>
        <v/>
      </c>
      <c r="K987" s="79" t="str">
        <f>IF($D987="","",
IF($E987="","",
IF($D987="MATE","",
IF(VLOOKUP($B987,'Baremos actuales'!$A:$D,4,FALSE)=K$9,$E987*$F987,IF(VLOOKUP($B987,'Baremos anteriores'!$A:$D,4,FALSE)="Desmonte",$E987*$F987,"")))))</f>
        <v/>
      </c>
      <c r="L987" s="80" t="str">
        <f>IF($D987="","",
IF($E987="","",
IF($D987="MATE","",
IF(VLOOKUP($B987,'Baremos actuales'!$A:$D,4,FALSE)=L$9,$E987*$F987,""))))</f>
        <v/>
      </c>
      <c r="M987" s="91" t="str">
        <f t="shared" si="15"/>
        <v/>
      </c>
      <c r="N987" s="96"/>
      <c r="O987" s="95"/>
      <c r="P987" s="96"/>
      <c r="Q987" s="98"/>
    </row>
    <row r="988" spans="1:17" ht="15.75" x14ac:dyDescent="0.2">
      <c r="A988" s="17"/>
      <c r="B988" s="18"/>
      <c r="C988" s="87" t="str">
        <f>IF(B988="","",
IF(M988=$H$5,IFERROR(VLOOKUP(B988,'Baremos actuales'!A:E,5,FALSE),"No encontrado. Revisar código, fecha ejecución y/o contrato."),
IF(M988=$H$4,IFERROR(VLOOKUP(B988,'Baremos anteriores'!A:E,5,FALSE),"No encontrado. Revisar código, fecha ejecución y/o contrato."),
IF(M988=$H$3,IFERROR(VLOOKUP(B988,#REF!,5,FALSE),"No encontrado. Revisar código, fecha ejecución y/o contrato."),
IF(D988="","Código no encontrado",
IF(D988="ERROR","No encontrado. Revisar Código, fecha de ejecución y/o contrato.",
IF(D988="MATE",
IF(C987="DESCRIPCION","NO SE PUEDE COMENZAR SIN CÓDIGO DE TAREA",
IF(C987="","FALTA CÓDIGO DE TAREA",
CONCATENATE("          ",VLOOKUP(B988,'Maestro Materiales'!A:C,3,FALSE)))),IFERROR(VLOOKUP(B988,#REF!,5,FALSE),"No encontrado. Revisar código, fecha ejecución y/o contrato."))))))))</f>
        <v/>
      </c>
      <c r="D988" s="88" t="str">
        <f>IF(B988="","",
IFERROR(VLOOKUP(B988,'Maestro Materiales'!A:C,2,FALSE),
IFERROR(VLOOKUP(B988,'Baremos actuales'!A:B,2,FALSE),
IFERROR(VLOOKUP(B988,'Baremos anteriores'!A:B,2,FALSE),
""))))</f>
        <v/>
      </c>
      <c r="E988" s="9"/>
      <c r="F988" s="89" t="str">
        <f>IF(D988="MATE",
IF(E988="","¿Unidades?",""),
IF(D988="",IF(E988="","","¿Código?"),
IF(E988="","¿Unidades?",
IF(D988="TARE",
IF(M988=$H$3,IFERROR(VLOOKUP(B988,'Baremos actuales'!A:C,3,FALSE),0),
IF(M988=$H$4,IFERROR(VLOOKUP(B988,'Baremos anteriores'!A:C,3,FALSE),0),0))))))</f>
        <v/>
      </c>
      <c r="G988" s="7"/>
      <c r="H988" s="8"/>
      <c r="I988" s="8"/>
      <c r="J988" s="78" t="str">
        <f>IF($D988="","",
IF($E988="","",
IF($D988="MATE","",
IF(VLOOKUP($B988,'Baremos actuales'!A:D,4,FALSE)=J$9,$E988*$F988,IF(VLOOKUP($B988,'Baremos anteriores'!A:D,4,FALSE)="Sin Definir",$E988*$F988,"")))))</f>
        <v/>
      </c>
      <c r="K988" s="79" t="str">
        <f>IF($D988="","",
IF($E988="","",
IF($D988="MATE","",
IF(VLOOKUP($B988,'Baremos actuales'!$A:$D,4,FALSE)=K$9,$E988*$F988,IF(VLOOKUP($B988,'Baremos anteriores'!$A:$D,4,FALSE)="Desmonte",$E988*$F988,"")))))</f>
        <v/>
      </c>
      <c r="L988" s="80" t="str">
        <f>IF($D988="","",
IF($E988="","",
IF($D988="MATE","",
IF(VLOOKUP($B988,'Baremos actuales'!$A:$D,4,FALSE)=L$9,$E988*$F988,""))))</f>
        <v/>
      </c>
      <c r="M988" s="91" t="str">
        <f t="shared" si="15"/>
        <v/>
      </c>
      <c r="N988" s="96"/>
      <c r="O988" s="95"/>
      <c r="P988" s="96"/>
      <c r="Q988" s="98"/>
    </row>
    <row r="989" spans="1:17" ht="15.75" x14ac:dyDescent="0.2">
      <c r="A989" s="17"/>
      <c r="B989" s="18"/>
      <c r="C989" s="87" t="str">
        <f>IF(B989="","",
IF(M989=$H$5,IFERROR(VLOOKUP(B989,'Baremos actuales'!A:E,5,FALSE),"No encontrado. Revisar código, fecha ejecución y/o contrato."),
IF(M989=$H$4,IFERROR(VLOOKUP(B989,'Baremos anteriores'!A:E,5,FALSE),"No encontrado. Revisar código, fecha ejecución y/o contrato."),
IF(M989=$H$3,IFERROR(VLOOKUP(B989,#REF!,5,FALSE),"No encontrado. Revisar código, fecha ejecución y/o contrato."),
IF(D989="","Código no encontrado",
IF(D989="ERROR","No encontrado. Revisar Código, fecha de ejecución y/o contrato.",
IF(D989="MATE",
IF(C988="DESCRIPCION","NO SE PUEDE COMENZAR SIN CÓDIGO DE TAREA",
IF(C988="","FALTA CÓDIGO DE TAREA",
CONCATENATE("          ",VLOOKUP(B989,'Maestro Materiales'!A:C,3,FALSE)))),IFERROR(VLOOKUP(B989,#REF!,5,FALSE),"No encontrado. Revisar código, fecha ejecución y/o contrato."))))))))</f>
        <v/>
      </c>
      <c r="D989" s="88" t="str">
        <f>IF(B989="","",
IFERROR(VLOOKUP(B989,'Maestro Materiales'!A:C,2,FALSE),
IFERROR(VLOOKUP(B989,'Baremos actuales'!A:B,2,FALSE),
IFERROR(VLOOKUP(B989,'Baremos anteriores'!A:B,2,FALSE),
""))))</f>
        <v/>
      </c>
      <c r="E989" s="9"/>
      <c r="F989" s="89" t="str">
        <f>IF(D989="MATE",
IF(E989="","¿Unidades?",""),
IF(D989="",IF(E989="","","¿Código?"),
IF(E989="","¿Unidades?",
IF(D989="TARE",
IF(M989=$H$3,IFERROR(VLOOKUP(B989,'Baremos actuales'!A:C,3,FALSE),0),
IF(M989=$H$4,IFERROR(VLOOKUP(B989,'Baremos anteriores'!A:C,3,FALSE),0),0))))))</f>
        <v/>
      </c>
      <c r="G989" s="7"/>
      <c r="H989" s="8"/>
      <c r="I989" s="8"/>
      <c r="J989" s="78" t="str">
        <f>IF($D989="","",
IF($E989="","",
IF($D989="MATE","",
IF(VLOOKUP($B989,'Baremos actuales'!A:D,4,FALSE)=J$9,$E989*$F989,IF(VLOOKUP($B989,'Baremos anteriores'!A:D,4,FALSE)="Sin Definir",$E989*$F989,"")))))</f>
        <v/>
      </c>
      <c r="K989" s="79" t="str">
        <f>IF($D989="","",
IF($E989="","",
IF($D989="MATE","",
IF(VLOOKUP($B989,'Baremos actuales'!$A:$D,4,FALSE)=K$9,$E989*$F989,IF(VLOOKUP($B989,'Baremos anteriores'!$A:$D,4,FALSE)="Desmonte",$E989*$F989,"")))))</f>
        <v/>
      </c>
      <c r="L989" s="80" t="str">
        <f>IF($D989="","",
IF($E989="","",
IF($D989="MATE","",
IF(VLOOKUP($B989,'Baremos actuales'!$A:$D,4,FALSE)=L$9,$E989*$F989,""))))</f>
        <v/>
      </c>
      <c r="M989" s="91" t="str">
        <f t="shared" si="15"/>
        <v/>
      </c>
      <c r="N989" s="96"/>
      <c r="O989" s="95"/>
      <c r="P989" s="96"/>
      <c r="Q989" s="98"/>
    </row>
    <row r="990" spans="1:17" ht="15.75" x14ac:dyDescent="0.2">
      <c r="A990" s="17"/>
      <c r="B990" s="18"/>
      <c r="C990" s="87" t="str">
        <f>IF(B990="","",
IF(M990=$H$5,IFERROR(VLOOKUP(B990,'Baremos actuales'!A:E,5,FALSE),"No encontrado. Revisar código, fecha ejecución y/o contrato."),
IF(M990=$H$4,IFERROR(VLOOKUP(B990,'Baremos anteriores'!A:E,5,FALSE),"No encontrado. Revisar código, fecha ejecución y/o contrato."),
IF(M990=$H$3,IFERROR(VLOOKUP(B990,#REF!,5,FALSE),"No encontrado. Revisar código, fecha ejecución y/o contrato."),
IF(D990="","Código no encontrado",
IF(D990="ERROR","No encontrado. Revisar Código, fecha de ejecución y/o contrato.",
IF(D990="MATE",
IF(C989="DESCRIPCION","NO SE PUEDE COMENZAR SIN CÓDIGO DE TAREA",
IF(C989="","FALTA CÓDIGO DE TAREA",
CONCATENATE("          ",VLOOKUP(B990,'Maestro Materiales'!A:C,3,FALSE)))),IFERROR(VLOOKUP(B990,#REF!,5,FALSE),"No encontrado. Revisar código, fecha ejecución y/o contrato."))))))))</f>
        <v/>
      </c>
      <c r="D990" s="88" t="str">
        <f>IF(B990="","",
IFERROR(VLOOKUP(B990,'Maestro Materiales'!A:C,2,FALSE),
IFERROR(VLOOKUP(B990,'Baremos actuales'!A:B,2,FALSE),
IFERROR(VLOOKUP(B990,'Baremos anteriores'!A:B,2,FALSE),
""))))</f>
        <v/>
      </c>
      <c r="E990" s="9"/>
      <c r="F990" s="89" t="str">
        <f>IF(D990="MATE",
IF(E990="","¿Unidades?",""),
IF(D990="",IF(E990="","","¿Código?"),
IF(E990="","¿Unidades?",
IF(D990="TARE",
IF(M990=$H$3,IFERROR(VLOOKUP(B990,'Baremos actuales'!A:C,3,FALSE),0),
IF(M990=$H$4,IFERROR(VLOOKUP(B990,'Baremos anteriores'!A:C,3,FALSE),0),0))))))</f>
        <v/>
      </c>
      <c r="G990" s="7"/>
      <c r="H990" s="8"/>
      <c r="I990" s="8"/>
      <c r="J990" s="78" t="str">
        <f>IF($D990="","",
IF($E990="","",
IF($D990="MATE","",
IF(VLOOKUP($B990,'Baremos actuales'!A:D,4,FALSE)=J$9,$E990*$F990,IF(VLOOKUP($B990,'Baremos anteriores'!A:D,4,FALSE)="Sin Definir",$E990*$F990,"")))))</f>
        <v/>
      </c>
      <c r="K990" s="79" t="str">
        <f>IF($D990="","",
IF($E990="","",
IF($D990="MATE","",
IF(VLOOKUP($B990,'Baremos actuales'!$A:$D,4,FALSE)=K$9,$E990*$F990,IF(VLOOKUP($B990,'Baremos anteriores'!$A:$D,4,FALSE)="Desmonte",$E990*$F990,"")))))</f>
        <v/>
      </c>
      <c r="L990" s="80" t="str">
        <f>IF($D990="","",
IF($E990="","",
IF($D990="MATE","",
IF(VLOOKUP($B990,'Baremos actuales'!$A:$D,4,FALSE)=L$9,$E990*$F990,""))))</f>
        <v/>
      </c>
      <c r="M990" s="91" t="str">
        <f t="shared" si="15"/>
        <v/>
      </c>
      <c r="N990" s="96"/>
      <c r="O990" s="95"/>
      <c r="P990" s="96"/>
      <c r="Q990" s="98"/>
    </row>
    <row r="991" spans="1:17" ht="15.75" x14ac:dyDescent="0.2">
      <c r="A991" s="17"/>
      <c r="B991" s="18"/>
      <c r="C991" s="87" t="str">
        <f>IF(B991="","",
IF(M991=$H$5,IFERROR(VLOOKUP(B991,'Baremos actuales'!A:E,5,FALSE),"No encontrado. Revisar código, fecha ejecución y/o contrato."),
IF(M991=$H$4,IFERROR(VLOOKUP(B991,'Baremos anteriores'!A:E,5,FALSE),"No encontrado. Revisar código, fecha ejecución y/o contrato."),
IF(M991=$H$3,IFERROR(VLOOKUP(B991,#REF!,5,FALSE),"No encontrado. Revisar código, fecha ejecución y/o contrato."),
IF(D991="","Código no encontrado",
IF(D991="ERROR","No encontrado. Revisar Código, fecha de ejecución y/o contrato.",
IF(D991="MATE",
IF(C990="DESCRIPCION","NO SE PUEDE COMENZAR SIN CÓDIGO DE TAREA",
IF(C990="","FALTA CÓDIGO DE TAREA",
CONCATENATE("          ",VLOOKUP(B991,'Maestro Materiales'!A:C,3,FALSE)))),IFERROR(VLOOKUP(B991,#REF!,5,FALSE),"No encontrado. Revisar código, fecha ejecución y/o contrato."))))))))</f>
        <v/>
      </c>
      <c r="D991" s="88" t="str">
        <f>IF(B991="","",
IFERROR(VLOOKUP(B991,'Maestro Materiales'!A:C,2,FALSE),
IFERROR(VLOOKUP(B991,'Baremos actuales'!A:B,2,FALSE),
IFERROR(VLOOKUP(B991,'Baremos anteriores'!A:B,2,FALSE),
""))))</f>
        <v/>
      </c>
      <c r="E991" s="9"/>
      <c r="F991" s="89" t="str">
        <f>IF(D991="MATE",
IF(E991="","¿Unidades?",""),
IF(D991="",IF(E991="","","¿Código?"),
IF(E991="","¿Unidades?",
IF(D991="TARE",
IF(M991=$H$3,IFERROR(VLOOKUP(B991,'Baremos actuales'!A:C,3,FALSE),0),
IF(M991=$H$4,IFERROR(VLOOKUP(B991,'Baremos anteriores'!A:C,3,FALSE),0),0))))))</f>
        <v/>
      </c>
      <c r="G991" s="7"/>
      <c r="H991" s="8"/>
      <c r="I991" s="8"/>
      <c r="J991" s="78" t="str">
        <f>IF($D991="","",
IF($E991="","",
IF($D991="MATE","",
IF(VLOOKUP($B991,'Baremos actuales'!A:D,4,FALSE)=J$9,$E991*$F991,IF(VLOOKUP($B991,'Baremos anteriores'!A:D,4,FALSE)="Sin Definir",$E991*$F991,"")))))</f>
        <v/>
      </c>
      <c r="K991" s="79" t="str">
        <f>IF($D991="","",
IF($E991="","",
IF($D991="MATE","",
IF(VLOOKUP($B991,'Baremos actuales'!$A:$D,4,FALSE)=K$9,$E991*$F991,IF(VLOOKUP($B991,'Baremos anteriores'!$A:$D,4,FALSE)="Desmonte",$E991*$F991,"")))))</f>
        <v/>
      </c>
      <c r="L991" s="80" t="str">
        <f>IF($D991="","",
IF($E991="","",
IF($D991="MATE","",
IF(VLOOKUP($B991,'Baremos actuales'!$A:$D,4,FALSE)=L$9,$E991*$F991,""))))</f>
        <v/>
      </c>
      <c r="M991" s="91" t="str">
        <f t="shared" si="15"/>
        <v/>
      </c>
      <c r="N991" s="96"/>
      <c r="O991" s="95"/>
      <c r="P991" s="96"/>
      <c r="Q991" s="98"/>
    </row>
    <row r="992" spans="1:17" ht="15.75" x14ac:dyDescent="0.2">
      <c r="A992" s="17"/>
      <c r="B992" s="18"/>
      <c r="C992" s="87" t="str">
        <f>IF(B992="","",
IF(M992=$H$5,IFERROR(VLOOKUP(B992,'Baremos actuales'!A:E,5,FALSE),"No encontrado. Revisar código, fecha ejecución y/o contrato."),
IF(M992=$H$4,IFERROR(VLOOKUP(B992,'Baremos anteriores'!A:E,5,FALSE),"No encontrado. Revisar código, fecha ejecución y/o contrato."),
IF(M992=$H$3,IFERROR(VLOOKUP(B992,#REF!,5,FALSE),"No encontrado. Revisar código, fecha ejecución y/o contrato."),
IF(D992="","Código no encontrado",
IF(D992="ERROR","No encontrado. Revisar Código, fecha de ejecución y/o contrato.",
IF(D992="MATE",
IF(C991="DESCRIPCION","NO SE PUEDE COMENZAR SIN CÓDIGO DE TAREA",
IF(C991="","FALTA CÓDIGO DE TAREA",
CONCATENATE("          ",VLOOKUP(B992,'Maestro Materiales'!A:C,3,FALSE)))),IFERROR(VLOOKUP(B992,#REF!,5,FALSE),"No encontrado. Revisar código, fecha ejecución y/o contrato."))))))))</f>
        <v/>
      </c>
      <c r="D992" s="88" t="str">
        <f>IF(B992="","",
IFERROR(VLOOKUP(B992,'Maestro Materiales'!A:C,2,FALSE),
IFERROR(VLOOKUP(B992,'Baremos actuales'!A:B,2,FALSE),
IFERROR(VLOOKUP(B992,'Baremos anteriores'!A:B,2,FALSE),
""))))</f>
        <v/>
      </c>
      <c r="E992" s="9"/>
      <c r="F992" s="89" t="str">
        <f>IF(D992="MATE",
IF(E992="","¿Unidades?",""),
IF(D992="",IF(E992="","","¿Código?"),
IF(E992="","¿Unidades?",
IF(D992="TARE",
IF(M992=$H$3,IFERROR(VLOOKUP(B992,'Baremos actuales'!A:C,3,FALSE),0),
IF(M992=$H$4,IFERROR(VLOOKUP(B992,'Baremos anteriores'!A:C,3,FALSE),0),0))))))</f>
        <v/>
      </c>
      <c r="G992" s="7"/>
      <c r="H992" s="8"/>
      <c r="I992" s="8"/>
      <c r="J992" s="78" t="str">
        <f>IF($D992="","",
IF($E992="","",
IF($D992="MATE","",
IF(VLOOKUP($B992,'Baremos actuales'!A:D,4,FALSE)=J$9,$E992*$F992,IF(VLOOKUP($B992,'Baremos anteriores'!A:D,4,FALSE)="Sin Definir",$E992*$F992,"")))))</f>
        <v/>
      </c>
      <c r="K992" s="79" t="str">
        <f>IF($D992="","",
IF($E992="","",
IF($D992="MATE","",
IF(VLOOKUP($B992,'Baremos actuales'!$A:$D,4,FALSE)=K$9,$E992*$F992,IF(VLOOKUP($B992,'Baremos anteriores'!$A:$D,4,FALSE)="Desmonte",$E992*$F992,"")))))</f>
        <v/>
      </c>
      <c r="L992" s="80" t="str">
        <f>IF($D992="","",
IF($E992="","",
IF($D992="MATE","",
IF(VLOOKUP($B992,'Baremos actuales'!$A:$D,4,FALSE)=L$9,$E992*$F992,""))))</f>
        <v/>
      </c>
      <c r="M992" s="91" t="str">
        <f t="shared" si="15"/>
        <v/>
      </c>
      <c r="N992" s="96"/>
      <c r="O992" s="95"/>
      <c r="P992" s="96"/>
      <c r="Q992" s="98"/>
    </row>
    <row r="993" spans="1:17" ht="15.75" x14ac:dyDescent="0.2">
      <c r="A993" s="17"/>
      <c r="B993" s="18"/>
      <c r="C993" s="87" t="str">
        <f>IF(B993="","",
IF(M993=$H$5,IFERROR(VLOOKUP(B993,'Baremos actuales'!A:E,5,FALSE),"No encontrado. Revisar código, fecha ejecución y/o contrato."),
IF(M993=$H$4,IFERROR(VLOOKUP(B993,'Baremos anteriores'!A:E,5,FALSE),"No encontrado. Revisar código, fecha ejecución y/o contrato."),
IF(M993=$H$3,IFERROR(VLOOKUP(B993,#REF!,5,FALSE),"No encontrado. Revisar código, fecha ejecución y/o contrato."),
IF(D993="","Código no encontrado",
IF(D993="ERROR","No encontrado. Revisar Código, fecha de ejecución y/o contrato.",
IF(D993="MATE",
IF(C992="DESCRIPCION","NO SE PUEDE COMENZAR SIN CÓDIGO DE TAREA",
IF(C992="","FALTA CÓDIGO DE TAREA",
CONCATENATE("          ",VLOOKUP(B993,'Maestro Materiales'!A:C,3,FALSE)))),IFERROR(VLOOKUP(B993,#REF!,5,FALSE),"No encontrado. Revisar código, fecha ejecución y/o contrato."))))))))</f>
        <v/>
      </c>
      <c r="D993" s="88" t="str">
        <f>IF(B993="","",
IFERROR(VLOOKUP(B993,'Maestro Materiales'!A:C,2,FALSE),
IFERROR(VLOOKUP(B993,'Baremos actuales'!A:B,2,FALSE),
IFERROR(VLOOKUP(B993,'Baremos anteriores'!A:B,2,FALSE),
""))))</f>
        <v/>
      </c>
      <c r="E993" s="9"/>
      <c r="F993" s="89" t="str">
        <f>IF(D993="MATE",
IF(E993="","¿Unidades?",""),
IF(D993="",IF(E993="","","¿Código?"),
IF(E993="","¿Unidades?",
IF(D993="TARE",
IF(M993=$H$3,IFERROR(VLOOKUP(B993,'Baremos actuales'!A:C,3,FALSE),0),
IF(M993=$H$4,IFERROR(VLOOKUP(B993,'Baremos anteriores'!A:C,3,FALSE),0),0))))))</f>
        <v/>
      </c>
      <c r="G993" s="7"/>
      <c r="H993" s="8"/>
      <c r="I993" s="8"/>
      <c r="J993" s="78" t="str">
        <f>IF($D993="","",
IF($E993="","",
IF($D993="MATE","",
IF(VLOOKUP($B993,'Baremos actuales'!A:D,4,FALSE)=J$9,$E993*$F993,IF(VLOOKUP($B993,'Baremos anteriores'!A:D,4,FALSE)="Sin Definir",$E993*$F993,"")))))</f>
        <v/>
      </c>
      <c r="K993" s="79" t="str">
        <f>IF($D993="","",
IF($E993="","",
IF($D993="MATE","",
IF(VLOOKUP($B993,'Baremos actuales'!$A:$D,4,FALSE)=K$9,$E993*$F993,IF(VLOOKUP($B993,'Baremos anteriores'!$A:$D,4,FALSE)="Desmonte",$E993*$F993,"")))))</f>
        <v/>
      </c>
      <c r="L993" s="80" t="str">
        <f>IF($D993="","",
IF($E993="","",
IF($D993="MATE","",
IF(VLOOKUP($B993,'Baremos actuales'!$A:$D,4,FALSE)=L$9,$E993*$F993,""))))</f>
        <v/>
      </c>
      <c r="M993" s="91" t="str">
        <f t="shared" si="15"/>
        <v/>
      </c>
      <c r="N993" s="96"/>
      <c r="O993" s="95"/>
      <c r="P993" s="96"/>
      <c r="Q993" s="98"/>
    </row>
    <row r="994" spans="1:17" ht="15.75" x14ac:dyDescent="0.2">
      <c r="A994" s="17"/>
      <c r="B994" s="18"/>
      <c r="C994" s="87" t="str">
        <f>IF(B994="","",
IF(M994=$H$5,IFERROR(VLOOKUP(B994,'Baremos actuales'!A:E,5,FALSE),"No encontrado. Revisar código, fecha ejecución y/o contrato."),
IF(M994=$H$4,IFERROR(VLOOKUP(B994,'Baremos anteriores'!A:E,5,FALSE),"No encontrado. Revisar código, fecha ejecución y/o contrato."),
IF(M994=$H$3,IFERROR(VLOOKUP(B994,#REF!,5,FALSE),"No encontrado. Revisar código, fecha ejecución y/o contrato."),
IF(D994="","Código no encontrado",
IF(D994="ERROR","No encontrado. Revisar Código, fecha de ejecución y/o contrato.",
IF(D994="MATE",
IF(C993="DESCRIPCION","NO SE PUEDE COMENZAR SIN CÓDIGO DE TAREA",
IF(C993="","FALTA CÓDIGO DE TAREA",
CONCATENATE("          ",VLOOKUP(B994,'Maestro Materiales'!A:C,3,FALSE)))),IFERROR(VLOOKUP(B994,#REF!,5,FALSE),"No encontrado. Revisar código, fecha ejecución y/o contrato."))))))))</f>
        <v/>
      </c>
      <c r="D994" s="88" t="str">
        <f>IF(B994="","",
IFERROR(VLOOKUP(B994,'Maestro Materiales'!A:C,2,FALSE),
IFERROR(VLOOKUP(B994,'Baremos actuales'!A:B,2,FALSE),
IFERROR(VLOOKUP(B994,'Baremos anteriores'!A:B,2,FALSE),
""))))</f>
        <v/>
      </c>
      <c r="E994" s="9"/>
      <c r="F994" s="89" t="str">
        <f>IF(D994="MATE",
IF(E994="","¿Unidades?",""),
IF(D994="",IF(E994="","","¿Código?"),
IF(E994="","¿Unidades?",
IF(D994="TARE",
IF(M994=$H$3,IFERROR(VLOOKUP(B994,'Baremos actuales'!A:C,3,FALSE),0),
IF(M994=$H$4,IFERROR(VLOOKUP(B994,'Baremos anteriores'!A:C,3,FALSE),0),0))))))</f>
        <v/>
      </c>
      <c r="G994" s="7"/>
      <c r="H994" s="8"/>
      <c r="I994" s="8"/>
      <c r="J994" s="78" t="str">
        <f>IF($D994="","",
IF($E994="","",
IF($D994="MATE","",
IF(VLOOKUP($B994,'Baremos actuales'!A:D,4,FALSE)=J$9,$E994*$F994,IF(VLOOKUP($B994,'Baremos anteriores'!A:D,4,FALSE)="Sin Definir",$E994*$F994,"")))))</f>
        <v/>
      </c>
      <c r="K994" s="79" t="str">
        <f>IF($D994="","",
IF($E994="","",
IF($D994="MATE","",
IF(VLOOKUP($B994,'Baremos actuales'!$A:$D,4,FALSE)=K$9,$E994*$F994,IF(VLOOKUP($B994,'Baremos anteriores'!$A:$D,4,FALSE)="Desmonte",$E994*$F994,"")))))</f>
        <v/>
      </c>
      <c r="L994" s="80" t="str">
        <f>IF($D994="","",
IF($E994="","",
IF($D994="MATE","",
IF(VLOOKUP($B994,'Baremos actuales'!$A:$D,4,FALSE)=L$9,$E994*$F994,""))))</f>
        <v/>
      </c>
      <c r="M994" s="91" t="str">
        <f t="shared" si="15"/>
        <v/>
      </c>
      <c r="N994" s="96"/>
      <c r="O994" s="95"/>
      <c r="P994" s="96"/>
      <c r="Q994" s="98"/>
    </row>
    <row r="995" spans="1:17" ht="15.75" x14ac:dyDescent="0.2">
      <c r="A995" s="17"/>
      <c r="B995" s="18"/>
      <c r="C995" s="87" t="str">
        <f>IF(B995="","",
IF(M995=$H$5,IFERROR(VLOOKUP(B995,'Baremos actuales'!A:E,5,FALSE),"No encontrado. Revisar código, fecha ejecución y/o contrato."),
IF(M995=$H$4,IFERROR(VLOOKUP(B995,'Baremos anteriores'!A:E,5,FALSE),"No encontrado. Revisar código, fecha ejecución y/o contrato."),
IF(M995=$H$3,IFERROR(VLOOKUP(B995,#REF!,5,FALSE),"No encontrado. Revisar código, fecha ejecución y/o contrato."),
IF(D995="","Código no encontrado",
IF(D995="ERROR","No encontrado. Revisar Código, fecha de ejecución y/o contrato.",
IF(D995="MATE",
IF(C994="DESCRIPCION","NO SE PUEDE COMENZAR SIN CÓDIGO DE TAREA",
IF(C994="","FALTA CÓDIGO DE TAREA",
CONCATENATE("          ",VLOOKUP(B995,'Maestro Materiales'!A:C,3,FALSE)))),IFERROR(VLOOKUP(B995,#REF!,5,FALSE),"No encontrado. Revisar código, fecha ejecución y/o contrato."))))))))</f>
        <v/>
      </c>
      <c r="D995" s="88" t="str">
        <f>IF(B995="","",
IFERROR(VLOOKUP(B995,'Maestro Materiales'!A:C,2,FALSE),
IFERROR(VLOOKUP(B995,'Baremos actuales'!A:B,2,FALSE),
IFERROR(VLOOKUP(B995,'Baremos anteriores'!A:B,2,FALSE),
""))))</f>
        <v/>
      </c>
      <c r="E995" s="9"/>
      <c r="F995" s="89" t="str">
        <f>IF(D995="MATE",
IF(E995="","¿Unidades?",""),
IF(D995="",IF(E995="","","¿Código?"),
IF(E995="","¿Unidades?",
IF(D995="TARE",
IF(M995=$H$3,IFERROR(VLOOKUP(B995,'Baremos actuales'!A:C,3,FALSE),0),
IF(M995=$H$4,IFERROR(VLOOKUP(B995,'Baremos anteriores'!A:C,3,FALSE),0),0))))))</f>
        <v/>
      </c>
      <c r="G995" s="7"/>
      <c r="H995" s="8"/>
      <c r="I995" s="8"/>
      <c r="J995" s="78" t="str">
        <f>IF($D995="","",
IF($E995="","",
IF($D995="MATE","",
IF(VLOOKUP($B995,'Baremos actuales'!A:D,4,FALSE)=J$9,$E995*$F995,IF(VLOOKUP($B995,'Baremos anteriores'!A:D,4,FALSE)="Sin Definir",$E995*$F995,"")))))</f>
        <v/>
      </c>
      <c r="K995" s="79" t="str">
        <f>IF($D995="","",
IF($E995="","",
IF($D995="MATE","",
IF(VLOOKUP($B995,'Baremos actuales'!$A:$D,4,FALSE)=K$9,$E995*$F995,IF(VLOOKUP($B995,'Baremos anteriores'!$A:$D,4,FALSE)="Desmonte",$E995*$F995,"")))))</f>
        <v/>
      </c>
      <c r="L995" s="80" t="str">
        <f>IF($D995="","",
IF($E995="","",
IF($D995="MATE","",
IF(VLOOKUP($B995,'Baremos actuales'!$A:$D,4,FALSE)=L$9,$E995*$F995,""))))</f>
        <v/>
      </c>
      <c r="M995" s="91" t="str">
        <f t="shared" si="15"/>
        <v/>
      </c>
      <c r="N995" s="96"/>
      <c r="O995" s="95"/>
      <c r="P995" s="96"/>
      <c r="Q995" s="98"/>
    </row>
    <row r="996" spans="1:17" ht="15.75" x14ac:dyDescent="0.2">
      <c r="A996" s="17"/>
      <c r="B996" s="18"/>
      <c r="C996" s="87" t="str">
        <f>IF(B996="","",
IF(M996=$H$5,IFERROR(VLOOKUP(B996,'Baremos actuales'!A:E,5,FALSE),"No encontrado. Revisar código, fecha ejecución y/o contrato."),
IF(M996=$H$4,IFERROR(VLOOKUP(B996,'Baremos anteriores'!A:E,5,FALSE),"No encontrado. Revisar código, fecha ejecución y/o contrato."),
IF(M996=$H$3,IFERROR(VLOOKUP(B996,#REF!,5,FALSE),"No encontrado. Revisar código, fecha ejecución y/o contrato."),
IF(D996="","Código no encontrado",
IF(D996="ERROR","No encontrado. Revisar Código, fecha de ejecución y/o contrato.",
IF(D996="MATE",
IF(C995="DESCRIPCION","NO SE PUEDE COMENZAR SIN CÓDIGO DE TAREA",
IF(C995="","FALTA CÓDIGO DE TAREA",
CONCATENATE("          ",VLOOKUP(B996,'Maestro Materiales'!A:C,3,FALSE)))),IFERROR(VLOOKUP(B996,#REF!,5,FALSE),"No encontrado. Revisar código, fecha ejecución y/o contrato."))))))))</f>
        <v/>
      </c>
      <c r="D996" s="88" t="str">
        <f>IF(B996="","",
IFERROR(VLOOKUP(B996,'Maestro Materiales'!A:C,2,FALSE),
IFERROR(VLOOKUP(B996,'Baremos actuales'!A:B,2,FALSE),
IFERROR(VLOOKUP(B996,'Baremos anteriores'!A:B,2,FALSE),
""))))</f>
        <v/>
      </c>
      <c r="E996" s="9"/>
      <c r="F996" s="89" t="str">
        <f>IF(D996="MATE",
IF(E996="","¿Unidades?",""),
IF(D996="",IF(E996="","","¿Código?"),
IF(E996="","¿Unidades?",
IF(D996="TARE",
IF(M996=$H$3,IFERROR(VLOOKUP(B996,'Baremos actuales'!A:C,3,FALSE),0),
IF(M996=$H$4,IFERROR(VLOOKUP(B996,'Baremos anteriores'!A:C,3,FALSE),0),0))))))</f>
        <v/>
      </c>
      <c r="G996" s="7"/>
      <c r="H996" s="8"/>
      <c r="I996" s="8"/>
      <c r="J996" s="78" t="str">
        <f>IF($D996="","",
IF($E996="","",
IF($D996="MATE","",
IF(VLOOKUP($B996,'Baremos actuales'!A:D,4,FALSE)=J$9,$E996*$F996,IF(VLOOKUP($B996,'Baremos anteriores'!A:D,4,FALSE)="Sin Definir",$E996*$F996,"")))))</f>
        <v/>
      </c>
      <c r="K996" s="79" t="str">
        <f>IF($D996="","",
IF($E996="","",
IF($D996="MATE","",
IF(VLOOKUP($B996,'Baremos actuales'!$A:$D,4,FALSE)=K$9,$E996*$F996,IF(VLOOKUP($B996,'Baremos anteriores'!$A:$D,4,FALSE)="Desmonte",$E996*$F996,"")))))</f>
        <v/>
      </c>
      <c r="L996" s="80" t="str">
        <f>IF($D996="","",
IF($E996="","",
IF($D996="MATE","",
IF(VLOOKUP($B996,'Baremos actuales'!$A:$D,4,FALSE)=L$9,$E996*$F996,""))))</f>
        <v/>
      </c>
      <c r="M996" s="91" t="str">
        <f t="shared" si="15"/>
        <v/>
      </c>
      <c r="N996" s="96"/>
      <c r="O996" s="95"/>
      <c r="P996" s="96"/>
      <c r="Q996" s="98"/>
    </row>
    <row r="997" spans="1:17" ht="15.75" x14ac:dyDescent="0.2">
      <c r="A997" s="17"/>
      <c r="B997" s="18"/>
      <c r="C997" s="87" t="str">
        <f>IF(B997="","",
IF(M997=$H$5,IFERROR(VLOOKUP(B997,'Baremos actuales'!A:E,5,FALSE),"No encontrado. Revisar código, fecha ejecución y/o contrato."),
IF(M997=$H$4,IFERROR(VLOOKUP(B997,'Baremos anteriores'!A:E,5,FALSE),"No encontrado. Revisar código, fecha ejecución y/o contrato."),
IF(M997=$H$3,IFERROR(VLOOKUP(B997,#REF!,5,FALSE),"No encontrado. Revisar código, fecha ejecución y/o contrato."),
IF(D997="","Código no encontrado",
IF(D997="ERROR","No encontrado. Revisar Código, fecha de ejecución y/o contrato.",
IF(D997="MATE",
IF(C996="DESCRIPCION","NO SE PUEDE COMENZAR SIN CÓDIGO DE TAREA",
IF(C996="","FALTA CÓDIGO DE TAREA",
CONCATENATE("          ",VLOOKUP(B997,'Maestro Materiales'!A:C,3,FALSE)))),IFERROR(VLOOKUP(B997,#REF!,5,FALSE),"No encontrado. Revisar código, fecha ejecución y/o contrato."))))))))</f>
        <v/>
      </c>
      <c r="D997" s="88" t="str">
        <f>IF(B997="","",
IFERROR(VLOOKUP(B997,'Maestro Materiales'!A:C,2,FALSE),
IFERROR(VLOOKUP(B997,'Baremos actuales'!A:B,2,FALSE),
IFERROR(VLOOKUP(B997,'Baremos anteriores'!A:B,2,FALSE),
""))))</f>
        <v/>
      </c>
      <c r="E997" s="9"/>
      <c r="F997" s="89" t="str">
        <f>IF(D997="MATE",
IF(E997="","¿Unidades?",""),
IF(D997="",IF(E997="","","¿Código?"),
IF(E997="","¿Unidades?",
IF(D997="TARE",
IF(M997=$H$3,IFERROR(VLOOKUP(B997,'Baremos actuales'!A:C,3,FALSE),0),
IF(M997=$H$4,IFERROR(VLOOKUP(B997,'Baremos anteriores'!A:C,3,FALSE),0),0))))))</f>
        <v/>
      </c>
      <c r="G997" s="7"/>
      <c r="H997" s="8"/>
      <c r="I997" s="8"/>
      <c r="J997" s="78" t="str">
        <f>IF($D997="","",
IF($E997="","",
IF($D997="MATE","",
IF(VLOOKUP($B997,'Baremos actuales'!A:D,4,FALSE)=J$9,$E997*$F997,IF(VLOOKUP($B997,'Baremos anteriores'!A:D,4,FALSE)="Sin Definir",$E997*$F997,"")))))</f>
        <v/>
      </c>
      <c r="K997" s="79" t="str">
        <f>IF($D997="","",
IF($E997="","",
IF($D997="MATE","",
IF(VLOOKUP($B997,'Baremos actuales'!$A:$D,4,FALSE)=K$9,$E997*$F997,IF(VLOOKUP($B997,'Baremos anteriores'!$A:$D,4,FALSE)="Desmonte",$E997*$F997,"")))))</f>
        <v/>
      </c>
      <c r="L997" s="80" t="str">
        <f>IF($D997="","",
IF($E997="","",
IF($D997="MATE","",
IF(VLOOKUP($B997,'Baremos actuales'!$A:$D,4,FALSE)=L$9,$E997*$F997,""))))</f>
        <v/>
      </c>
      <c r="M997" s="91" t="str">
        <f t="shared" si="15"/>
        <v/>
      </c>
      <c r="N997" s="96"/>
      <c r="O997" s="95"/>
      <c r="P997" s="96"/>
      <c r="Q997" s="98"/>
    </row>
    <row r="998" spans="1:17" ht="15.75" x14ac:dyDescent="0.2">
      <c r="A998" s="17"/>
      <c r="B998" s="18"/>
      <c r="C998" s="87" t="str">
        <f>IF(B998="","",
IF(M998=$H$5,IFERROR(VLOOKUP(B998,'Baremos actuales'!A:E,5,FALSE),"No encontrado. Revisar código, fecha ejecución y/o contrato."),
IF(M998=$H$4,IFERROR(VLOOKUP(B998,'Baremos anteriores'!A:E,5,FALSE),"No encontrado. Revisar código, fecha ejecución y/o contrato."),
IF(M998=$H$3,IFERROR(VLOOKUP(B998,#REF!,5,FALSE),"No encontrado. Revisar código, fecha ejecución y/o contrato."),
IF(D998="","Código no encontrado",
IF(D998="ERROR","No encontrado. Revisar Código, fecha de ejecución y/o contrato.",
IF(D998="MATE",
IF(C997="DESCRIPCION","NO SE PUEDE COMENZAR SIN CÓDIGO DE TAREA",
IF(C997="","FALTA CÓDIGO DE TAREA",
CONCATENATE("          ",VLOOKUP(B998,'Maestro Materiales'!A:C,3,FALSE)))),IFERROR(VLOOKUP(B998,#REF!,5,FALSE),"No encontrado. Revisar código, fecha ejecución y/o contrato."))))))))</f>
        <v/>
      </c>
      <c r="D998" s="88" t="str">
        <f>IF(B998="","",
IFERROR(VLOOKUP(B998,'Maestro Materiales'!A:C,2,FALSE),
IFERROR(VLOOKUP(B998,'Baremos actuales'!A:B,2,FALSE),
IFERROR(VLOOKUP(B998,'Baremos anteriores'!A:B,2,FALSE),
""))))</f>
        <v/>
      </c>
      <c r="E998" s="9"/>
      <c r="F998" s="89" t="str">
        <f>IF(D998="MATE",
IF(E998="","¿Unidades?",""),
IF(D998="",IF(E998="","","¿Código?"),
IF(E998="","¿Unidades?",
IF(D998="TARE",
IF(M998=$H$3,IFERROR(VLOOKUP(B998,'Baremos actuales'!A:C,3,FALSE),0),
IF(M998=$H$4,IFERROR(VLOOKUP(B998,'Baremos anteriores'!A:C,3,FALSE),0),0))))))</f>
        <v/>
      </c>
      <c r="G998" s="7"/>
      <c r="H998" s="8"/>
      <c r="I998" s="8"/>
      <c r="J998" s="78" t="str">
        <f>IF($D998="","",
IF($E998="","",
IF($D998="MATE","",
IF(VLOOKUP($B998,'Baremos actuales'!A:D,4,FALSE)=J$9,$E998*$F998,IF(VLOOKUP($B998,'Baremos anteriores'!A:D,4,FALSE)="Sin Definir",$E998*$F998,"")))))</f>
        <v/>
      </c>
      <c r="K998" s="79" t="str">
        <f>IF($D998="","",
IF($E998="","",
IF($D998="MATE","",
IF(VLOOKUP($B998,'Baremos actuales'!$A:$D,4,FALSE)=K$9,$E998*$F998,IF(VLOOKUP($B998,'Baremos anteriores'!$A:$D,4,FALSE)="Desmonte",$E998*$F998,"")))))</f>
        <v/>
      </c>
      <c r="L998" s="80" t="str">
        <f>IF($D998="","",
IF($E998="","",
IF($D998="MATE","",
IF(VLOOKUP($B998,'Baremos actuales'!$A:$D,4,FALSE)=L$9,$E998*$F998,""))))</f>
        <v/>
      </c>
      <c r="M998" s="91" t="str">
        <f t="shared" si="15"/>
        <v/>
      </c>
      <c r="N998" s="96"/>
      <c r="O998" s="95"/>
      <c r="P998" s="96"/>
      <c r="Q998" s="98"/>
    </row>
    <row r="999" spans="1:17" ht="15.75" x14ac:dyDescent="0.2">
      <c r="A999" s="17"/>
      <c r="B999" s="18"/>
      <c r="C999" s="87" t="str">
        <f>IF(B999="","",
IF(M999=$H$5,IFERROR(VLOOKUP(B999,'Baremos actuales'!A:E,5,FALSE),"No encontrado. Revisar código, fecha ejecución y/o contrato."),
IF(M999=$H$4,IFERROR(VLOOKUP(B999,'Baremos anteriores'!A:E,5,FALSE),"No encontrado. Revisar código, fecha ejecución y/o contrato."),
IF(M999=$H$3,IFERROR(VLOOKUP(B999,#REF!,5,FALSE),"No encontrado. Revisar código, fecha ejecución y/o contrato."),
IF(D999="","Código no encontrado",
IF(D999="ERROR","No encontrado. Revisar Código, fecha de ejecución y/o contrato.",
IF(D999="MATE",
IF(C998="DESCRIPCION","NO SE PUEDE COMENZAR SIN CÓDIGO DE TAREA",
IF(C998="","FALTA CÓDIGO DE TAREA",
CONCATENATE("          ",VLOOKUP(B999,'Maestro Materiales'!A:C,3,FALSE)))),IFERROR(VLOOKUP(B999,#REF!,5,FALSE),"No encontrado. Revisar código, fecha ejecución y/o contrato."))))))))</f>
        <v/>
      </c>
      <c r="D999" s="88" t="str">
        <f>IF(B999="","",
IFERROR(VLOOKUP(B999,'Maestro Materiales'!A:C,2,FALSE),
IFERROR(VLOOKUP(B999,'Baremos actuales'!A:B,2,FALSE),
IFERROR(VLOOKUP(B999,'Baremos anteriores'!A:B,2,FALSE),
""))))</f>
        <v/>
      </c>
      <c r="E999" s="9"/>
      <c r="F999" s="89" t="str">
        <f>IF(D999="MATE",
IF(E999="","¿Unidades?",""),
IF(D999="",IF(E999="","","¿Código?"),
IF(E999="","¿Unidades?",
IF(D999="TARE",
IF(M999=$H$3,IFERROR(VLOOKUP(B999,'Baremos actuales'!A:C,3,FALSE),0),
IF(M999=$H$4,IFERROR(VLOOKUP(B999,'Baremos anteriores'!A:C,3,FALSE),0),0))))))</f>
        <v/>
      </c>
      <c r="G999" s="7"/>
      <c r="H999" s="8"/>
      <c r="I999" s="8"/>
      <c r="J999" s="78" t="str">
        <f>IF($D999="","",
IF($E999="","",
IF($D999="MATE","",
IF(VLOOKUP($B999,'Baremos actuales'!A:D,4,FALSE)=J$9,$E999*$F999,IF(VLOOKUP($B999,'Baremos anteriores'!A:D,4,FALSE)="Sin Definir",$E999*$F999,"")))))</f>
        <v/>
      </c>
      <c r="K999" s="79" t="str">
        <f>IF($D999="","",
IF($E999="","",
IF($D999="MATE","",
IF(VLOOKUP($B999,'Baremos actuales'!$A:$D,4,FALSE)=K$9,$E999*$F999,IF(VLOOKUP($B999,'Baremos anteriores'!$A:$D,4,FALSE)="Desmonte",$E999*$F999,"")))))</f>
        <v/>
      </c>
      <c r="L999" s="80" t="str">
        <f>IF($D999="","",
IF($E999="","",
IF($D999="MATE","",
IF(VLOOKUP($B999,'Baremos actuales'!$A:$D,4,FALSE)=L$9,$E999*$F999,""))))</f>
        <v/>
      </c>
      <c r="M999" s="91" t="str">
        <f t="shared" si="15"/>
        <v/>
      </c>
      <c r="N999" s="96"/>
      <c r="O999" s="95"/>
      <c r="P999" s="96"/>
      <c r="Q999" s="98"/>
    </row>
    <row r="1000" spans="1:17" ht="15.75" x14ac:dyDescent="0.2">
      <c r="A1000" s="17"/>
      <c r="B1000" s="18"/>
      <c r="C1000" s="87" t="str">
        <f>IF(B1000="","",
IF(M1000=$H$5,IFERROR(VLOOKUP(B1000,'Baremos actuales'!A:E,5,FALSE),"No encontrado. Revisar código, fecha ejecución y/o contrato."),
IF(M1000=$H$4,IFERROR(VLOOKUP(B1000,'Baremos anteriores'!A:E,5,FALSE),"No encontrado. Revisar código, fecha ejecución y/o contrato."),
IF(M1000=$H$3,IFERROR(VLOOKUP(B1000,#REF!,5,FALSE),"No encontrado. Revisar código, fecha ejecución y/o contrato."),
IF(D1000="","Código no encontrado",
IF(D1000="ERROR","No encontrado. Revisar Código, fecha de ejecución y/o contrato.",
IF(D1000="MATE",
IF(C999="DESCRIPCION","NO SE PUEDE COMENZAR SIN CÓDIGO DE TAREA",
IF(C999="","FALTA CÓDIGO DE TAREA",
CONCATENATE("          ",VLOOKUP(B1000,'Maestro Materiales'!A:C,3,FALSE)))),IFERROR(VLOOKUP(B1000,#REF!,5,FALSE),"No encontrado. Revisar código, fecha ejecución y/o contrato."))))))))</f>
        <v/>
      </c>
      <c r="D1000" s="88" t="str">
        <f>IF(B1000="","",
IFERROR(VLOOKUP(B1000,'Maestro Materiales'!A:C,2,FALSE),
IFERROR(VLOOKUP(B1000,'Baremos actuales'!A:B,2,FALSE),
IFERROR(VLOOKUP(B1000,'Baremos anteriores'!A:B,2,FALSE),
""))))</f>
        <v/>
      </c>
      <c r="E1000" s="9"/>
      <c r="F1000" s="89" t="str">
        <f>IF(D1000="MATE",
IF(E1000="","¿Unidades?",""),
IF(D1000="",IF(E1000="","","¿Código?"),
IF(E1000="","¿Unidades?",
IF(D1000="TARE",
IF(M1000=$H$3,IFERROR(VLOOKUP(B1000,'Baremos actuales'!A:C,3,FALSE),0),
IF(M1000=$H$4,IFERROR(VLOOKUP(B1000,'Baremos anteriores'!A:C,3,FALSE),0),0))))))</f>
        <v/>
      </c>
      <c r="G1000" s="7"/>
      <c r="H1000" s="8"/>
      <c r="I1000" s="8"/>
      <c r="J1000" s="78" t="str">
        <f>IF($D1000="","",
IF($E1000="","",
IF($D1000="MATE","",
IF(VLOOKUP($B1000,'Baremos actuales'!A:D,4,FALSE)=J$9,$E1000*$F1000,IF(VLOOKUP($B1000,'Baremos anteriores'!A:D,4,FALSE)="Sin Definir",$E1000*$F1000,"")))))</f>
        <v/>
      </c>
      <c r="K1000" s="79" t="str">
        <f>IF($D1000="","",
IF($E1000="","",
IF($D1000="MATE","",
IF(VLOOKUP($B1000,'Baremos actuales'!$A:$D,4,FALSE)=K$9,$E1000*$F1000,IF(VLOOKUP($B1000,'Baremos anteriores'!$A:$D,4,FALSE)="Desmonte",$E1000*$F1000,"")))))</f>
        <v/>
      </c>
      <c r="L1000" s="80" t="str">
        <f>IF($D1000="","",
IF($E1000="","",
IF($D1000="MATE","",
IF(VLOOKUP($B1000,'Baremos actuales'!$A:$D,4,FALSE)=L$9,$E1000*$F1000,""))))</f>
        <v/>
      </c>
      <c r="M1000" s="91" t="str">
        <f t="shared" si="15"/>
        <v/>
      </c>
      <c r="N1000" s="96"/>
      <c r="O1000" s="95"/>
      <c r="P1000" s="96"/>
      <c r="Q1000" s="98"/>
    </row>
    <row r="1001" spans="1:17" ht="15.75" x14ac:dyDescent="0.2">
      <c r="A1001" s="17"/>
      <c r="B1001" s="18"/>
      <c r="C1001" s="87" t="str">
        <f>IF(B1001="","",
IF(M1001=$H$5,IFERROR(VLOOKUP(B1001,'Baremos actuales'!A:E,5,FALSE),"No encontrado. Revisar código, fecha ejecución y/o contrato."),
IF(M1001=$H$4,IFERROR(VLOOKUP(B1001,'Baremos anteriores'!A:E,5,FALSE),"No encontrado. Revisar código, fecha ejecución y/o contrato."),
IF(M1001=$H$3,IFERROR(VLOOKUP(B1001,#REF!,5,FALSE),"No encontrado. Revisar código, fecha ejecución y/o contrato."),
IF(D1001="","Código no encontrado",
IF(D1001="ERROR","No encontrado. Revisar Código, fecha de ejecución y/o contrato.",
IF(D1001="MATE",
IF(C1000="DESCRIPCION","NO SE PUEDE COMENZAR SIN CÓDIGO DE TAREA",
IF(C1000="","FALTA CÓDIGO DE TAREA",
CONCATENATE("          ",VLOOKUP(B1001,'Maestro Materiales'!A:C,3,FALSE)))),IFERROR(VLOOKUP(B1001,#REF!,5,FALSE),"No encontrado. Revisar código, fecha ejecución y/o contrato."))))))))</f>
        <v/>
      </c>
      <c r="D1001" s="88" t="str">
        <f>IF(B1001="","",
IFERROR(VLOOKUP(B1001,'Maestro Materiales'!A:C,2,FALSE),
IFERROR(VLOOKUP(B1001,'Baremos actuales'!A:B,2,FALSE),
IFERROR(VLOOKUP(B1001,'Baremos anteriores'!A:B,2,FALSE),
""))))</f>
        <v/>
      </c>
      <c r="E1001" s="9"/>
      <c r="F1001" s="89" t="str">
        <f>IF(D1001="MATE",
IF(E1001="","¿Unidades?",""),
IF(D1001="",IF(E1001="","","¿Código?"),
IF(E1001="","¿Unidades?",
IF(D1001="TARE",
IF(M1001=$H$3,IFERROR(VLOOKUP(B1001,'Baremos actuales'!A:C,3,FALSE),0),
IF(M1001=$H$4,IFERROR(VLOOKUP(B1001,'Baremos anteriores'!A:C,3,FALSE),0),0))))))</f>
        <v/>
      </c>
      <c r="G1001" s="7"/>
      <c r="H1001" s="8"/>
      <c r="I1001" s="8"/>
      <c r="J1001" s="78" t="str">
        <f>IF($D1001="","",
IF($E1001="","",
IF($D1001="MATE","",
IF(VLOOKUP($B1001,'Baremos actuales'!A:D,4,FALSE)=J$9,$E1001*$F1001,IF(VLOOKUP($B1001,'Baremos anteriores'!A:D,4,FALSE)="Sin Definir",$E1001*$F1001,"")))))</f>
        <v/>
      </c>
      <c r="K1001" s="79" t="str">
        <f>IF($D1001="","",
IF($E1001="","",
IF($D1001="MATE","",
IF(VLOOKUP($B1001,'Baremos actuales'!$A:$D,4,FALSE)=K$9,$E1001*$F1001,IF(VLOOKUP($B1001,'Baremos anteriores'!$A:$D,4,FALSE)="Desmonte",$E1001*$F1001,"")))))</f>
        <v/>
      </c>
      <c r="L1001" s="80" t="str">
        <f>IF($D1001="","",
IF($E1001="","",
IF($D1001="MATE","",
IF(VLOOKUP($B1001,'Baremos actuales'!$A:$D,4,FALSE)=L$9,$E1001*$F1001,""))))</f>
        <v/>
      </c>
      <c r="M1001" s="91" t="str">
        <f t="shared" si="15"/>
        <v/>
      </c>
      <c r="N1001" s="96"/>
      <c r="O1001" s="95"/>
      <c r="P1001" s="96"/>
      <c r="Q1001" s="98"/>
    </row>
    <row r="1002" spans="1:17" ht="15.75" x14ac:dyDescent="0.2">
      <c r="A1002" s="17"/>
      <c r="B1002" s="18"/>
      <c r="C1002" s="87" t="str">
        <f>IF(B1002="","",
IF(M1002=$H$5,IFERROR(VLOOKUP(B1002,'Baremos actuales'!A:E,5,FALSE),"No encontrado. Revisar código, fecha ejecución y/o contrato."),
IF(M1002=$H$4,IFERROR(VLOOKUP(B1002,'Baremos anteriores'!A:E,5,FALSE),"No encontrado. Revisar código, fecha ejecución y/o contrato."),
IF(M1002=$H$3,IFERROR(VLOOKUP(B1002,#REF!,5,FALSE),"No encontrado. Revisar código, fecha ejecución y/o contrato."),
IF(D1002="","Código no encontrado",
IF(D1002="ERROR","No encontrado. Revisar Código, fecha de ejecución y/o contrato.",
IF(D1002="MATE",
IF(C1001="DESCRIPCION","NO SE PUEDE COMENZAR SIN CÓDIGO DE TAREA",
IF(C1001="","FALTA CÓDIGO DE TAREA",
CONCATENATE("          ",VLOOKUP(B1002,'Maestro Materiales'!A:C,3,FALSE)))),IFERROR(VLOOKUP(B1002,#REF!,5,FALSE),"No encontrado. Revisar código, fecha ejecución y/o contrato."))))))))</f>
        <v/>
      </c>
      <c r="D1002" s="88" t="str">
        <f>IF(B1002="","",
IFERROR(VLOOKUP(B1002,'Maestro Materiales'!A:C,2,FALSE),
IFERROR(VLOOKUP(B1002,'Baremos actuales'!A:B,2,FALSE),
IFERROR(VLOOKUP(B1002,'Baremos anteriores'!A:B,2,FALSE),
""))))</f>
        <v/>
      </c>
      <c r="E1002" s="9"/>
      <c r="F1002" s="89" t="str">
        <f>IF(D1002="MATE",
IF(E1002="","¿Unidades?",""),
IF(D1002="",IF(E1002="","","¿Código?"),
IF(E1002="","¿Unidades?",
IF(D1002="TARE",
IF(M1002=$H$3,IFERROR(VLOOKUP(B1002,'Baremos actuales'!A:C,3,FALSE),0),
IF(M1002=$H$4,IFERROR(VLOOKUP(B1002,'Baremos anteriores'!A:C,3,FALSE),0),0))))))</f>
        <v/>
      </c>
      <c r="G1002" s="7"/>
      <c r="H1002" s="8"/>
      <c r="I1002" s="8"/>
      <c r="J1002" s="78" t="str">
        <f>IF($D1002="","",
IF($E1002="","",
IF($D1002="MATE","",
IF(VLOOKUP($B1002,'Baremos actuales'!A:D,4,FALSE)=J$9,$E1002*$F1002,IF(VLOOKUP($B1002,'Baremos anteriores'!A:D,4,FALSE)="Sin Definir",$E1002*$F1002,"")))))</f>
        <v/>
      </c>
      <c r="K1002" s="79" t="str">
        <f>IF($D1002="","",
IF($E1002="","",
IF($D1002="MATE","",
IF(VLOOKUP($B1002,'Baremos actuales'!$A:$D,4,FALSE)=K$9,$E1002*$F1002,IF(VLOOKUP($B1002,'Baremos anteriores'!$A:$D,4,FALSE)="Desmonte",$E1002*$F1002,"")))))</f>
        <v/>
      </c>
      <c r="L1002" s="80" t="str">
        <f>IF($D1002="","",
IF($E1002="","",
IF($D1002="MATE","",
IF(VLOOKUP($B1002,'Baremos actuales'!$A:$D,4,FALSE)=L$9,$E1002*$F1002,""))))</f>
        <v/>
      </c>
      <c r="M1002" s="91" t="str">
        <f t="shared" si="15"/>
        <v/>
      </c>
      <c r="N1002" s="96"/>
      <c r="O1002" s="95"/>
      <c r="P1002" s="96"/>
      <c r="Q1002" s="98"/>
    </row>
    <row r="1003" spans="1:17" ht="15.75" x14ac:dyDescent="0.2">
      <c r="A1003" s="17"/>
      <c r="B1003" s="18"/>
      <c r="C1003" s="87" t="str">
        <f>IF(B1003="","",
IF(M1003=$H$5,IFERROR(VLOOKUP(B1003,'Baremos actuales'!A:E,5,FALSE),"No encontrado. Revisar código, fecha ejecución y/o contrato."),
IF(M1003=$H$4,IFERROR(VLOOKUP(B1003,'Baremos anteriores'!A:E,5,FALSE),"No encontrado. Revisar código, fecha ejecución y/o contrato."),
IF(M1003=$H$3,IFERROR(VLOOKUP(B1003,#REF!,5,FALSE),"No encontrado. Revisar código, fecha ejecución y/o contrato."),
IF(D1003="","Código no encontrado",
IF(D1003="ERROR","No encontrado. Revisar Código, fecha de ejecución y/o contrato.",
IF(D1003="MATE",
IF(C1002="DESCRIPCION","NO SE PUEDE COMENZAR SIN CÓDIGO DE TAREA",
IF(C1002="","FALTA CÓDIGO DE TAREA",
CONCATENATE("          ",VLOOKUP(B1003,'Maestro Materiales'!A:C,3,FALSE)))),IFERROR(VLOOKUP(B1003,#REF!,5,FALSE),"No encontrado. Revisar código, fecha ejecución y/o contrato."))))))))</f>
        <v/>
      </c>
      <c r="D1003" s="88" t="str">
        <f>IF(B1003="","",
IFERROR(VLOOKUP(B1003,'Maestro Materiales'!A:C,2,FALSE),
IFERROR(VLOOKUP(B1003,'Baremos actuales'!A:B,2,FALSE),
IFERROR(VLOOKUP(B1003,'Baremos anteriores'!A:B,2,FALSE),
""))))</f>
        <v/>
      </c>
      <c r="E1003" s="9"/>
      <c r="F1003" s="89" t="str">
        <f>IF(D1003="MATE",
IF(E1003="","¿Unidades?",""),
IF(D1003="",IF(E1003="","","¿Código?"),
IF(E1003="","¿Unidades?",
IF(D1003="TARE",
IF(M1003=$H$3,IFERROR(VLOOKUP(B1003,'Baremos actuales'!A:C,3,FALSE),0),
IF(M1003=$H$4,IFERROR(VLOOKUP(B1003,'Baremos anteriores'!A:C,3,FALSE),0),0))))))</f>
        <v/>
      </c>
      <c r="G1003" s="7"/>
      <c r="H1003" s="8"/>
      <c r="I1003" s="8"/>
      <c r="J1003" s="78" t="str">
        <f>IF($D1003="","",
IF($E1003="","",
IF($D1003="MATE","",
IF(VLOOKUP($B1003,'Baremos actuales'!A:D,4,FALSE)=J$9,$E1003*$F1003,IF(VLOOKUP($B1003,'Baremos anteriores'!A:D,4,FALSE)="Sin Definir",$E1003*$F1003,"")))))</f>
        <v/>
      </c>
      <c r="K1003" s="79" t="str">
        <f>IF($D1003="","",
IF($E1003="","",
IF($D1003="MATE","",
IF(VLOOKUP($B1003,'Baremos actuales'!$A:$D,4,FALSE)=K$9,$E1003*$F1003,IF(VLOOKUP($B1003,'Baremos anteriores'!$A:$D,4,FALSE)="Desmonte",$E1003*$F1003,"")))))</f>
        <v/>
      </c>
      <c r="L1003" s="80" t="str">
        <f>IF($D1003="","",
IF($E1003="","",
IF($D1003="MATE","",
IF(VLOOKUP($B1003,'Baremos actuales'!$A:$D,4,FALSE)=L$9,$E1003*$F1003,""))))</f>
        <v/>
      </c>
      <c r="M1003" s="91" t="str">
        <f t="shared" si="15"/>
        <v/>
      </c>
      <c r="N1003" s="96"/>
      <c r="O1003" s="95"/>
      <c r="P1003" s="96"/>
      <c r="Q1003" s="98"/>
    </row>
    <row r="1004" spans="1:17" ht="15.75" x14ac:dyDescent="0.2">
      <c r="A1004" s="17"/>
      <c r="B1004" s="18"/>
      <c r="C1004" s="87" t="str">
        <f>IF(B1004="","",
IF(M1004=$H$5,IFERROR(VLOOKUP(B1004,'Baremos actuales'!A:E,5,FALSE),"No encontrado. Revisar código, fecha ejecución y/o contrato."),
IF(M1004=$H$4,IFERROR(VLOOKUP(B1004,'Baremos anteriores'!A:E,5,FALSE),"No encontrado. Revisar código, fecha ejecución y/o contrato."),
IF(M1004=$H$3,IFERROR(VLOOKUP(B1004,#REF!,5,FALSE),"No encontrado. Revisar código, fecha ejecución y/o contrato."),
IF(D1004="","Código no encontrado",
IF(D1004="ERROR","No encontrado. Revisar Código, fecha de ejecución y/o contrato.",
IF(D1004="MATE",
IF(C1003="DESCRIPCION","NO SE PUEDE COMENZAR SIN CÓDIGO DE TAREA",
IF(C1003="","FALTA CÓDIGO DE TAREA",
CONCATENATE("          ",VLOOKUP(B1004,'Maestro Materiales'!A:C,3,FALSE)))),IFERROR(VLOOKUP(B1004,#REF!,5,FALSE),"No encontrado. Revisar código, fecha ejecución y/o contrato."))))))))</f>
        <v/>
      </c>
      <c r="D1004" s="88" t="str">
        <f>IF(B1004="","",
IFERROR(VLOOKUP(B1004,'Maestro Materiales'!A:C,2,FALSE),
IFERROR(VLOOKUP(B1004,'Baremos actuales'!A:B,2,FALSE),
IFERROR(VLOOKUP(B1004,'Baremos anteriores'!A:B,2,FALSE),
""))))</f>
        <v/>
      </c>
      <c r="E1004" s="9"/>
      <c r="F1004" s="89" t="str">
        <f>IF(D1004="MATE",
IF(E1004="","¿Unidades?",""),
IF(D1004="",IF(E1004="","","¿Código?"),
IF(E1004="","¿Unidades?",
IF(D1004="TARE",
IF(M1004=$H$3,IFERROR(VLOOKUP(B1004,'Baremos actuales'!A:C,3,FALSE),0),
IF(M1004=$H$4,IFERROR(VLOOKUP(B1004,'Baremos anteriores'!A:C,3,FALSE),0),0))))))</f>
        <v/>
      </c>
      <c r="G1004" s="7"/>
      <c r="H1004" s="8"/>
      <c r="I1004" s="8"/>
      <c r="J1004" s="78" t="str">
        <f>IF($D1004="","",
IF($E1004="","",
IF($D1004="MATE","",
IF(VLOOKUP($B1004,'Baremos actuales'!A:D,4,FALSE)=J$9,$E1004*$F1004,IF(VLOOKUP($B1004,'Baremos anteriores'!A:D,4,FALSE)="Sin Definir",$E1004*$F1004,"")))))</f>
        <v/>
      </c>
      <c r="K1004" s="79" t="str">
        <f>IF($D1004="","",
IF($E1004="","",
IF($D1004="MATE","",
IF(VLOOKUP($B1004,'Baremos actuales'!$A:$D,4,FALSE)=K$9,$E1004*$F1004,IF(VLOOKUP($B1004,'Baremos anteriores'!$A:$D,4,FALSE)="Desmonte",$E1004*$F1004,"")))))</f>
        <v/>
      </c>
      <c r="L1004" s="80" t="str">
        <f>IF($D1004="","",
IF($E1004="","",
IF($D1004="MATE","",
IF(VLOOKUP($B1004,'Baremos actuales'!$A:$D,4,FALSE)=L$9,$E1004*$F1004,""))))</f>
        <v/>
      </c>
      <c r="M1004" s="91" t="str">
        <f t="shared" si="15"/>
        <v/>
      </c>
      <c r="N1004" s="96"/>
      <c r="O1004" s="95"/>
      <c r="P1004" s="96"/>
      <c r="Q1004" s="98"/>
    </row>
    <row r="1005" spans="1:17" ht="15.75" x14ac:dyDescent="0.2">
      <c r="A1005" s="17"/>
      <c r="B1005" s="18"/>
      <c r="C1005" s="87" t="str">
        <f>IF(B1005="","",
IF(M1005=$H$5,IFERROR(VLOOKUP(B1005,'Baremos actuales'!A:E,5,FALSE),"No encontrado. Revisar código, fecha ejecución y/o contrato."),
IF(M1005=$H$4,IFERROR(VLOOKUP(B1005,'Baremos anteriores'!A:E,5,FALSE),"No encontrado. Revisar código, fecha ejecución y/o contrato."),
IF(M1005=$H$3,IFERROR(VLOOKUP(B1005,#REF!,5,FALSE),"No encontrado. Revisar código, fecha ejecución y/o contrato."),
IF(D1005="","Código no encontrado",
IF(D1005="ERROR","No encontrado. Revisar Código, fecha de ejecución y/o contrato.",
IF(D1005="MATE",
IF(C1004="DESCRIPCION","NO SE PUEDE COMENZAR SIN CÓDIGO DE TAREA",
IF(C1004="","FALTA CÓDIGO DE TAREA",
CONCATENATE("          ",VLOOKUP(B1005,'Maestro Materiales'!A:C,3,FALSE)))),IFERROR(VLOOKUP(B1005,#REF!,5,FALSE),"No encontrado. Revisar código, fecha ejecución y/o contrato."))))))))</f>
        <v/>
      </c>
      <c r="D1005" s="88" t="str">
        <f>IF(B1005="","",
IFERROR(VLOOKUP(B1005,'Maestro Materiales'!A:C,2,FALSE),
IFERROR(VLOOKUP(B1005,'Baremos actuales'!A:B,2,FALSE),
IFERROR(VLOOKUP(B1005,'Baremos anteriores'!A:B,2,FALSE),
""))))</f>
        <v/>
      </c>
      <c r="E1005" s="9"/>
      <c r="F1005" s="89" t="str">
        <f>IF(D1005="MATE",
IF(E1005="","¿Unidades?",""),
IF(D1005="",IF(E1005="","","¿Código?"),
IF(E1005="","¿Unidades?",
IF(D1005="TARE",
IF(M1005=$H$3,IFERROR(VLOOKUP(B1005,'Baremos actuales'!A:C,3,FALSE),0),
IF(M1005=$H$4,IFERROR(VLOOKUP(B1005,'Baremos anteriores'!A:C,3,FALSE),0),0))))))</f>
        <v/>
      </c>
      <c r="G1005" s="7"/>
      <c r="H1005" s="8"/>
      <c r="I1005" s="8"/>
      <c r="J1005" s="78" t="str">
        <f>IF($D1005="","",
IF($E1005="","",
IF($D1005="MATE","",
IF(VLOOKUP($B1005,'Baremos actuales'!A:D,4,FALSE)=J$9,$E1005*$F1005,IF(VLOOKUP($B1005,'Baremos anteriores'!A:D,4,FALSE)="Sin Definir",$E1005*$F1005,"")))))</f>
        <v/>
      </c>
      <c r="K1005" s="79" t="str">
        <f>IF($D1005="","",
IF($E1005="","",
IF($D1005="MATE","",
IF(VLOOKUP($B1005,'Baremos actuales'!$A:$D,4,FALSE)=K$9,$E1005*$F1005,IF(VLOOKUP($B1005,'Baremos anteriores'!$A:$D,4,FALSE)="Desmonte",$E1005*$F1005,"")))))</f>
        <v/>
      </c>
      <c r="L1005" s="80" t="str">
        <f>IF($D1005="","",
IF($E1005="","",
IF($D1005="MATE","",
IF(VLOOKUP($B1005,'Baremos actuales'!$A:$D,4,FALSE)=L$9,$E1005*$F1005,""))))</f>
        <v/>
      </c>
      <c r="M1005" s="91" t="str">
        <f t="shared" si="15"/>
        <v/>
      </c>
      <c r="N1005" s="96"/>
      <c r="O1005" s="95"/>
      <c r="P1005" s="96"/>
      <c r="Q1005" s="98"/>
    </row>
    <row r="1006" spans="1:17" ht="15.75" x14ac:dyDescent="0.2">
      <c r="A1006" s="17"/>
      <c r="B1006" s="18"/>
      <c r="C1006" s="87" t="str">
        <f>IF(B1006="","",
IF(M1006=$H$5,IFERROR(VLOOKUP(B1006,'Baremos actuales'!A:E,5,FALSE),"No encontrado. Revisar código, fecha ejecución y/o contrato."),
IF(M1006=$H$4,IFERROR(VLOOKUP(B1006,'Baremos anteriores'!A:E,5,FALSE),"No encontrado. Revisar código, fecha ejecución y/o contrato."),
IF(M1006=$H$3,IFERROR(VLOOKUP(B1006,#REF!,5,FALSE),"No encontrado. Revisar código, fecha ejecución y/o contrato."),
IF(D1006="","Código no encontrado",
IF(D1006="ERROR","No encontrado. Revisar Código, fecha de ejecución y/o contrato.",
IF(D1006="MATE",
IF(C1005="DESCRIPCION","NO SE PUEDE COMENZAR SIN CÓDIGO DE TAREA",
IF(C1005="","FALTA CÓDIGO DE TAREA",
CONCATENATE("          ",VLOOKUP(B1006,'Maestro Materiales'!A:C,3,FALSE)))),IFERROR(VLOOKUP(B1006,#REF!,5,FALSE),"No encontrado. Revisar código, fecha ejecución y/o contrato."))))))))</f>
        <v/>
      </c>
      <c r="D1006" s="88" t="str">
        <f>IF(B1006="","",
IFERROR(VLOOKUP(B1006,'Maestro Materiales'!A:C,2,FALSE),
IFERROR(VLOOKUP(B1006,'Baremos actuales'!A:B,2,FALSE),
IFERROR(VLOOKUP(B1006,'Baremos anteriores'!A:B,2,FALSE),
""))))</f>
        <v/>
      </c>
      <c r="E1006" s="9"/>
      <c r="F1006" s="89" t="str">
        <f>IF(D1006="MATE",
IF(E1006="","¿Unidades?",""),
IF(D1006="",IF(E1006="","","¿Código?"),
IF(E1006="","¿Unidades?",
IF(D1006="TARE",
IF(M1006=$H$3,IFERROR(VLOOKUP(B1006,'Baremos actuales'!A:C,3,FALSE),0),
IF(M1006=$H$4,IFERROR(VLOOKUP(B1006,'Baremos anteriores'!A:C,3,FALSE),0),0))))))</f>
        <v/>
      </c>
      <c r="G1006" s="7"/>
      <c r="H1006" s="8"/>
      <c r="I1006" s="8"/>
      <c r="J1006" s="78" t="str">
        <f>IF($D1006="","",
IF($E1006="","",
IF($D1006="MATE","",
IF(VLOOKUP($B1006,'Baremos actuales'!A:D,4,FALSE)=J$9,$E1006*$F1006,IF(VLOOKUP($B1006,'Baremos anteriores'!A:D,4,FALSE)="Sin Definir",$E1006*$F1006,"")))))</f>
        <v/>
      </c>
      <c r="K1006" s="79" t="str">
        <f>IF($D1006="","",
IF($E1006="","",
IF($D1006="MATE","",
IF(VLOOKUP($B1006,'Baremos actuales'!$A:$D,4,FALSE)=K$9,$E1006*$F1006,IF(VLOOKUP($B1006,'Baremos anteriores'!$A:$D,4,FALSE)="Desmonte",$E1006*$F1006,"")))))</f>
        <v/>
      </c>
      <c r="L1006" s="80" t="str">
        <f>IF($D1006="","",
IF($E1006="","",
IF($D1006="MATE","",
IF(VLOOKUP($B1006,'Baremos actuales'!$A:$D,4,FALSE)=L$9,$E1006*$F1006,""))))</f>
        <v/>
      </c>
      <c r="M1006" s="91" t="str">
        <f t="shared" si="15"/>
        <v/>
      </c>
      <c r="N1006" s="96"/>
      <c r="O1006" s="95"/>
      <c r="P1006" s="96"/>
      <c r="Q1006" s="98"/>
    </row>
    <row r="1007" spans="1:17" ht="15.75" x14ac:dyDescent="0.2">
      <c r="A1007" s="17"/>
      <c r="B1007" s="18"/>
      <c r="C1007" s="87" t="str">
        <f>IF(B1007="","",
IF(M1007=$H$5,IFERROR(VLOOKUP(B1007,'Baremos actuales'!A:E,5,FALSE),"No encontrado. Revisar código, fecha ejecución y/o contrato."),
IF(M1007=$H$4,IFERROR(VLOOKUP(B1007,'Baremos anteriores'!A:E,5,FALSE),"No encontrado. Revisar código, fecha ejecución y/o contrato."),
IF(M1007=$H$3,IFERROR(VLOOKUP(B1007,#REF!,5,FALSE),"No encontrado. Revisar código, fecha ejecución y/o contrato."),
IF(D1007="","Código no encontrado",
IF(D1007="ERROR","No encontrado. Revisar Código, fecha de ejecución y/o contrato.",
IF(D1007="MATE",
IF(C1006="DESCRIPCION","NO SE PUEDE COMENZAR SIN CÓDIGO DE TAREA",
IF(C1006="","FALTA CÓDIGO DE TAREA",
CONCATENATE("          ",VLOOKUP(B1007,'Maestro Materiales'!A:C,3,FALSE)))),IFERROR(VLOOKUP(B1007,#REF!,5,FALSE),"No encontrado. Revisar código, fecha ejecución y/o contrato."))))))))</f>
        <v/>
      </c>
      <c r="D1007" s="88" t="str">
        <f>IF(B1007="","",
IFERROR(VLOOKUP(B1007,'Maestro Materiales'!A:C,2,FALSE),
IFERROR(VLOOKUP(B1007,'Baremos actuales'!A:B,2,FALSE),
IFERROR(VLOOKUP(B1007,'Baremos anteriores'!A:B,2,FALSE),
""))))</f>
        <v/>
      </c>
      <c r="E1007" s="9"/>
      <c r="F1007" s="89" t="str">
        <f>IF(D1007="MATE",
IF(E1007="","¿Unidades?",""),
IF(D1007="",IF(E1007="","","¿Código?"),
IF(E1007="","¿Unidades?",
IF(D1007="TARE",
IF(M1007=$H$3,IFERROR(VLOOKUP(B1007,'Baremos actuales'!A:C,3,FALSE),0),
IF(M1007=$H$4,IFERROR(VLOOKUP(B1007,'Baremos anteriores'!A:C,3,FALSE),0),0))))))</f>
        <v/>
      </c>
      <c r="G1007" s="7"/>
      <c r="H1007" s="8"/>
      <c r="I1007" s="8"/>
      <c r="J1007" s="78" t="str">
        <f>IF($D1007="","",
IF($E1007="","",
IF($D1007="MATE","",
IF(VLOOKUP($B1007,'Baremos actuales'!A:D,4,FALSE)=J$9,$E1007*$F1007,IF(VLOOKUP($B1007,'Baremos anteriores'!A:D,4,FALSE)="Sin Definir",$E1007*$F1007,"")))))</f>
        <v/>
      </c>
      <c r="K1007" s="79" t="str">
        <f>IF($D1007="","",
IF($E1007="","",
IF($D1007="MATE","",
IF(VLOOKUP($B1007,'Baremos actuales'!$A:$D,4,FALSE)=K$9,$E1007*$F1007,IF(VLOOKUP($B1007,'Baremos anteriores'!$A:$D,4,FALSE)="Desmonte",$E1007*$F1007,"")))))</f>
        <v/>
      </c>
      <c r="L1007" s="80" t="str">
        <f>IF($D1007="","",
IF($E1007="","",
IF($D1007="MATE","",
IF(VLOOKUP($B1007,'Baremos actuales'!$A:$D,4,FALSE)=L$9,$E1007*$F1007,""))))</f>
        <v/>
      </c>
      <c r="M1007" s="91" t="str">
        <f t="shared" si="15"/>
        <v/>
      </c>
      <c r="N1007" s="96"/>
      <c r="O1007" s="95"/>
      <c r="P1007" s="96"/>
      <c r="Q1007" s="98"/>
    </row>
    <row r="1008" spans="1:17" ht="15.75" x14ac:dyDescent="0.2">
      <c r="A1008" s="17"/>
      <c r="B1008" s="18"/>
      <c r="C1008" s="87" t="str">
        <f>IF(B1008="","",
IF(M1008=$H$5,IFERROR(VLOOKUP(B1008,'Baremos actuales'!A:E,5,FALSE),"No encontrado. Revisar código, fecha ejecución y/o contrato."),
IF(M1008=$H$4,IFERROR(VLOOKUP(B1008,'Baremos anteriores'!A:E,5,FALSE),"No encontrado. Revisar código, fecha ejecución y/o contrato."),
IF(M1008=$H$3,IFERROR(VLOOKUP(B1008,#REF!,5,FALSE),"No encontrado. Revisar código, fecha ejecución y/o contrato."),
IF(D1008="","Código no encontrado",
IF(D1008="ERROR","No encontrado. Revisar Código, fecha de ejecución y/o contrato.",
IF(D1008="MATE",
IF(C1007="DESCRIPCION","NO SE PUEDE COMENZAR SIN CÓDIGO DE TAREA",
IF(C1007="","FALTA CÓDIGO DE TAREA",
CONCATENATE("          ",VLOOKUP(B1008,'Maestro Materiales'!A:C,3,FALSE)))),IFERROR(VLOOKUP(B1008,#REF!,5,FALSE),"No encontrado. Revisar código, fecha ejecución y/o contrato."))))))))</f>
        <v/>
      </c>
      <c r="D1008" s="88" t="str">
        <f>IF(B1008="","",
IFERROR(VLOOKUP(B1008,'Maestro Materiales'!A:C,2,FALSE),
IFERROR(VLOOKUP(B1008,'Baremos actuales'!A:B,2,FALSE),
IFERROR(VLOOKUP(B1008,'Baremos anteriores'!A:B,2,FALSE),
""))))</f>
        <v/>
      </c>
      <c r="E1008" s="9"/>
      <c r="F1008" s="89" t="str">
        <f>IF(D1008="MATE",
IF(E1008="","¿Unidades?",""),
IF(D1008="",IF(E1008="","","¿Código?"),
IF(E1008="","¿Unidades?",
IF(D1008="TARE",
IF(M1008=$H$3,IFERROR(VLOOKUP(B1008,'Baremos actuales'!A:C,3,FALSE),0),
IF(M1008=$H$4,IFERROR(VLOOKUP(B1008,'Baremos anteriores'!A:C,3,FALSE),0),0))))))</f>
        <v/>
      </c>
      <c r="G1008" s="7"/>
      <c r="H1008" s="8"/>
      <c r="I1008" s="8"/>
      <c r="J1008" s="78" t="str">
        <f>IF($D1008="","",
IF($E1008="","",
IF($D1008="MATE","",
IF(VLOOKUP($B1008,'Baremos actuales'!A:D,4,FALSE)=J$9,$E1008*$F1008,IF(VLOOKUP($B1008,'Baremos anteriores'!A:D,4,FALSE)="Sin Definir",$E1008*$F1008,"")))))</f>
        <v/>
      </c>
      <c r="K1008" s="79" t="str">
        <f>IF($D1008="","",
IF($E1008="","",
IF($D1008="MATE","",
IF(VLOOKUP($B1008,'Baremos actuales'!$A:$D,4,FALSE)=K$9,$E1008*$F1008,IF(VLOOKUP($B1008,'Baremos anteriores'!$A:$D,4,FALSE)="Desmonte",$E1008*$F1008,"")))))</f>
        <v/>
      </c>
      <c r="L1008" s="80" t="str">
        <f>IF($D1008="","",
IF($E1008="","",
IF($D1008="MATE","",
IF(VLOOKUP($B1008,'Baremos actuales'!$A:$D,4,FALSE)=L$9,$E1008*$F1008,""))))</f>
        <v/>
      </c>
      <c r="M1008" s="91" t="str">
        <f t="shared" si="15"/>
        <v/>
      </c>
      <c r="N1008" s="96"/>
      <c r="O1008" s="95"/>
      <c r="P1008" s="96"/>
      <c r="Q1008" s="98"/>
    </row>
    <row r="1009" spans="1:17" ht="15.75" x14ac:dyDescent="0.2">
      <c r="A1009" s="17"/>
      <c r="B1009" s="18"/>
      <c r="C1009" s="87" t="str">
        <f>IF(B1009="","",
IF(M1009=$H$5,IFERROR(VLOOKUP(B1009,'Baremos actuales'!A:E,5,FALSE),"No encontrado. Revisar código, fecha ejecución y/o contrato."),
IF(M1009=$H$4,IFERROR(VLOOKUP(B1009,'Baremos anteriores'!A:E,5,FALSE),"No encontrado. Revisar código, fecha ejecución y/o contrato."),
IF(M1009=$H$3,IFERROR(VLOOKUP(B1009,#REF!,5,FALSE),"No encontrado. Revisar código, fecha ejecución y/o contrato."),
IF(D1009="","Código no encontrado",
IF(D1009="ERROR","No encontrado. Revisar Código, fecha de ejecución y/o contrato.",
IF(D1009="MATE",
IF(C1008="DESCRIPCION","NO SE PUEDE COMENZAR SIN CÓDIGO DE TAREA",
IF(C1008="","FALTA CÓDIGO DE TAREA",
CONCATENATE("          ",VLOOKUP(B1009,'Maestro Materiales'!A:C,3,FALSE)))),IFERROR(VLOOKUP(B1009,#REF!,5,FALSE),"No encontrado. Revisar código, fecha ejecución y/o contrato."))))))))</f>
        <v/>
      </c>
      <c r="D1009" s="88" t="str">
        <f>IF(B1009="","",
IFERROR(VLOOKUP(B1009,'Maestro Materiales'!A:C,2,FALSE),
IFERROR(VLOOKUP(B1009,'Baremos actuales'!A:B,2,FALSE),
IFERROR(VLOOKUP(B1009,'Baremos anteriores'!A:B,2,FALSE),
""))))</f>
        <v/>
      </c>
      <c r="E1009" s="9"/>
      <c r="F1009" s="89" t="str">
        <f>IF(D1009="MATE",
IF(E1009="","¿Unidades?",""),
IF(D1009="",IF(E1009="","","¿Código?"),
IF(E1009="","¿Unidades?",
IF(D1009="TARE",
IF(M1009=$H$3,IFERROR(VLOOKUP(B1009,'Baremos actuales'!A:C,3,FALSE),0),
IF(M1009=$H$4,IFERROR(VLOOKUP(B1009,'Baremos anteriores'!A:C,3,FALSE),0),0))))))</f>
        <v/>
      </c>
      <c r="G1009" s="7"/>
      <c r="H1009" s="8"/>
      <c r="I1009" s="8"/>
      <c r="J1009" s="78" t="str">
        <f>IF($D1009="","",
IF($E1009="","",
IF($D1009="MATE","",
IF(VLOOKUP($B1009,'Baremos actuales'!A:D,4,FALSE)=J$9,$E1009*$F1009,IF(VLOOKUP($B1009,'Baremos anteriores'!A:D,4,FALSE)="Sin Definir",$E1009*$F1009,"")))))</f>
        <v/>
      </c>
      <c r="K1009" s="79" t="str">
        <f>IF($D1009="","",
IF($E1009="","",
IF($D1009="MATE","",
IF(VLOOKUP($B1009,'Baremos actuales'!$A:$D,4,FALSE)=K$9,$E1009*$F1009,IF(VLOOKUP($B1009,'Baremos anteriores'!$A:$D,4,FALSE)="Desmonte",$E1009*$F1009,"")))))</f>
        <v/>
      </c>
      <c r="L1009" s="80" t="str">
        <f>IF($D1009="","",
IF($E1009="","",
IF($D1009="MATE","",
IF(VLOOKUP($B1009,'Baremos actuales'!$A:$D,4,FALSE)=L$9,$E1009*$F1009,""))))</f>
        <v/>
      </c>
      <c r="M1009" s="91" t="str">
        <f t="shared" si="15"/>
        <v/>
      </c>
      <c r="N1009" s="96"/>
      <c r="O1009" s="95"/>
      <c r="P1009" s="96"/>
      <c r="Q1009" s="98"/>
    </row>
    <row r="1010" spans="1:17" ht="15.75" x14ac:dyDescent="0.2">
      <c r="A1010" s="17"/>
      <c r="B1010" s="18"/>
      <c r="C1010" s="87" t="str">
        <f>IF(B1010="","",
IF(M1010=$H$5,IFERROR(VLOOKUP(B1010,'Baremos actuales'!A:E,5,FALSE),"No encontrado. Revisar código, fecha ejecución y/o contrato."),
IF(M1010=$H$4,IFERROR(VLOOKUP(B1010,'Baremos anteriores'!A:E,5,FALSE),"No encontrado. Revisar código, fecha ejecución y/o contrato."),
IF(M1010=$H$3,IFERROR(VLOOKUP(B1010,#REF!,5,FALSE),"No encontrado. Revisar código, fecha ejecución y/o contrato."),
IF(D1010="","Código no encontrado",
IF(D1010="ERROR","No encontrado. Revisar Código, fecha de ejecución y/o contrato.",
IF(D1010="MATE",
IF(C1009="DESCRIPCION","NO SE PUEDE COMENZAR SIN CÓDIGO DE TAREA",
IF(C1009="","FALTA CÓDIGO DE TAREA",
CONCATENATE("          ",VLOOKUP(B1010,'Maestro Materiales'!A:C,3,FALSE)))),IFERROR(VLOOKUP(B1010,#REF!,5,FALSE),"No encontrado. Revisar código, fecha ejecución y/o contrato."))))))))</f>
        <v/>
      </c>
      <c r="D1010" s="88" t="str">
        <f>IF(B1010="","",
IFERROR(VLOOKUP(B1010,'Maestro Materiales'!A:C,2,FALSE),
IFERROR(VLOOKUP(B1010,'Baremos actuales'!A:B,2,FALSE),
IFERROR(VLOOKUP(B1010,'Baremos anteriores'!A:B,2,FALSE),
""))))</f>
        <v/>
      </c>
      <c r="E1010" s="9"/>
      <c r="F1010" s="89" t="str">
        <f>IF(D1010="MATE",
IF(E1010="","¿Unidades?",""),
IF(D1010="",IF(E1010="","","¿Código?"),
IF(E1010="","¿Unidades?",
IF(D1010="TARE",
IF(M1010=$H$3,IFERROR(VLOOKUP(B1010,'Baremos actuales'!A:C,3,FALSE),0),
IF(M1010=$H$4,IFERROR(VLOOKUP(B1010,'Baremos anteriores'!A:C,3,FALSE),0),0))))))</f>
        <v/>
      </c>
      <c r="G1010" s="7"/>
      <c r="H1010" s="8"/>
      <c r="I1010" s="8"/>
      <c r="J1010" s="78" t="str">
        <f>IF($D1010="","",
IF($E1010="","",
IF($D1010="MATE","",
IF(VLOOKUP($B1010,'Baremos actuales'!A:D,4,FALSE)=J$9,$E1010*$F1010,IF(VLOOKUP($B1010,'Baremos anteriores'!A:D,4,FALSE)="Sin Definir",$E1010*$F1010,"")))))</f>
        <v/>
      </c>
      <c r="K1010" s="79" t="str">
        <f>IF($D1010="","",
IF($E1010="","",
IF($D1010="MATE","",
IF(VLOOKUP($B1010,'Baremos actuales'!$A:$D,4,FALSE)=K$9,$E1010*$F1010,IF(VLOOKUP($B1010,'Baremos anteriores'!$A:$D,4,FALSE)="Desmonte",$E1010*$F1010,"")))))</f>
        <v/>
      </c>
      <c r="L1010" s="80" t="str">
        <f>IF($D1010="","",
IF($E1010="","",
IF($D1010="MATE","",
IF(VLOOKUP($B1010,'Baremos actuales'!$A:$D,4,FALSE)=L$9,$E1010*$F1010,""))))</f>
        <v/>
      </c>
      <c r="M1010" s="91" t="str">
        <f t="shared" si="15"/>
        <v/>
      </c>
      <c r="N1010" s="96"/>
      <c r="O1010" s="95"/>
      <c r="P1010" s="96"/>
      <c r="Q1010" s="98"/>
    </row>
    <row r="1011" spans="1:17" ht="15.75" x14ac:dyDescent="0.2">
      <c r="A1011" s="81"/>
      <c r="B1011" s="82"/>
      <c r="C1011" s="83"/>
      <c r="D1011" s="84"/>
      <c r="E1011" s="85"/>
      <c r="F1011" s="82"/>
      <c r="G1011" s="86"/>
      <c r="H1011" s="82"/>
      <c r="I1011" s="84"/>
      <c r="J1011" s="84"/>
      <c r="K1011" s="84"/>
      <c r="L1011" s="84"/>
      <c r="M1011" s="104"/>
      <c r="N1011" s="96"/>
      <c r="O1011" s="95"/>
    </row>
    <row r="1012" spans="1:17" ht="15.75" x14ac:dyDescent="0.2">
      <c r="A1012" s="81"/>
      <c r="B1012" s="82"/>
      <c r="C1012" s="83"/>
      <c r="D1012" s="84"/>
      <c r="E1012" s="85"/>
      <c r="F1012" s="82"/>
      <c r="G1012" s="86"/>
      <c r="H1012" s="82"/>
      <c r="I1012" s="84"/>
      <c r="J1012" s="84"/>
      <c r="K1012" s="84"/>
      <c r="L1012" s="84"/>
      <c r="M1012" s="104"/>
      <c r="N1012" s="96"/>
      <c r="O1012" s="95"/>
    </row>
    <row r="1013" spans="1:17" ht="15.75" x14ac:dyDescent="0.2">
      <c r="A1013" s="81"/>
      <c r="B1013" s="82"/>
      <c r="C1013" s="83"/>
      <c r="D1013" s="84"/>
      <c r="E1013" s="85"/>
      <c r="F1013" s="82"/>
      <c r="G1013" s="86"/>
      <c r="H1013" s="82"/>
      <c r="I1013" s="84"/>
      <c r="J1013" s="84"/>
      <c r="K1013" s="84"/>
      <c r="L1013" s="84"/>
      <c r="M1013" s="104"/>
      <c r="N1013" s="96"/>
      <c r="O1013" s="95"/>
    </row>
    <row r="1014" spans="1:17" ht="15.75" x14ac:dyDescent="0.2">
      <c r="A1014" s="81"/>
      <c r="B1014" s="82"/>
      <c r="C1014" s="83"/>
      <c r="D1014" s="84"/>
      <c r="E1014" s="85"/>
      <c r="F1014" s="82"/>
      <c r="G1014" s="86"/>
      <c r="H1014" s="82"/>
      <c r="I1014" s="84"/>
      <c r="J1014" s="84"/>
      <c r="K1014" s="84"/>
      <c r="L1014" s="84"/>
      <c r="M1014" s="104"/>
      <c r="N1014" s="96"/>
      <c r="O1014" s="95"/>
    </row>
    <row r="1015" spans="1:17" ht="15.75" x14ac:dyDescent="0.2">
      <c r="A1015" s="81"/>
      <c r="B1015" s="82"/>
      <c r="C1015" s="83"/>
      <c r="D1015" s="84"/>
      <c r="E1015" s="85"/>
      <c r="F1015" s="82"/>
      <c r="G1015" s="86"/>
      <c r="H1015" s="82"/>
      <c r="I1015" s="84"/>
      <c r="J1015" s="84"/>
      <c r="K1015" s="84"/>
      <c r="L1015" s="84"/>
      <c r="M1015" s="104"/>
      <c r="N1015" s="96"/>
      <c r="O1015" s="95"/>
    </row>
    <row r="1016" spans="1:17" x14ac:dyDescent="0.2">
      <c r="P1016" s="105"/>
      <c r="Q1016" s="105"/>
    </row>
    <row r="1017" spans="1:17" x14ac:dyDescent="0.2">
      <c r="P1017" s="105"/>
      <c r="Q1017" s="105"/>
    </row>
    <row r="1018" spans="1:17" x14ac:dyDescent="0.2">
      <c r="P1018" s="105"/>
      <c r="Q1018" s="105"/>
    </row>
    <row r="1019" spans="1:17" x14ac:dyDescent="0.2">
      <c r="P1019" s="105"/>
      <c r="Q1019" s="105"/>
    </row>
  </sheetData>
  <protectedRanges>
    <protectedRange algorithmName="SHA-512" hashValue="fO/HEoGtF34khJOMbsE8yLGwSCXDeD/qxpyp29VMtfuP9WiWxRdlK+9AY+OzDZdNEQzQAVT3eoGEPxAU72SszQ==" saltValue="gJc+oHetVdf3ETZOq9KZZA==" spinCount="100000" sqref="C10:D1010" name="Rango1"/>
  </protectedRanges>
  <pageMargins left="0.7" right="0.7" top="0.75" bottom="0.75" header="0.3" footer="0.3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8">
    <tabColor rgb="FF7030A0"/>
  </sheetPr>
  <dimension ref="A1:D862"/>
  <sheetViews>
    <sheetView workbookViewId="0">
      <pane ySplit="1" topLeftCell="A849" activePane="bottomLeft" state="frozen"/>
      <selection activeCell="E130" sqref="E130"/>
      <selection pane="bottomLeft" activeCell="A780" sqref="A780:XFD780"/>
    </sheetView>
  </sheetViews>
  <sheetFormatPr baseColWidth="10" defaultColWidth="11.42578125" defaultRowHeight="12.75" x14ac:dyDescent="0.2"/>
  <cols>
    <col min="1" max="1" width="11.7109375" bestFit="1" customWidth="1"/>
    <col min="2" max="2" width="16" bestFit="1" customWidth="1"/>
    <col min="3" max="3" width="47.28515625" bestFit="1" customWidth="1"/>
    <col min="4" max="4" width="10.5703125" style="6" bestFit="1" customWidth="1"/>
  </cols>
  <sheetData>
    <row r="1" spans="1:4" ht="15" x14ac:dyDescent="0.25">
      <c r="A1" s="1" t="s">
        <v>38</v>
      </c>
      <c r="B1" s="1" t="s">
        <v>39</v>
      </c>
      <c r="C1" s="1" t="s">
        <v>40</v>
      </c>
      <c r="D1" s="4" t="s">
        <v>41</v>
      </c>
    </row>
    <row r="2" spans="1:4" ht="15" x14ac:dyDescent="0.25">
      <c r="A2" s="2">
        <v>22616</v>
      </c>
      <c r="B2" s="2" t="s">
        <v>28</v>
      </c>
      <c r="C2" s="3" t="s">
        <v>42</v>
      </c>
      <c r="D2" s="5" t="s">
        <v>17</v>
      </c>
    </row>
    <row r="3" spans="1:4" ht="15" x14ac:dyDescent="0.25">
      <c r="A3" s="2">
        <v>30201</v>
      </c>
      <c r="B3" s="2" t="s">
        <v>28</v>
      </c>
      <c r="C3" s="3" t="s">
        <v>43</v>
      </c>
      <c r="D3" s="5" t="s">
        <v>17</v>
      </c>
    </row>
    <row r="4" spans="1:4" ht="15" x14ac:dyDescent="0.25">
      <c r="A4" s="2">
        <v>30228</v>
      </c>
      <c r="B4" s="2" t="s">
        <v>28</v>
      </c>
      <c r="C4" s="3" t="s">
        <v>44</v>
      </c>
      <c r="D4" s="5" t="s">
        <v>17</v>
      </c>
    </row>
    <row r="5" spans="1:4" ht="15" x14ac:dyDescent="0.25">
      <c r="A5" s="2">
        <v>30236</v>
      </c>
      <c r="B5" s="2" t="s">
        <v>28</v>
      </c>
      <c r="C5" s="3" t="s">
        <v>45</v>
      </c>
      <c r="D5" s="5" t="s">
        <v>17</v>
      </c>
    </row>
    <row r="6" spans="1:4" ht="15" x14ac:dyDescent="0.25">
      <c r="A6" s="2">
        <v>30261</v>
      </c>
      <c r="B6" s="2" t="s">
        <v>28</v>
      </c>
      <c r="C6" s="3" t="s">
        <v>46</v>
      </c>
      <c r="D6" s="5" t="s">
        <v>17</v>
      </c>
    </row>
    <row r="7" spans="1:4" ht="15" x14ac:dyDescent="0.25">
      <c r="A7" s="2">
        <v>30279</v>
      </c>
      <c r="B7" s="2" t="s">
        <v>28</v>
      </c>
      <c r="C7" s="3" t="s">
        <v>47</v>
      </c>
      <c r="D7" s="5" t="s">
        <v>17</v>
      </c>
    </row>
    <row r="8" spans="1:4" ht="15" x14ac:dyDescent="0.25">
      <c r="A8" s="2">
        <v>30295</v>
      </c>
      <c r="B8" s="2" t="s">
        <v>28</v>
      </c>
      <c r="C8" s="3" t="s">
        <v>48</v>
      </c>
      <c r="D8" s="5" t="s">
        <v>17</v>
      </c>
    </row>
    <row r="9" spans="1:4" ht="15" x14ac:dyDescent="0.25">
      <c r="A9" s="2">
        <v>30457</v>
      </c>
      <c r="B9" s="2" t="s">
        <v>28</v>
      </c>
      <c r="C9" s="3" t="s">
        <v>49</v>
      </c>
      <c r="D9" s="5" t="s">
        <v>17</v>
      </c>
    </row>
    <row r="10" spans="1:4" ht="15" x14ac:dyDescent="0.25">
      <c r="A10" s="2">
        <v>30465</v>
      </c>
      <c r="B10" s="2" t="s">
        <v>28</v>
      </c>
      <c r="C10" s="3" t="s">
        <v>50</v>
      </c>
      <c r="D10" s="5" t="s">
        <v>17</v>
      </c>
    </row>
    <row r="11" spans="1:4" ht="15" x14ac:dyDescent="0.25">
      <c r="A11" s="2">
        <v>30481</v>
      </c>
      <c r="B11" s="2" t="s">
        <v>28</v>
      </c>
      <c r="C11" s="3" t="s">
        <v>51</v>
      </c>
      <c r="D11" s="5" t="s">
        <v>17</v>
      </c>
    </row>
    <row r="12" spans="1:4" ht="15" x14ac:dyDescent="0.25">
      <c r="A12" s="2">
        <v>30503</v>
      </c>
      <c r="B12" s="2" t="s">
        <v>28</v>
      </c>
      <c r="C12" s="3" t="s">
        <v>52</v>
      </c>
      <c r="D12" s="5" t="s">
        <v>17</v>
      </c>
    </row>
    <row r="13" spans="1:4" ht="15" x14ac:dyDescent="0.25">
      <c r="A13" s="2">
        <v>30511</v>
      </c>
      <c r="B13" s="2" t="s">
        <v>28</v>
      </c>
      <c r="C13" s="3" t="s">
        <v>53</v>
      </c>
      <c r="D13" s="5" t="s">
        <v>17</v>
      </c>
    </row>
    <row r="14" spans="1:4" ht="15" x14ac:dyDescent="0.25">
      <c r="A14" s="2">
        <v>30520</v>
      </c>
      <c r="B14" s="2" t="s">
        <v>28</v>
      </c>
      <c r="C14" s="3" t="s">
        <v>54</v>
      </c>
      <c r="D14" s="5" t="s">
        <v>17</v>
      </c>
    </row>
    <row r="15" spans="1:4" ht="15" x14ac:dyDescent="0.25">
      <c r="A15" s="2">
        <v>30538</v>
      </c>
      <c r="B15" s="2" t="s">
        <v>28</v>
      </c>
      <c r="C15" s="3" t="s">
        <v>55</v>
      </c>
      <c r="D15" s="5" t="s">
        <v>17</v>
      </c>
    </row>
    <row r="16" spans="1:4" ht="15" x14ac:dyDescent="0.25">
      <c r="A16" s="2">
        <v>30546</v>
      </c>
      <c r="B16" s="2" t="s">
        <v>28</v>
      </c>
      <c r="C16" s="3" t="s">
        <v>56</v>
      </c>
      <c r="D16" s="5" t="s">
        <v>17</v>
      </c>
    </row>
    <row r="17" spans="1:4" ht="15" x14ac:dyDescent="0.25">
      <c r="A17" s="2">
        <v>30554</v>
      </c>
      <c r="B17" s="2" t="s">
        <v>28</v>
      </c>
      <c r="C17" s="3" t="s">
        <v>57</v>
      </c>
      <c r="D17" s="5" t="s">
        <v>17</v>
      </c>
    </row>
    <row r="18" spans="1:4" ht="15" x14ac:dyDescent="0.25">
      <c r="A18" s="2">
        <v>30562</v>
      </c>
      <c r="B18" s="2" t="s">
        <v>28</v>
      </c>
      <c r="C18" s="3" t="s">
        <v>58</v>
      </c>
      <c r="D18" s="5" t="s">
        <v>17</v>
      </c>
    </row>
    <row r="19" spans="1:4" ht="15" x14ac:dyDescent="0.25">
      <c r="A19" s="2">
        <v>30571</v>
      </c>
      <c r="B19" s="2" t="s">
        <v>28</v>
      </c>
      <c r="C19" s="3" t="s">
        <v>59</v>
      </c>
      <c r="D19" s="5" t="s">
        <v>17</v>
      </c>
    </row>
    <row r="20" spans="1:4" ht="15" x14ac:dyDescent="0.25">
      <c r="A20" s="2">
        <v>30651</v>
      </c>
      <c r="B20" s="2" t="s">
        <v>28</v>
      </c>
      <c r="C20" s="3" t="s">
        <v>55</v>
      </c>
      <c r="D20" s="5" t="s">
        <v>17</v>
      </c>
    </row>
    <row r="21" spans="1:4" ht="15" x14ac:dyDescent="0.25">
      <c r="A21" s="2">
        <v>30678</v>
      </c>
      <c r="B21" s="2" t="s">
        <v>28</v>
      </c>
      <c r="C21" s="3" t="s">
        <v>60</v>
      </c>
      <c r="D21" s="5" t="s">
        <v>17</v>
      </c>
    </row>
    <row r="22" spans="1:4" ht="15" x14ac:dyDescent="0.25">
      <c r="A22" s="2">
        <v>30686</v>
      </c>
      <c r="B22" s="2" t="s">
        <v>28</v>
      </c>
      <c r="C22" s="3" t="s">
        <v>61</v>
      </c>
      <c r="D22" s="5" t="s">
        <v>17</v>
      </c>
    </row>
    <row r="23" spans="1:4" ht="15" x14ac:dyDescent="0.25">
      <c r="A23" s="2">
        <v>30708</v>
      </c>
      <c r="B23" s="2" t="s">
        <v>28</v>
      </c>
      <c r="C23" s="3" t="s">
        <v>62</v>
      </c>
      <c r="D23" s="5" t="s">
        <v>17</v>
      </c>
    </row>
    <row r="24" spans="1:4" ht="15" x14ac:dyDescent="0.25">
      <c r="A24" s="2">
        <v>30759</v>
      </c>
      <c r="B24" s="2" t="s">
        <v>28</v>
      </c>
      <c r="C24" s="3" t="s">
        <v>63</v>
      </c>
      <c r="D24" s="5" t="s">
        <v>17</v>
      </c>
    </row>
    <row r="25" spans="1:4" ht="15" x14ac:dyDescent="0.25">
      <c r="A25" s="2">
        <v>30767</v>
      </c>
      <c r="B25" s="2" t="s">
        <v>28</v>
      </c>
      <c r="C25" s="3" t="s">
        <v>64</v>
      </c>
      <c r="D25" s="5" t="s">
        <v>17</v>
      </c>
    </row>
    <row r="26" spans="1:4" ht="15" x14ac:dyDescent="0.25">
      <c r="A26" s="2">
        <v>30775</v>
      </c>
      <c r="B26" s="2" t="s">
        <v>28</v>
      </c>
      <c r="C26" s="3" t="s">
        <v>65</v>
      </c>
      <c r="D26" s="5" t="s">
        <v>17</v>
      </c>
    </row>
    <row r="27" spans="1:4" ht="15" x14ac:dyDescent="0.25">
      <c r="A27" s="2">
        <v>30783</v>
      </c>
      <c r="B27" s="2" t="s">
        <v>28</v>
      </c>
      <c r="C27" s="3" t="s">
        <v>66</v>
      </c>
      <c r="D27" s="5" t="s">
        <v>17</v>
      </c>
    </row>
    <row r="28" spans="1:4" ht="15" x14ac:dyDescent="0.25">
      <c r="A28" s="2">
        <v>30791</v>
      </c>
      <c r="B28" s="2" t="s">
        <v>28</v>
      </c>
      <c r="C28" s="3" t="s">
        <v>67</v>
      </c>
      <c r="D28" s="5" t="s">
        <v>17</v>
      </c>
    </row>
    <row r="29" spans="1:4" ht="15" x14ac:dyDescent="0.25">
      <c r="A29" s="2">
        <v>30805</v>
      </c>
      <c r="B29" s="2" t="s">
        <v>28</v>
      </c>
      <c r="C29" s="3" t="s">
        <v>68</v>
      </c>
      <c r="D29" s="5" t="s">
        <v>17</v>
      </c>
    </row>
    <row r="30" spans="1:4" ht="15" x14ac:dyDescent="0.25">
      <c r="A30" s="2">
        <v>30830</v>
      </c>
      <c r="B30" s="2" t="s">
        <v>28</v>
      </c>
      <c r="C30" s="3" t="s">
        <v>69</v>
      </c>
      <c r="D30" s="5" t="s">
        <v>17</v>
      </c>
    </row>
    <row r="31" spans="1:4" ht="15" x14ac:dyDescent="0.25">
      <c r="A31" s="2">
        <v>30848</v>
      </c>
      <c r="B31" s="2" t="s">
        <v>28</v>
      </c>
      <c r="C31" s="3" t="s">
        <v>70</v>
      </c>
      <c r="D31" s="5" t="s">
        <v>17</v>
      </c>
    </row>
    <row r="32" spans="1:4" ht="15" x14ac:dyDescent="0.25">
      <c r="A32" s="2">
        <v>30856</v>
      </c>
      <c r="B32" s="2" t="s">
        <v>28</v>
      </c>
      <c r="C32" s="3" t="s">
        <v>71</v>
      </c>
      <c r="D32" s="5" t="s">
        <v>17</v>
      </c>
    </row>
    <row r="33" spans="1:4" ht="15" x14ac:dyDescent="0.25">
      <c r="A33" s="2">
        <v>30864</v>
      </c>
      <c r="B33" s="2" t="s">
        <v>28</v>
      </c>
      <c r="C33" s="3" t="s">
        <v>72</v>
      </c>
      <c r="D33" s="5" t="s">
        <v>17</v>
      </c>
    </row>
    <row r="34" spans="1:4" ht="15" x14ac:dyDescent="0.25">
      <c r="A34" s="2">
        <v>31071</v>
      </c>
      <c r="B34" s="2" t="s">
        <v>28</v>
      </c>
      <c r="C34" s="3" t="s">
        <v>73</v>
      </c>
      <c r="D34" s="5" t="s">
        <v>17</v>
      </c>
    </row>
    <row r="35" spans="1:4" ht="15" x14ac:dyDescent="0.25">
      <c r="A35" s="2">
        <v>31089</v>
      </c>
      <c r="B35" s="2" t="s">
        <v>28</v>
      </c>
      <c r="C35" s="3" t="s">
        <v>74</v>
      </c>
      <c r="D35" s="5" t="s">
        <v>17</v>
      </c>
    </row>
    <row r="36" spans="1:4" ht="15" x14ac:dyDescent="0.25">
      <c r="A36" s="2">
        <v>31151</v>
      </c>
      <c r="B36" s="2" t="s">
        <v>28</v>
      </c>
      <c r="C36" s="3" t="s">
        <v>75</v>
      </c>
      <c r="D36" s="5" t="s">
        <v>17</v>
      </c>
    </row>
    <row r="37" spans="1:4" ht="15" x14ac:dyDescent="0.25">
      <c r="A37" s="2">
        <v>31275</v>
      </c>
      <c r="B37" s="2" t="s">
        <v>28</v>
      </c>
      <c r="C37" s="3" t="s">
        <v>76</v>
      </c>
      <c r="D37" s="5" t="s">
        <v>17</v>
      </c>
    </row>
    <row r="38" spans="1:4" ht="15" x14ac:dyDescent="0.25">
      <c r="A38" s="2">
        <v>31283</v>
      </c>
      <c r="B38" s="2" t="s">
        <v>28</v>
      </c>
      <c r="C38" s="3" t="s">
        <v>77</v>
      </c>
      <c r="D38" s="5" t="s">
        <v>17</v>
      </c>
    </row>
    <row r="39" spans="1:4" ht="15" x14ac:dyDescent="0.25">
      <c r="A39" s="2">
        <v>32191</v>
      </c>
      <c r="B39" s="2" t="s">
        <v>28</v>
      </c>
      <c r="C39" s="3" t="s">
        <v>78</v>
      </c>
      <c r="D39" s="5" t="s">
        <v>17</v>
      </c>
    </row>
    <row r="40" spans="1:4" ht="15" x14ac:dyDescent="0.25">
      <c r="A40" s="2">
        <v>32824</v>
      </c>
      <c r="B40" s="2" t="s">
        <v>28</v>
      </c>
      <c r="C40" s="3" t="s">
        <v>79</v>
      </c>
      <c r="D40" s="5" t="s">
        <v>17</v>
      </c>
    </row>
    <row r="41" spans="1:4" ht="15" x14ac:dyDescent="0.25">
      <c r="A41" s="2">
        <v>33243</v>
      </c>
      <c r="B41" s="2" t="s">
        <v>28</v>
      </c>
      <c r="C41" s="3" t="s">
        <v>80</v>
      </c>
      <c r="D41" s="5" t="s">
        <v>17</v>
      </c>
    </row>
    <row r="42" spans="1:4" ht="15" x14ac:dyDescent="0.25">
      <c r="A42" s="2">
        <v>33260</v>
      </c>
      <c r="B42" s="2" t="s">
        <v>28</v>
      </c>
      <c r="C42" s="3" t="s">
        <v>81</v>
      </c>
      <c r="D42" s="5" t="s">
        <v>17</v>
      </c>
    </row>
    <row r="43" spans="1:4" ht="15" x14ac:dyDescent="0.25">
      <c r="A43" s="2">
        <v>33359</v>
      </c>
      <c r="B43" s="2" t="s">
        <v>28</v>
      </c>
      <c r="C43" s="3" t="s">
        <v>82</v>
      </c>
      <c r="D43" s="5" t="s">
        <v>17</v>
      </c>
    </row>
    <row r="44" spans="1:4" ht="15" x14ac:dyDescent="0.25">
      <c r="A44" s="2">
        <v>33391</v>
      </c>
      <c r="B44" s="2" t="s">
        <v>28</v>
      </c>
      <c r="C44" s="3" t="s">
        <v>83</v>
      </c>
      <c r="D44" s="5" t="s">
        <v>17</v>
      </c>
    </row>
    <row r="45" spans="1:4" ht="15" x14ac:dyDescent="0.25">
      <c r="A45" s="2">
        <v>33758</v>
      </c>
      <c r="B45" s="2" t="s">
        <v>28</v>
      </c>
      <c r="C45" s="3" t="s">
        <v>84</v>
      </c>
      <c r="D45" s="5" t="s">
        <v>17</v>
      </c>
    </row>
    <row r="46" spans="1:4" ht="15" x14ac:dyDescent="0.25">
      <c r="A46" s="2">
        <v>33839</v>
      </c>
      <c r="B46" s="2" t="s">
        <v>28</v>
      </c>
      <c r="C46" s="3" t="s">
        <v>85</v>
      </c>
      <c r="D46" s="5" t="s">
        <v>17</v>
      </c>
    </row>
    <row r="47" spans="1:4" ht="15" x14ac:dyDescent="0.25">
      <c r="A47" s="2">
        <v>33863</v>
      </c>
      <c r="B47" s="2" t="s">
        <v>28</v>
      </c>
      <c r="C47" s="3" t="s">
        <v>86</v>
      </c>
      <c r="D47" s="5" t="s">
        <v>17</v>
      </c>
    </row>
    <row r="48" spans="1:4" ht="15" x14ac:dyDescent="0.25">
      <c r="A48" s="2">
        <v>34673</v>
      </c>
      <c r="B48" s="2" t="s">
        <v>28</v>
      </c>
      <c r="C48" s="3" t="s">
        <v>87</v>
      </c>
      <c r="D48" s="5" t="s">
        <v>17</v>
      </c>
    </row>
    <row r="49" spans="1:4" ht="15" x14ac:dyDescent="0.25">
      <c r="A49" s="2">
        <v>40002</v>
      </c>
      <c r="B49" s="2" t="s">
        <v>28</v>
      </c>
      <c r="C49" s="3" t="s">
        <v>88</v>
      </c>
      <c r="D49" s="5" t="s">
        <v>17</v>
      </c>
    </row>
    <row r="50" spans="1:4" ht="15" x14ac:dyDescent="0.25">
      <c r="A50" s="2">
        <v>40215</v>
      </c>
      <c r="B50" s="2" t="s">
        <v>28</v>
      </c>
      <c r="C50" s="3" t="s">
        <v>89</v>
      </c>
      <c r="D50" s="5" t="s">
        <v>17</v>
      </c>
    </row>
    <row r="51" spans="1:4" ht="15" x14ac:dyDescent="0.25">
      <c r="A51" s="2">
        <v>40223</v>
      </c>
      <c r="B51" s="2" t="s">
        <v>28</v>
      </c>
      <c r="C51" s="3" t="s">
        <v>90</v>
      </c>
      <c r="D51" s="5" t="s">
        <v>17</v>
      </c>
    </row>
    <row r="52" spans="1:4" ht="15" x14ac:dyDescent="0.25">
      <c r="A52" s="2">
        <v>40258</v>
      </c>
      <c r="B52" s="2" t="s">
        <v>28</v>
      </c>
      <c r="C52" s="3" t="s">
        <v>91</v>
      </c>
      <c r="D52" s="5" t="s">
        <v>17</v>
      </c>
    </row>
    <row r="53" spans="1:4" ht="15" x14ac:dyDescent="0.25">
      <c r="A53" s="2">
        <v>40347</v>
      </c>
      <c r="B53" s="2" t="s">
        <v>28</v>
      </c>
      <c r="C53" s="3" t="s">
        <v>92</v>
      </c>
      <c r="D53" s="5" t="s">
        <v>17</v>
      </c>
    </row>
    <row r="54" spans="1:4" ht="15" x14ac:dyDescent="0.25">
      <c r="A54" s="2">
        <v>40568</v>
      </c>
      <c r="B54" s="2" t="s">
        <v>28</v>
      </c>
      <c r="C54" s="3" t="s">
        <v>93</v>
      </c>
      <c r="D54" s="5" t="s">
        <v>17</v>
      </c>
    </row>
    <row r="55" spans="1:4" ht="15" x14ac:dyDescent="0.25">
      <c r="A55" s="2">
        <v>44296</v>
      </c>
      <c r="B55" s="2" t="s">
        <v>28</v>
      </c>
      <c r="C55" s="3" t="s">
        <v>94</v>
      </c>
      <c r="D55" s="5" t="s">
        <v>17</v>
      </c>
    </row>
    <row r="56" spans="1:4" ht="15" x14ac:dyDescent="0.25">
      <c r="A56" s="2">
        <v>46060</v>
      </c>
      <c r="B56" s="2" t="s">
        <v>28</v>
      </c>
      <c r="C56" s="3" t="s">
        <v>95</v>
      </c>
      <c r="D56" s="5" t="s">
        <v>17</v>
      </c>
    </row>
    <row r="57" spans="1:4" ht="15" x14ac:dyDescent="0.25">
      <c r="A57" s="2">
        <v>46078</v>
      </c>
      <c r="B57" s="2" t="s">
        <v>28</v>
      </c>
      <c r="C57" s="3" t="s">
        <v>96</v>
      </c>
      <c r="D57" s="5" t="s">
        <v>17</v>
      </c>
    </row>
    <row r="58" spans="1:4" ht="15" x14ac:dyDescent="0.25">
      <c r="A58" s="2">
        <v>46086</v>
      </c>
      <c r="B58" s="2" t="s">
        <v>28</v>
      </c>
      <c r="C58" s="3" t="s">
        <v>97</v>
      </c>
      <c r="D58" s="5" t="s">
        <v>17</v>
      </c>
    </row>
    <row r="59" spans="1:4" ht="15" x14ac:dyDescent="0.25">
      <c r="A59" s="2">
        <v>46094</v>
      </c>
      <c r="B59" s="2" t="s">
        <v>28</v>
      </c>
      <c r="C59" s="3" t="s">
        <v>98</v>
      </c>
      <c r="D59" s="5" t="s">
        <v>17</v>
      </c>
    </row>
    <row r="60" spans="1:4" ht="15" x14ac:dyDescent="0.25">
      <c r="A60" s="2">
        <v>46108</v>
      </c>
      <c r="B60" s="2" t="s">
        <v>28</v>
      </c>
      <c r="C60" s="3" t="s">
        <v>99</v>
      </c>
      <c r="D60" s="5" t="s">
        <v>17</v>
      </c>
    </row>
    <row r="61" spans="1:4" ht="15" x14ac:dyDescent="0.25">
      <c r="A61" s="2">
        <v>46300</v>
      </c>
      <c r="B61" s="2" t="s">
        <v>28</v>
      </c>
      <c r="C61" s="3" t="s">
        <v>100</v>
      </c>
      <c r="D61" s="5" t="s">
        <v>17</v>
      </c>
    </row>
    <row r="62" spans="1:4" ht="15" x14ac:dyDescent="0.25">
      <c r="A62" s="2">
        <v>46301</v>
      </c>
      <c r="B62" s="2" t="s">
        <v>28</v>
      </c>
      <c r="C62" s="3" t="s">
        <v>101</v>
      </c>
      <c r="D62" s="5" t="s">
        <v>17</v>
      </c>
    </row>
    <row r="63" spans="1:4" ht="15" x14ac:dyDescent="0.25">
      <c r="A63" s="2">
        <v>46304</v>
      </c>
      <c r="B63" s="2" t="s">
        <v>28</v>
      </c>
      <c r="C63" s="3" t="s">
        <v>102</v>
      </c>
      <c r="D63" s="5" t="s">
        <v>17</v>
      </c>
    </row>
    <row r="64" spans="1:4" ht="15" x14ac:dyDescent="0.25">
      <c r="A64" s="2">
        <v>46305</v>
      </c>
      <c r="B64" s="2" t="s">
        <v>28</v>
      </c>
      <c r="C64" s="3" t="s">
        <v>103</v>
      </c>
      <c r="D64" s="5" t="s">
        <v>17</v>
      </c>
    </row>
    <row r="65" spans="1:4" ht="15" x14ac:dyDescent="0.25">
      <c r="A65" s="2">
        <v>46328</v>
      </c>
      <c r="B65" s="2" t="s">
        <v>28</v>
      </c>
      <c r="C65" s="3" t="s">
        <v>104</v>
      </c>
      <c r="D65" s="5" t="s">
        <v>17</v>
      </c>
    </row>
    <row r="66" spans="1:4" ht="15" x14ac:dyDescent="0.25">
      <c r="A66" s="2">
        <v>46333</v>
      </c>
      <c r="B66" s="2" t="s">
        <v>28</v>
      </c>
      <c r="C66" s="3" t="s">
        <v>105</v>
      </c>
      <c r="D66" s="5" t="s">
        <v>17</v>
      </c>
    </row>
    <row r="67" spans="1:4" ht="15" x14ac:dyDescent="0.25">
      <c r="A67" s="2">
        <v>46335</v>
      </c>
      <c r="B67" s="2" t="s">
        <v>28</v>
      </c>
      <c r="C67" s="3" t="s">
        <v>106</v>
      </c>
      <c r="D67" s="5" t="s">
        <v>17</v>
      </c>
    </row>
    <row r="68" spans="1:4" ht="15" x14ac:dyDescent="0.25">
      <c r="A68" s="2">
        <v>46336</v>
      </c>
      <c r="B68" s="2" t="s">
        <v>28</v>
      </c>
      <c r="C68" s="3" t="s">
        <v>107</v>
      </c>
      <c r="D68" s="5" t="s">
        <v>17</v>
      </c>
    </row>
    <row r="69" spans="1:4" ht="15" x14ac:dyDescent="0.25">
      <c r="A69" s="2">
        <v>46360</v>
      </c>
      <c r="B69" s="2" t="s">
        <v>28</v>
      </c>
      <c r="C69" s="3" t="s">
        <v>108</v>
      </c>
      <c r="D69" s="5" t="s">
        <v>17</v>
      </c>
    </row>
    <row r="70" spans="1:4" ht="15" x14ac:dyDescent="0.25">
      <c r="A70" s="2">
        <v>46361</v>
      </c>
      <c r="B70" s="2" t="s">
        <v>28</v>
      </c>
      <c r="C70" s="3" t="s">
        <v>109</v>
      </c>
      <c r="D70" s="5" t="s">
        <v>17</v>
      </c>
    </row>
    <row r="71" spans="1:4" ht="15" x14ac:dyDescent="0.25">
      <c r="A71" s="2">
        <v>46362</v>
      </c>
      <c r="B71" s="2" t="s">
        <v>28</v>
      </c>
      <c r="C71" s="3" t="s">
        <v>110</v>
      </c>
      <c r="D71" s="5" t="s">
        <v>17</v>
      </c>
    </row>
    <row r="72" spans="1:4" ht="15" x14ac:dyDescent="0.25">
      <c r="A72" s="2">
        <v>46364</v>
      </c>
      <c r="B72" s="2" t="s">
        <v>28</v>
      </c>
      <c r="C72" s="3" t="s">
        <v>111</v>
      </c>
      <c r="D72" s="5" t="s">
        <v>17</v>
      </c>
    </row>
    <row r="73" spans="1:4" ht="15" x14ac:dyDescent="0.25">
      <c r="A73" s="2">
        <v>46365</v>
      </c>
      <c r="B73" s="2" t="s">
        <v>28</v>
      </c>
      <c r="C73" s="3" t="s">
        <v>112</v>
      </c>
      <c r="D73" s="5" t="s">
        <v>17</v>
      </c>
    </row>
    <row r="74" spans="1:4" ht="15" x14ac:dyDescent="0.25">
      <c r="A74" s="2">
        <v>46368</v>
      </c>
      <c r="B74" s="2" t="s">
        <v>28</v>
      </c>
      <c r="C74" s="3" t="s">
        <v>113</v>
      </c>
      <c r="D74" s="5" t="s">
        <v>17</v>
      </c>
    </row>
    <row r="75" spans="1:4" ht="15" x14ac:dyDescent="0.25">
      <c r="A75" s="2">
        <v>46370</v>
      </c>
      <c r="B75" s="2" t="s">
        <v>28</v>
      </c>
      <c r="C75" s="3" t="s">
        <v>114</v>
      </c>
      <c r="D75" s="5" t="s">
        <v>17</v>
      </c>
    </row>
    <row r="76" spans="1:4" ht="15" x14ac:dyDescent="0.25">
      <c r="A76" s="2">
        <v>46372</v>
      </c>
      <c r="B76" s="2" t="s">
        <v>28</v>
      </c>
      <c r="C76" s="3" t="s">
        <v>115</v>
      </c>
      <c r="D76" s="5" t="s">
        <v>17</v>
      </c>
    </row>
    <row r="77" spans="1:4" ht="15" x14ac:dyDescent="0.25">
      <c r="A77" s="2">
        <v>46376</v>
      </c>
      <c r="B77" s="2" t="s">
        <v>28</v>
      </c>
      <c r="C77" s="3" t="s">
        <v>116</v>
      </c>
      <c r="D77" s="5" t="s">
        <v>17</v>
      </c>
    </row>
    <row r="78" spans="1:4" ht="15" x14ac:dyDescent="0.25">
      <c r="A78" s="2">
        <v>46468</v>
      </c>
      <c r="B78" s="2" t="s">
        <v>28</v>
      </c>
      <c r="C78" s="3" t="s">
        <v>117</v>
      </c>
      <c r="D78" s="5" t="s">
        <v>17</v>
      </c>
    </row>
    <row r="79" spans="1:4" ht="15" x14ac:dyDescent="0.25">
      <c r="A79" s="2">
        <v>46475</v>
      </c>
      <c r="B79" s="2" t="s">
        <v>28</v>
      </c>
      <c r="C79" s="3" t="s">
        <v>118</v>
      </c>
      <c r="D79" s="5" t="s">
        <v>17</v>
      </c>
    </row>
    <row r="80" spans="1:4" ht="15" x14ac:dyDescent="0.25">
      <c r="A80" s="2">
        <v>46476</v>
      </c>
      <c r="B80" s="2" t="s">
        <v>28</v>
      </c>
      <c r="C80" s="3" t="s">
        <v>119</v>
      </c>
      <c r="D80" s="5" t="s">
        <v>17</v>
      </c>
    </row>
    <row r="81" spans="1:4" ht="15" x14ac:dyDescent="0.25">
      <c r="A81" s="2">
        <v>46477</v>
      </c>
      <c r="B81" s="2" t="s">
        <v>28</v>
      </c>
      <c r="C81" s="3" t="s">
        <v>120</v>
      </c>
      <c r="D81" s="5" t="s">
        <v>17</v>
      </c>
    </row>
    <row r="82" spans="1:4" ht="15" x14ac:dyDescent="0.25">
      <c r="A82" s="2">
        <v>46479</v>
      </c>
      <c r="B82" s="2" t="s">
        <v>28</v>
      </c>
      <c r="C82" s="3" t="s">
        <v>121</v>
      </c>
      <c r="D82" s="5" t="s">
        <v>17</v>
      </c>
    </row>
    <row r="83" spans="1:4" ht="15" x14ac:dyDescent="0.25">
      <c r="A83" s="2">
        <v>46481</v>
      </c>
      <c r="B83" s="2" t="s">
        <v>28</v>
      </c>
      <c r="C83" s="3" t="s">
        <v>122</v>
      </c>
      <c r="D83" s="5" t="s">
        <v>17</v>
      </c>
    </row>
    <row r="84" spans="1:4" ht="15" x14ac:dyDescent="0.25">
      <c r="A84" s="2">
        <v>46482</v>
      </c>
      <c r="B84" s="2" t="s">
        <v>28</v>
      </c>
      <c r="C84" s="3" t="s">
        <v>123</v>
      </c>
      <c r="D84" s="5" t="s">
        <v>17</v>
      </c>
    </row>
    <row r="85" spans="1:4" ht="15" x14ac:dyDescent="0.25">
      <c r="A85" s="2">
        <v>46483</v>
      </c>
      <c r="B85" s="2" t="s">
        <v>28</v>
      </c>
      <c r="C85" s="3" t="s">
        <v>124</v>
      </c>
      <c r="D85" s="5" t="s">
        <v>17</v>
      </c>
    </row>
    <row r="86" spans="1:4" ht="15" x14ac:dyDescent="0.25">
      <c r="A86" s="2">
        <v>47511</v>
      </c>
      <c r="B86" s="2" t="s">
        <v>28</v>
      </c>
      <c r="C86" s="3" t="s">
        <v>125</v>
      </c>
      <c r="D86" s="5" t="s">
        <v>17</v>
      </c>
    </row>
    <row r="87" spans="1:4" ht="15" x14ac:dyDescent="0.25">
      <c r="A87" s="2">
        <v>49395</v>
      </c>
      <c r="B87" s="2" t="s">
        <v>28</v>
      </c>
      <c r="C87" s="3" t="s">
        <v>126</v>
      </c>
      <c r="D87" s="5" t="s">
        <v>17</v>
      </c>
    </row>
    <row r="88" spans="1:4" ht="15" x14ac:dyDescent="0.25">
      <c r="A88" s="2">
        <v>49697</v>
      </c>
      <c r="B88" s="2" t="s">
        <v>28</v>
      </c>
      <c r="C88" s="3" t="s">
        <v>127</v>
      </c>
      <c r="D88" s="5" t="s">
        <v>17</v>
      </c>
    </row>
    <row r="89" spans="1:4" ht="15" x14ac:dyDescent="0.25">
      <c r="A89" s="2">
        <v>70009</v>
      </c>
      <c r="B89" s="2" t="s">
        <v>28</v>
      </c>
      <c r="C89" s="3" t="s">
        <v>128</v>
      </c>
      <c r="D89" s="5" t="s">
        <v>17</v>
      </c>
    </row>
    <row r="90" spans="1:4" ht="15" x14ac:dyDescent="0.25">
      <c r="A90" s="2">
        <v>70181</v>
      </c>
      <c r="B90" s="2" t="s">
        <v>28</v>
      </c>
      <c r="C90" s="3" t="s">
        <v>129</v>
      </c>
      <c r="D90" s="5" t="s">
        <v>17</v>
      </c>
    </row>
    <row r="91" spans="1:4" ht="15" x14ac:dyDescent="0.25">
      <c r="A91" s="2">
        <v>70289</v>
      </c>
      <c r="B91" s="2" t="s">
        <v>28</v>
      </c>
      <c r="C91" s="3" t="s">
        <v>130</v>
      </c>
      <c r="D91" s="5" t="s">
        <v>17</v>
      </c>
    </row>
    <row r="92" spans="1:4" ht="15" x14ac:dyDescent="0.25">
      <c r="A92" s="2">
        <v>70564</v>
      </c>
      <c r="B92" s="2" t="s">
        <v>28</v>
      </c>
      <c r="C92" s="3" t="s">
        <v>131</v>
      </c>
      <c r="D92" s="5" t="s">
        <v>17</v>
      </c>
    </row>
    <row r="93" spans="1:4" ht="15" x14ac:dyDescent="0.25">
      <c r="A93" s="2">
        <v>90069</v>
      </c>
      <c r="B93" s="2" t="s">
        <v>28</v>
      </c>
      <c r="C93" s="3" t="s">
        <v>132</v>
      </c>
      <c r="D93" s="5" t="s">
        <v>17</v>
      </c>
    </row>
    <row r="94" spans="1:4" ht="15" x14ac:dyDescent="0.25">
      <c r="A94" s="2">
        <v>90077</v>
      </c>
      <c r="B94" s="2" t="s">
        <v>28</v>
      </c>
      <c r="C94" s="3" t="s">
        <v>133</v>
      </c>
      <c r="D94" s="5" t="s">
        <v>17</v>
      </c>
    </row>
    <row r="95" spans="1:4" ht="15" x14ac:dyDescent="0.25">
      <c r="A95" s="2">
        <v>92002</v>
      </c>
      <c r="B95" s="2" t="s">
        <v>28</v>
      </c>
      <c r="C95" s="3" t="s">
        <v>134</v>
      </c>
      <c r="D95" s="5" t="s">
        <v>17</v>
      </c>
    </row>
    <row r="96" spans="1:4" ht="15" x14ac:dyDescent="0.25">
      <c r="A96" s="2">
        <v>92011</v>
      </c>
      <c r="B96" s="2" t="s">
        <v>28</v>
      </c>
      <c r="C96" s="3" t="s">
        <v>135</v>
      </c>
      <c r="D96" s="5" t="s">
        <v>17</v>
      </c>
    </row>
    <row r="97" spans="1:4" ht="15" x14ac:dyDescent="0.25">
      <c r="A97" s="2">
        <v>92029</v>
      </c>
      <c r="B97" s="2" t="s">
        <v>28</v>
      </c>
      <c r="C97" s="3" t="s">
        <v>136</v>
      </c>
      <c r="D97" s="5" t="s">
        <v>17</v>
      </c>
    </row>
    <row r="98" spans="1:4" ht="15" x14ac:dyDescent="0.25">
      <c r="A98" s="2">
        <v>92030</v>
      </c>
      <c r="B98" s="2" t="s">
        <v>28</v>
      </c>
      <c r="C98" s="3" t="s">
        <v>137</v>
      </c>
      <c r="D98" s="5" t="s">
        <v>17</v>
      </c>
    </row>
    <row r="99" spans="1:4" ht="15" x14ac:dyDescent="0.25">
      <c r="A99" s="2">
        <v>92031</v>
      </c>
      <c r="B99" s="2" t="s">
        <v>28</v>
      </c>
      <c r="C99" s="3" t="s">
        <v>138</v>
      </c>
      <c r="D99" s="5" t="s">
        <v>17</v>
      </c>
    </row>
    <row r="100" spans="1:4" ht="15" x14ac:dyDescent="0.25">
      <c r="A100" s="2">
        <v>92032</v>
      </c>
      <c r="B100" s="2" t="s">
        <v>28</v>
      </c>
      <c r="C100" s="3" t="s">
        <v>139</v>
      </c>
      <c r="D100" s="5" t="s">
        <v>17</v>
      </c>
    </row>
    <row r="101" spans="1:4" ht="15" x14ac:dyDescent="0.25">
      <c r="A101" s="2">
        <v>92033</v>
      </c>
      <c r="B101" s="2" t="s">
        <v>28</v>
      </c>
      <c r="C101" s="3" t="s">
        <v>140</v>
      </c>
      <c r="D101" s="5" t="s">
        <v>17</v>
      </c>
    </row>
    <row r="102" spans="1:4" ht="15" x14ac:dyDescent="0.25">
      <c r="A102" s="2">
        <v>92034</v>
      </c>
      <c r="B102" s="2" t="s">
        <v>28</v>
      </c>
      <c r="C102" s="3" t="s">
        <v>141</v>
      </c>
      <c r="D102" s="5" t="s">
        <v>17</v>
      </c>
    </row>
    <row r="103" spans="1:4" ht="15" x14ac:dyDescent="0.25">
      <c r="A103" s="2">
        <v>92035</v>
      </c>
      <c r="B103" s="2" t="s">
        <v>28</v>
      </c>
      <c r="C103" s="3" t="s">
        <v>142</v>
      </c>
      <c r="D103" s="5" t="s">
        <v>17</v>
      </c>
    </row>
    <row r="104" spans="1:4" ht="15" x14ac:dyDescent="0.25">
      <c r="A104" s="2">
        <v>92036</v>
      </c>
      <c r="B104" s="2" t="s">
        <v>28</v>
      </c>
      <c r="C104" s="3" t="s">
        <v>143</v>
      </c>
      <c r="D104" s="5" t="s">
        <v>17</v>
      </c>
    </row>
    <row r="105" spans="1:4" ht="15" x14ac:dyDescent="0.25">
      <c r="A105" s="2">
        <v>92037</v>
      </c>
      <c r="B105" s="2" t="s">
        <v>28</v>
      </c>
      <c r="C105" s="3" t="s">
        <v>144</v>
      </c>
      <c r="D105" s="5" t="s">
        <v>17</v>
      </c>
    </row>
    <row r="106" spans="1:4" ht="15" x14ac:dyDescent="0.25">
      <c r="A106" s="2">
        <v>92061</v>
      </c>
      <c r="B106" s="2" t="s">
        <v>28</v>
      </c>
      <c r="C106" s="3" t="s">
        <v>136</v>
      </c>
      <c r="D106" s="5" t="s">
        <v>17</v>
      </c>
    </row>
    <row r="107" spans="1:4" ht="15" x14ac:dyDescent="0.25">
      <c r="A107" s="2">
        <v>92096</v>
      </c>
      <c r="B107" s="2" t="s">
        <v>28</v>
      </c>
      <c r="C107" s="3" t="s">
        <v>145</v>
      </c>
      <c r="D107" s="5" t="s">
        <v>17</v>
      </c>
    </row>
    <row r="108" spans="1:4" ht="15" x14ac:dyDescent="0.25">
      <c r="A108" s="2">
        <v>92177</v>
      </c>
      <c r="B108" s="2" t="s">
        <v>28</v>
      </c>
      <c r="C108" s="3" t="s">
        <v>146</v>
      </c>
      <c r="D108" s="5" t="s">
        <v>17</v>
      </c>
    </row>
    <row r="109" spans="1:4" ht="15" x14ac:dyDescent="0.25">
      <c r="A109" s="2">
        <v>92240</v>
      </c>
      <c r="B109" s="2" t="s">
        <v>28</v>
      </c>
      <c r="C109" s="3" t="s">
        <v>147</v>
      </c>
      <c r="D109" s="5" t="s">
        <v>17</v>
      </c>
    </row>
    <row r="110" spans="1:4" ht="15" x14ac:dyDescent="0.25">
      <c r="A110" s="2">
        <v>92258</v>
      </c>
      <c r="B110" s="2" t="s">
        <v>28</v>
      </c>
      <c r="C110" s="3" t="s">
        <v>148</v>
      </c>
      <c r="D110" s="5" t="s">
        <v>17</v>
      </c>
    </row>
    <row r="111" spans="1:4" ht="15" x14ac:dyDescent="0.25">
      <c r="A111" s="2">
        <v>92266</v>
      </c>
      <c r="B111" s="2" t="s">
        <v>28</v>
      </c>
      <c r="C111" s="3" t="s">
        <v>149</v>
      </c>
      <c r="D111" s="5" t="s">
        <v>17</v>
      </c>
    </row>
    <row r="112" spans="1:4" ht="15" x14ac:dyDescent="0.25">
      <c r="A112" s="2">
        <v>131313</v>
      </c>
      <c r="B112" s="2" t="s">
        <v>28</v>
      </c>
      <c r="C112" s="3" t="s">
        <v>150</v>
      </c>
      <c r="D112" s="5" t="s">
        <v>17</v>
      </c>
    </row>
    <row r="113" spans="1:4" ht="15" x14ac:dyDescent="0.25">
      <c r="A113" s="2">
        <v>144819</v>
      </c>
      <c r="B113" s="2" t="s">
        <v>28</v>
      </c>
      <c r="C113" s="3" t="s">
        <v>151</v>
      </c>
      <c r="D113" s="5" t="s">
        <v>17</v>
      </c>
    </row>
    <row r="114" spans="1:4" ht="15" x14ac:dyDescent="0.25">
      <c r="A114" s="2">
        <v>144820</v>
      </c>
      <c r="B114" s="2" t="s">
        <v>28</v>
      </c>
      <c r="C114" s="3" t="s">
        <v>152</v>
      </c>
      <c r="D114" s="5" t="s">
        <v>17</v>
      </c>
    </row>
    <row r="115" spans="1:4" ht="15" x14ac:dyDescent="0.25">
      <c r="A115" s="2">
        <v>147304</v>
      </c>
      <c r="B115" s="2" t="s">
        <v>28</v>
      </c>
      <c r="C115" s="3" t="s">
        <v>153</v>
      </c>
      <c r="D115" s="5" t="s">
        <v>17</v>
      </c>
    </row>
    <row r="116" spans="1:4" ht="15" x14ac:dyDescent="0.25">
      <c r="A116" s="2">
        <v>212121</v>
      </c>
      <c r="B116" s="2" t="s">
        <v>28</v>
      </c>
      <c r="C116" s="3" t="s">
        <v>154</v>
      </c>
      <c r="D116" s="5" t="s">
        <v>17</v>
      </c>
    </row>
    <row r="117" spans="1:4" ht="15" x14ac:dyDescent="0.25">
      <c r="A117" s="2">
        <v>460486</v>
      </c>
      <c r="B117" s="2" t="s">
        <v>28</v>
      </c>
      <c r="C117" s="3" t="s">
        <v>155</v>
      </c>
      <c r="D117" s="5" t="s">
        <v>17</v>
      </c>
    </row>
    <row r="118" spans="1:4" ht="15" x14ac:dyDescent="0.25">
      <c r="A118" s="2">
        <v>480312</v>
      </c>
      <c r="B118" s="2" t="s">
        <v>28</v>
      </c>
      <c r="C118" s="3" t="s">
        <v>156</v>
      </c>
      <c r="D118" s="5" t="s">
        <v>17</v>
      </c>
    </row>
    <row r="119" spans="1:4" ht="15" x14ac:dyDescent="0.25">
      <c r="A119" s="2">
        <v>480576</v>
      </c>
      <c r="B119" s="2" t="s">
        <v>28</v>
      </c>
      <c r="C119" s="3" t="s">
        <v>157</v>
      </c>
      <c r="D119" s="5" t="s">
        <v>17</v>
      </c>
    </row>
    <row r="120" spans="1:4" ht="15" x14ac:dyDescent="0.25">
      <c r="A120" s="2">
        <v>480594</v>
      </c>
      <c r="B120" s="2" t="s">
        <v>28</v>
      </c>
      <c r="C120" s="3" t="s">
        <v>158</v>
      </c>
      <c r="D120" s="5" t="s">
        <v>17</v>
      </c>
    </row>
    <row r="121" spans="1:4" ht="15" x14ac:dyDescent="0.25">
      <c r="A121" s="2">
        <v>500208</v>
      </c>
      <c r="B121" s="2" t="s">
        <v>28</v>
      </c>
      <c r="C121" s="3" t="s">
        <v>159</v>
      </c>
      <c r="D121" s="5" t="s">
        <v>17</v>
      </c>
    </row>
    <row r="122" spans="1:4" ht="15" x14ac:dyDescent="0.25">
      <c r="A122" s="2">
        <v>500534</v>
      </c>
      <c r="B122" s="2" t="s">
        <v>28</v>
      </c>
      <c r="C122" s="3" t="s">
        <v>160</v>
      </c>
      <c r="D122" s="5" t="s">
        <v>17</v>
      </c>
    </row>
    <row r="123" spans="1:4" ht="15" x14ac:dyDescent="0.25">
      <c r="A123" s="2">
        <v>500542</v>
      </c>
      <c r="B123" s="2" t="s">
        <v>28</v>
      </c>
      <c r="C123" s="3" t="s">
        <v>161</v>
      </c>
      <c r="D123" s="5" t="s">
        <v>17</v>
      </c>
    </row>
    <row r="124" spans="1:4" ht="15" x14ac:dyDescent="0.25">
      <c r="A124" s="2">
        <v>500551</v>
      </c>
      <c r="B124" s="2" t="s">
        <v>28</v>
      </c>
      <c r="C124" s="3" t="s">
        <v>162</v>
      </c>
      <c r="D124" s="5" t="s">
        <v>17</v>
      </c>
    </row>
    <row r="125" spans="1:4" ht="15" x14ac:dyDescent="0.25">
      <c r="A125" s="2">
        <v>500577</v>
      </c>
      <c r="B125" s="2" t="s">
        <v>28</v>
      </c>
      <c r="C125" s="3" t="s">
        <v>163</v>
      </c>
      <c r="D125" s="5" t="s">
        <v>17</v>
      </c>
    </row>
    <row r="126" spans="1:4" ht="15" x14ac:dyDescent="0.25">
      <c r="A126" s="2">
        <v>500593</v>
      </c>
      <c r="B126" s="2" t="s">
        <v>28</v>
      </c>
      <c r="C126" s="3" t="s">
        <v>164</v>
      </c>
      <c r="D126" s="5" t="s">
        <v>17</v>
      </c>
    </row>
    <row r="127" spans="1:4" ht="15" x14ac:dyDescent="0.25">
      <c r="A127" s="2">
        <v>500640</v>
      </c>
      <c r="B127" s="2" t="s">
        <v>28</v>
      </c>
      <c r="C127" s="3" t="s">
        <v>165</v>
      </c>
      <c r="D127" s="5" t="s">
        <v>17</v>
      </c>
    </row>
    <row r="128" spans="1:4" ht="15" x14ac:dyDescent="0.25">
      <c r="A128" s="2">
        <v>500658</v>
      </c>
      <c r="B128" s="2" t="s">
        <v>28</v>
      </c>
      <c r="C128" s="3" t="s">
        <v>166</v>
      </c>
      <c r="D128" s="5" t="s">
        <v>17</v>
      </c>
    </row>
    <row r="129" spans="1:4" ht="15" x14ac:dyDescent="0.25">
      <c r="A129" s="2">
        <v>500666</v>
      </c>
      <c r="B129" s="2" t="s">
        <v>28</v>
      </c>
      <c r="C129" s="3" t="s">
        <v>167</v>
      </c>
      <c r="D129" s="5" t="s">
        <v>17</v>
      </c>
    </row>
    <row r="130" spans="1:4" ht="15" x14ac:dyDescent="0.25">
      <c r="A130" s="2">
        <v>500755</v>
      </c>
      <c r="B130" s="2" t="s">
        <v>28</v>
      </c>
      <c r="C130" s="3" t="s">
        <v>168</v>
      </c>
      <c r="D130" s="5" t="s">
        <v>17</v>
      </c>
    </row>
    <row r="131" spans="1:4" ht="15" x14ac:dyDescent="0.25">
      <c r="A131" s="2">
        <v>500763</v>
      </c>
      <c r="B131" s="2" t="s">
        <v>28</v>
      </c>
      <c r="C131" s="3" t="s">
        <v>169</v>
      </c>
      <c r="D131" s="5" t="s">
        <v>17</v>
      </c>
    </row>
    <row r="132" spans="1:4" ht="15" x14ac:dyDescent="0.25">
      <c r="A132" s="2">
        <v>500771</v>
      </c>
      <c r="B132" s="2" t="s">
        <v>28</v>
      </c>
      <c r="C132" s="3" t="s">
        <v>170</v>
      </c>
      <c r="D132" s="5" t="s">
        <v>17</v>
      </c>
    </row>
    <row r="133" spans="1:4" ht="15" x14ac:dyDescent="0.25">
      <c r="A133" s="2">
        <v>500780</v>
      </c>
      <c r="B133" s="2" t="s">
        <v>28</v>
      </c>
      <c r="C133" s="3" t="s">
        <v>171</v>
      </c>
      <c r="D133" s="5" t="s">
        <v>17</v>
      </c>
    </row>
    <row r="134" spans="1:4" ht="15" x14ac:dyDescent="0.25">
      <c r="A134" s="2">
        <v>500798</v>
      </c>
      <c r="B134" s="2" t="s">
        <v>28</v>
      </c>
      <c r="C134" s="3" t="s">
        <v>172</v>
      </c>
      <c r="D134" s="5" t="s">
        <v>17</v>
      </c>
    </row>
    <row r="135" spans="1:4" ht="15" x14ac:dyDescent="0.25">
      <c r="A135" s="2">
        <v>500810</v>
      </c>
      <c r="B135" s="2" t="s">
        <v>28</v>
      </c>
      <c r="C135" s="3" t="s">
        <v>173</v>
      </c>
      <c r="D135" s="5" t="s">
        <v>17</v>
      </c>
    </row>
    <row r="136" spans="1:4" ht="15" x14ac:dyDescent="0.25">
      <c r="A136" s="2">
        <v>500844</v>
      </c>
      <c r="B136" s="2" t="s">
        <v>28</v>
      </c>
      <c r="C136" s="3" t="s">
        <v>174</v>
      </c>
      <c r="D136" s="5" t="s">
        <v>17</v>
      </c>
    </row>
    <row r="137" spans="1:4" ht="15" x14ac:dyDescent="0.25">
      <c r="A137" s="2">
        <v>500852</v>
      </c>
      <c r="B137" s="2" t="s">
        <v>28</v>
      </c>
      <c r="C137" s="3" t="s">
        <v>175</v>
      </c>
      <c r="D137" s="5" t="s">
        <v>17</v>
      </c>
    </row>
    <row r="138" spans="1:4" ht="15" x14ac:dyDescent="0.25">
      <c r="A138" s="2">
        <v>500861</v>
      </c>
      <c r="B138" s="2" t="s">
        <v>28</v>
      </c>
      <c r="C138" s="3" t="s">
        <v>176</v>
      </c>
      <c r="D138" s="5" t="s">
        <v>17</v>
      </c>
    </row>
    <row r="139" spans="1:4" ht="15" x14ac:dyDescent="0.25">
      <c r="A139" s="2">
        <v>500887</v>
      </c>
      <c r="B139" s="2" t="s">
        <v>28</v>
      </c>
      <c r="C139" s="3" t="s">
        <v>177</v>
      </c>
      <c r="D139" s="5" t="s">
        <v>17</v>
      </c>
    </row>
    <row r="140" spans="1:4" ht="15" x14ac:dyDescent="0.25">
      <c r="A140" s="2">
        <v>500933</v>
      </c>
      <c r="B140" s="2" t="s">
        <v>28</v>
      </c>
      <c r="C140" s="3" t="s">
        <v>178</v>
      </c>
      <c r="D140" s="5" t="s">
        <v>17</v>
      </c>
    </row>
    <row r="141" spans="1:4" ht="15" x14ac:dyDescent="0.25">
      <c r="A141" s="2">
        <v>500941</v>
      </c>
      <c r="B141" s="2" t="s">
        <v>28</v>
      </c>
      <c r="C141" s="3" t="s">
        <v>179</v>
      </c>
      <c r="D141" s="5" t="s">
        <v>17</v>
      </c>
    </row>
    <row r="142" spans="1:4" ht="15" x14ac:dyDescent="0.25">
      <c r="A142" s="2">
        <v>500950</v>
      </c>
      <c r="B142" s="2" t="s">
        <v>28</v>
      </c>
      <c r="C142" s="3" t="s">
        <v>180</v>
      </c>
      <c r="D142" s="5" t="s">
        <v>17</v>
      </c>
    </row>
    <row r="143" spans="1:4" ht="15" x14ac:dyDescent="0.25">
      <c r="A143" s="2">
        <v>500968</v>
      </c>
      <c r="B143" s="2" t="s">
        <v>28</v>
      </c>
      <c r="C143" s="3" t="s">
        <v>181</v>
      </c>
      <c r="D143" s="5" t="s">
        <v>17</v>
      </c>
    </row>
    <row r="144" spans="1:4" ht="15" x14ac:dyDescent="0.25">
      <c r="A144" s="2">
        <v>501000</v>
      </c>
      <c r="B144" s="2" t="s">
        <v>28</v>
      </c>
      <c r="C144" s="3" t="s">
        <v>182</v>
      </c>
      <c r="D144" s="5" t="s">
        <v>17</v>
      </c>
    </row>
    <row r="145" spans="1:4" ht="15" x14ac:dyDescent="0.25">
      <c r="A145" s="2">
        <v>501018</v>
      </c>
      <c r="B145" s="2" t="s">
        <v>28</v>
      </c>
      <c r="C145" s="3" t="s">
        <v>183</v>
      </c>
      <c r="D145" s="5" t="s">
        <v>17</v>
      </c>
    </row>
    <row r="146" spans="1:4" ht="15" x14ac:dyDescent="0.25">
      <c r="A146" s="2">
        <v>501026</v>
      </c>
      <c r="B146" s="2" t="s">
        <v>28</v>
      </c>
      <c r="C146" s="3" t="s">
        <v>184</v>
      </c>
      <c r="D146" s="5" t="s">
        <v>17</v>
      </c>
    </row>
    <row r="147" spans="1:4" ht="15" x14ac:dyDescent="0.25">
      <c r="A147" s="2">
        <v>501140</v>
      </c>
      <c r="B147" s="2" t="s">
        <v>28</v>
      </c>
      <c r="C147" s="3" t="s">
        <v>185</v>
      </c>
      <c r="D147" s="5" t="s">
        <v>17</v>
      </c>
    </row>
    <row r="148" spans="1:4" ht="15" x14ac:dyDescent="0.25">
      <c r="A148" s="2">
        <v>501379</v>
      </c>
      <c r="B148" s="2" t="s">
        <v>28</v>
      </c>
      <c r="C148" s="3" t="s">
        <v>186</v>
      </c>
      <c r="D148" s="5" t="s">
        <v>17</v>
      </c>
    </row>
    <row r="149" spans="1:4" ht="15" x14ac:dyDescent="0.25">
      <c r="A149" s="2">
        <v>503011</v>
      </c>
      <c r="B149" s="2" t="s">
        <v>28</v>
      </c>
      <c r="C149" s="3" t="s">
        <v>187</v>
      </c>
      <c r="D149" s="5" t="s">
        <v>17</v>
      </c>
    </row>
    <row r="150" spans="1:4" ht="15" x14ac:dyDescent="0.25">
      <c r="A150" s="2">
        <v>503029</v>
      </c>
      <c r="B150" s="2" t="s">
        <v>28</v>
      </c>
      <c r="C150" s="3" t="s">
        <v>188</v>
      </c>
      <c r="D150" s="5" t="s">
        <v>17</v>
      </c>
    </row>
    <row r="151" spans="1:4" ht="15" x14ac:dyDescent="0.25">
      <c r="A151" s="2">
        <v>503037</v>
      </c>
      <c r="B151" s="2" t="s">
        <v>28</v>
      </c>
      <c r="C151" s="3" t="s">
        <v>189</v>
      </c>
      <c r="D151" s="5" t="s">
        <v>17</v>
      </c>
    </row>
    <row r="152" spans="1:4" ht="15" x14ac:dyDescent="0.25">
      <c r="A152" s="2">
        <v>503045</v>
      </c>
      <c r="B152" s="2" t="s">
        <v>28</v>
      </c>
      <c r="C152" s="3" t="s">
        <v>190</v>
      </c>
      <c r="D152" s="5" t="s">
        <v>17</v>
      </c>
    </row>
    <row r="153" spans="1:4" ht="15" x14ac:dyDescent="0.25">
      <c r="A153" s="2">
        <v>503053</v>
      </c>
      <c r="B153" s="2" t="s">
        <v>28</v>
      </c>
      <c r="C153" s="3" t="s">
        <v>191</v>
      </c>
      <c r="D153" s="5" t="s">
        <v>17</v>
      </c>
    </row>
    <row r="154" spans="1:4" ht="15" x14ac:dyDescent="0.25">
      <c r="A154" s="2">
        <v>503061</v>
      </c>
      <c r="B154" s="2" t="s">
        <v>28</v>
      </c>
      <c r="C154" s="3" t="s">
        <v>192</v>
      </c>
      <c r="D154" s="5" t="s">
        <v>17</v>
      </c>
    </row>
    <row r="155" spans="1:4" ht="15" x14ac:dyDescent="0.25">
      <c r="A155" s="2">
        <v>503070</v>
      </c>
      <c r="B155" s="2" t="s">
        <v>28</v>
      </c>
      <c r="C155" s="3" t="s">
        <v>193</v>
      </c>
      <c r="D155" s="5" t="s">
        <v>17</v>
      </c>
    </row>
    <row r="156" spans="1:4" ht="15" x14ac:dyDescent="0.25">
      <c r="A156" s="2">
        <v>503088</v>
      </c>
      <c r="B156" s="2" t="s">
        <v>28</v>
      </c>
      <c r="C156" s="3" t="s">
        <v>194</v>
      </c>
      <c r="D156" s="5" t="s">
        <v>17</v>
      </c>
    </row>
    <row r="157" spans="1:4" ht="15" x14ac:dyDescent="0.25">
      <c r="A157" s="2">
        <v>503134</v>
      </c>
      <c r="B157" s="2" t="s">
        <v>28</v>
      </c>
      <c r="C157" s="3" t="s">
        <v>195</v>
      </c>
      <c r="D157" s="5" t="s">
        <v>17</v>
      </c>
    </row>
    <row r="158" spans="1:4" ht="15" x14ac:dyDescent="0.25">
      <c r="A158" s="2">
        <v>503142</v>
      </c>
      <c r="B158" s="2" t="s">
        <v>28</v>
      </c>
      <c r="C158" s="3" t="s">
        <v>196</v>
      </c>
      <c r="D158" s="5" t="s">
        <v>17</v>
      </c>
    </row>
    <row r="159" spans="1:4" ht="15" x14ac:dyDescent="0.25">
      <c r="A159" s="2">
        <v>503151</v>
      </c>
      <c r="B159" s="2" t="s">
        <v>28</v>
      </c>
      <c r="C159" s="3" t="s">
        <v>197</v>
      </c>
      <c r="D159" s="5" t="s">
        <v>17</v>
      </c>
    </row>
    <row r="160" spans="1:4" ht="15" x14ac:dyDescent="0.25">
      <c r="A160" s="2">
        <v>503169</v>
      </c>
      <c r="B160" s="2" t="s">
        <v>28</v>
      </c>
      <c r="C160" s="3" t="s">
        <v>198</v>
      </c>
      <c r="D160" s="5" t="s">
        <v>17</v>
      </c>
    </row>
    <row r="161" spans="1:4" ht="15" x14ac:dyDescent="0.25">
      <c r="A161" s="2">
        <v>503177</v>
      </c>
      <c r="B161" s="2" t="s">
        <v>28</v>
      </c>
      <c r="C161" s="3" t="s">
        <v>199</v>
      </c>
      <c r="D161" s="5" t="s">
        <v>17</v>
      </c>
    </row>
    <row r="162" spans="1:4" ht="15" x14ac:dyDescent="0.25">
      <c r="A162" s="2">
        <v>503185</v>
      </c>
      <c r="B162" s="2" t="s">
        <v>28</v>
      </c>
      <c r="C162" s="3" t="s">
        <v>200</v>
      </c>
      <c r="D162" s="5" t="s">
        <v>17</v>
      </c>
    </row>
    <row r="163" spans="1:4" ht="15" x14ac:dyDescent="0.25">
      <c r="A163" s="2">
        <v>503215</v>
      </c>
      <c r="B163" s="2" t="s">
        <v>28</v>
      </c>
      <c r="C163" s="3" t="s">
        <v>201</v>
      </c>
      <c r="D163" s="5" t="s">
        <v>17</v>
      </c>
    </row>
    <row r="164" spans="1:4" ht="15" x14ac:dyDescent="0.25">
      <c r="A164" s="2">
        <v>503223</v>
      </c>
      <c r="B164" s="2" t="s">
        <v>28</v>
      </c>
      <c r="C164" s="3" t="s">
        <v>202</v>
      </c>
      <c r="D164" s="5" t="s">
        <v>17</v>
      </c>
    </row>
    <row r="165" spans="1:4" ht="15" x14ac:dyDescent="0.25">
      <c r="A165" s="2">
        <v>503231</v>
      </c>
      <c r="B165" s="2" t="s">
        <v>28</v>
      </c>
      <c r="C165" s="3" t="s">
        <v>203</v>
      </c>
      <c r="D165" s="5" t="s">
        <v>17</v>
      </c>
    </row>
    <row r="166" spans="1:4" ht="15" x14ac:dyDescent="0.25">
      <c r="A166" s="2">
        <v>503240</v>
      </c>
      <c r="B166" s="2" t="s">
        <v>28</v>
      </c>
      <c r="C166" s="3" t="s">
        <v>204</v>
      </c>
      <c r="D166" s="5" t="s">
        <v>17</v>
      </c>
    </row>
    <row r="167" spans="1:4" ht="15" x14ac:dyDescent="0.25">
      <c r="A167" s="2">
        <v>503274</v>
      </c>
      <c r="B167" s="2" t="s">
        <v>28</v>
      </c>
      <c r="C167" s="3" t="s">
        <v>205</v>
      </c>
      <c r="D167" s="5" t="s">
        <v>17</v>
      </c>
    </row>
    <row r="168" spans="1:4" ht="15" x14ac:dyDescent="0.25">
      <c r="A168" s="2">
        <v>503304</v>
      </c>
      <c r="B168" s="2" t="s">
        <v>28</v>
      </c>
      <c r="C168" s="3" t="s">
        <v>206</v>
      </c>
      <c r="D168" s="5" t="s">
        <v>17</v>
      </c>
    </row>
    <row r="169" spans="1:4" ht="15" x14ac:dyDescent="0.25">
      <c r="A169" s="2">
        <v>503312</v>
      </c>
      <c r="B169" s="2" t="s">
        <v>28</v>
      </c>
      <c r="C169" s="3" t="s">
        <v>207</v>
      </c>
      <c r="D169" s="5" t="s">
        <v>17</v>
      </c>
    </row>
    <row r="170" spans="1:4" ht="15" x14ac:dyDescent="0.25">
      <c r="A170" s="2">
        <v>503323</v>
      </c>
      <c r="B170" s="2" t="s">
        <v>28</v>
      </c>
      <c r="C170" s="3" t="s">
        <v>208</v>
      </c>
      <c r="D170" s="5" t="s">
        <v>17</v>
      </c>
    </row>
    <row r="171" spans="1:4" ht="15" x14ac:dyDescent="0.25">
      <c r="A171" s="2">
        <v>503325</v>
      </c>
      <c r="B171" s="2" t="s">
        <v>28</v>
      </c>
      <c r="C171" s="3" t="s">
        <v>209</v>
      </c>
      <c r="D171" s="5" t="s">
        <v>17</v>
      </c>
    </row>
    <row r="172" spans="1:4" ht="15" x14ac:dyDescent="0.25">
      <c r="A172" s="2">
        <v>503326</v>
      </c>
      <c r="B172" s="2" t="s">
        <v>28</v>
      </c>
      <c r="C172" s="3" t="s">
        <v>210</v>
      </c>
      <c r="D172" s="5" t="s">
        <v>17</v>
      </c>
    </row>
    <row r="173" spans="1:4" ht="15" x14ac:dyDescent="0.25">
      <c r="A173" s="2">
        <v>503328</v>
      </c>
      <c r="B173" s="2" t="s">
        <v>28</v>
      </c>
      <c r="C173" s="3" t="s">
        <v>211</v>
      </c>
      <c r="D173" s="5" t="s">
        <v>17</v>
      </c>
    </row>
    <row r="174" spans="1:4" ht="15" x14ac:dyDescent="0.25">
      <c r="A174" s="2">
        <v>510301</v>
      </c>
      <c r="B174" s="2" t="s">
        <v>28</v>
      </c>
      <c r="C174" s="3" t="s">
        <v>212</v>
      </c>
      <c r="D174" s="5" t="s">
        <v>17</v>
      </c>
    </row>
    <row r="175" spans="1:4" ht="15" x14ac:dyDescent="0.25">
      <c r="A175" s="2">
        <v>510319</v>
      </c>
      <c r="B175" s="2" t="s">
        <v>28</v>
      </c>
      <c r="C175" s="3" t="s">
        <v>213</v>
      </c>
      <c r="D175" s="5" t="s">
        <v>17</v>
      </c>
    </row>
    <row r="176" spans="1:4" ht="15" x14ac:dyDescent="0.25">
      <c r="A176" s="2">
        <v>510351</v>
      </c>
      <c r="B176" s="2" t="s">
        <v>28</v>
      </c>
      <c r="C176" s="3" t="s">
        <v>214</v>
      </c>
      <c r="D176" s="5" t="s">
        <v>17</v>
      </c>
    </row>
    <row r="177" spans="1:4" ht="15" x14ac:dyDescent="0.25">
      <c r="A177" s="2">
        <v>510360</v>
      </c>
      <c r="B177" s="2" t="s">
        <v>28</v>
      </c>
      <c r="C177" s="3" t="s">
        <v>215</v>
      </c>
      <c r="D177" s="5" t="s">
        <v>17</v>
      </c>
    </row>
    <row r="178" spans="1:4" ht="15" x14ac:dyDescent="0.25">
      <c r="A178" s="2">
        <v>510483</v>
      </c>
      <c r="B178" s="2" t="s">
        <v>28</v>
      </c>
      <c r="C178" s="3" t="s">
        <v>216</v>
      </c>
      <c r="D178" s="5" t="s">
        <v>17</v>
      </c>
    </row>
    <row r="179" spans="1:4" ht="15" x14ac:dyDescent="0.25">
      <c r="A179" s="2">
        <v>510505</v>
      </c>
      <c r="B179" s="2" t="s">
        <v>28</v>
      </c>
      <c r="C179" s="3" t="s">
        <v>217</v>
      </c>
      <c r="D179" s="5" t="s">
        <v>17</v>
      </c>
    </row>
    <row r="180" spans="1:4" ht="15" x14ac:dyDescent="0.25">
      <c r="A180" s="2">
        <v>510530</v>
      </c>
      <c r="B180" s="2" t="s">
        <v>28</v>
      </c>
      <c r="C180" s="3" t="s">
        <v>218</v>
      </c>
      <c r="D180" s="5" t="s">
        <v>17</v>
      </c>
    </row>
    <row r="181" spans="1:4" ht="15" x14ac:dyDescent="0.25">
      <c r="A181" s="2">
        <v>510572</v>
      </c>
      <c r="B181" s="2" t="s">
        <v>28</v>
      </c>
      <c r="C181" s="3" t="s">
        <v>219</v>
      </c>
      <c r="D181" s="5" t="s">
        <v>17</v>
      </c>
    </row>
    <row r="182" spans="1:4" ht="15" x14ac:dyDescent="0.25">
      <c r="A182" s="2">
        <v>510581</v>
      </c>
      <c r="B182" s="2" t="s">
        <v>28</v>
      </c>
      <c r="C182" s="3" t="s">
        <v>220</v>
      </c>
      <c r="D182" s="5" t="s">
        <v>17</v>
      </c>
    </row>
    <row r="183" spans="1:4" ht="15" x14ac:dyDescent="0.25">
      <c r="A183" s="2">
        <v>510599</v>
      </c>
      <c r="B183" s="2" t="s">
        <v>28</v>
      </c>
      <c r="C183" s="3" t="s">
        <v>221</v>
      </c>
      <c r="D183" s="5" t="s">
        <v>17</v>
      </c>
    </row>
    <row r="184" spans="1:4" ht="15" x14ac:dyDescent="0.25">
      <c r="A184" s="2">
        <v>510696</v>
      </c>
      <c r="B184" s="2" t="s">
        <v>28</v>
      </c>
      <c r="C184" s="3" t="s">
        <v>222</v>
      </c>
      <c r="D184" s="5" t="s">
        <v>17</v>
      </c>
    </row>
    <row r="185" spans="1:4" ht="15" x14ac:dyDescent="0.25">
      <c r="A185" s="2">
        <v>510700</v>
      </c>
      <c r="B185" s="2" t="s">
        <v>28</v>
      </c>
      <c r="C185" s="3" t="s">
        <v>223</v>
      </c>
      <c r="D185" s="5" t="s">
        <v>17</v>
      </c>
    </row>
    <row r="186" spans="1:4" ht="15" x14ac:dyDescent="0.25">
      <c r="A186" s="2">
        <v>510718</v>
      </c>
      <c r="B186" s="2" t="s">
        <v>28</v>
      </c>
      <c r="C186" s="3" t="s">
        <v>224</v>
      </c>
      <c r="D186" s="5" t="s">
        <v>17</v>
      </c>
    </row>
    <row r="187" spans="1:4" ht="15" x14ac:dyDescent="0.25">
      <c r="A187" s="2">
        <v>510726</v>
      </c>
      <c r="B187" s="2" t="s">
        <v>28</v>
      </c>
      <c r="C187" s="3" t="s">
        <v>225</v>
      </c>
      <c r="D187" s="5" t="s">
        <v>17</v>
      </c>
    </row>
    <row r="188" spans="1:4" ht="15" x14ac:dyDescent="0.25">
      <c r="A188" s="2">
        <v>510734</v>
      </c>
      <c r="B188" s="2" t="s">
        <v>28</v>
      </c>
      <c r="C188" s="3" t="s">
        <v>226</v>
      </c>
      <c r="D188" s="5" t="s">
        <v>17</v>
      </c>
    </row>
    <row r="189" spans="1:4" ht="15" x14ac:dyDescent="0.25">
      <c r="A189" s="2">
        <v>510912</v>
      </c>
      <c r="B189" s="2" t="s">
        <v>28</v>
      </c>
      <c r="C189" s="3" t="s">
        <v>227</v>
      </c>
      <c r="D189" s="5" t="s">
        <v>17</v>
      </c>
    </row>
    <row r="190" spans="1:4" ht="15" x14ac:dyDescent="0.25">
      <c r="A190" s="2">
        <v>510921</v>
      </c>
      <c r="B190" s="2" t="s">
        <v>28</v>
      </c>
      <c r="C190" s="3" t="s">
        <v>228</v>
      </c>
      <c r="D190" s="5" t="s">
        <v>17</v>
      </c>
    </row>
    <row r="191" spans="1:4" ht="15" x14ac:dyDescent="0.25">
      <c r="A191" s="2">
        <v>510922</v>
      </c>
      <c r="B191" s="2" t="s">
        <v>28</v>
      </c>
      <c r="C191" s="3" t="s">
        <v>229</v>
      </c>
      <c r="D191" s="5" t="s">
        <v>17</v>
      </c>
    </row>
    <row r="192" spans="1:4" ht="15" x14ac:dyDescent="0.25">
      <c r="A192" s="2">
        <v>510939</v>
      </c>
      <c r="B192" s="2" t="s">
        <v>28</v>
      </c>
      <c r="C192" s="3" t="s">
        <v>230</v>
      </c>
      <c r="D192" s="5" t="s">
        <v>17</v>
      </c>
    </row>
    <row r="193" spans="1:4" ht="15" x14ac:dyDescent="0.25">
      <c r="A193" s="2">
        <v>510996</v>
      </c>
      <c r="B193" s="2" t="s">
        <v>28</v>
      </c>
      <c r="C193" s="3" t="s">
        <v>231</v>
      </c>
      <c r="D193" s="5" t="s">
        <v>17</v>
      </c>
    </row>
    <row r="194" spans="1:4" ht="15" x14ac:dyDescent="0.25">
      <c r="A194" s="2">
        <v>510997</v>
      </c>
      <c r="B194" s="2" t="s">
        <v>28</v>
      </c>
      <c r="C194" s="3" t="s">
        <v>232</v>
      </c>
      <c r="D194" s="5" t="s">
        <v>17</v>
      </c>
    </row>
    <row r="195" spans="1:4" ht="15" x14ac:dyDescent="0.25">
      <c r="A195" s="2">
        <v>510998</v>
      </c>
      <c r="B195" s="2" t="s">
        <v>28</v>
      </c>
      <c r="C195" s="3" t="s">
        <v>233</v>
      </c>
      <c r="D195" s="5" t="s">
        <v>17</v>
      </c>
    </row>
    <row r="196" spans="1:4" ht="15" x14ac:dyDescent="0.25">
      <c r="A196" s="2">
        <v>511064</v>
      </c>
      <c r="B196" s="2" t="s">
        <v>28</v>
      </c>
      <c r="C196" s="3" t="s">
        <v>234</v>
      </c>
      <c r="D196" s="5" t="s">
        <v>17</v>
      </c>
    </row>
    <row r="197" spans="1:4" ht="15" x14ac:dyDescent="0.25">
      <c r="A197" s="2">
        <v>511065</v>
      </c>
      <c r="B197" s="2" t="s">
        <v>28</v>
      </c>
      <c r="C197" s="3" t="s">
        <v>235</v>
      </c>
      <c r="D197" s="5" t="s">
        <v>17</v>
      </c>
    </row>
    <row r="198" spans="1:4" ht="15" x14ac:dyDescent="0.25">
      <c r="A198" s="2">
        <v>511081</v>
      </c>
      <c r="B198" s="2" t="s">
        <v>28</v>
      </c>
      <c r="C198" s="3" t="s">
        <v>236</v>
      </c>
      <c r="D198" s="5" t="s">
        <v>17</v>
      </c>
    </row>
    <row r="199" spans="1:4" ht="15" x14ac:dyDescent="0.25">
      <c r="A199" s="2">
        <v>511099</v>
      </c>
      <c r="B199" s="2" t="s">
        <v>28</v>
      </c>
      <c r="C199" s="3" t="s">
        <v>237</v>
      </c>
      <c r="D199" s="5" t="s">
        <v>17</v>
      </c>
    </row>
    <row r="200" spans="1:4" ht="15" x14ac:dyDescent="0.25">
      <c r="A200" s="2">
        <v>511153</v>
      </c>
      <c r="B200" s="2" t="s">
        <v>28</v>
      </c>
      <c r="C200" s="3" t="s">
        <v>238</v>
      </c>
      <c r="D200" s="5" t="s">
        <v>17</v>
      </c>
    </row>
    <row r="201" spans="1:4" ht="15" x14ac:dyDescent="0.25">
      <c r="A201" s="2">
        <v>511242</v>
      </c>
      <c r="B201" s="2" t="s">
        <v>28</v>
      </c>
      <c r="C201" s="3" t="s">
        <v>239</v>
      </c>
      <c r="D201" s="5" t="s">
        <v>17</v>
      </c>
    </row>
    <row r="202" spans="1:4" ht="15" x14ac:dyDescent="0.25">
      <c r="A202" s="2">
        <v>511243</v>
      </c>
      <c r="B202" s="2" t="s">
        <v>28</v>
      </c>
      <c r="C202" s="3" t="s">
        <v>240</v>
      </c>
      <c r="D202" s="5" t="s">
        <v>17</v>
      </c>
    </row>
    <row r="203" spans="1:4" ht="15" x14ac:dyDescent="0.25">
      <c r="A203" s="2">
        <v>511251</v>
      </c>
      <c r="B203" s="2" t="s">
        <v>28</v>
      </c>
      <c r="C203" s="3" t="s">
        <v>241</v>
      </c>
      <c r="D203" s="5" t="s">
        <v>17</v>
      </c>
    </row>
    <row r="204" spans="1:4" ht="15" x14ac:dyDescent="0.25">
      <c r="A204" s="2">
        <v>511269</v>
      </c>
      <c r="B204" s="2" t="s">
        <v>28</v>
      </c>
      <c r="C204" s="3" t="s">
        <v>242</v>
      </c>
      <c r="D204" s="5" t="s">
        <v>17</v>
      </c>
    </row>
    <row r="205" spans="1:4" ht="15" x14ac:dyDescent="0.25">
      <c r="A205" s="2">
        <v>511277</v>
      </c>
      <c r="B205" s="2" t="s">
        <v>28</v>
      </c>
      <c r="C205" s="3" t="s">
        <v>243</v>
      </c>
      <c r="D205" s="5" t="s">
        <v>17</v>
      </c>
    </row>
    <row r="206" spans="1:4" ht="15" x14ac:dyDescent="0.25">
      <c r="A206" s="2">
        <v>511278</v>
      </c>
      <c r="B206" s="2" t="s">
        <v>28</v>
      </c>
      <c r="C206" s="3" t="s">
        <v>244</v>
      </c>
      <c r="D206" s="5" t="s">
        <v>17</v>
      </c>
    </row>
    <row r="207" spans="1:4" ht="15" x14ac:dyDescent="0.25">
      <c r="A207" s="2">
        <v>511285</v>
      </c>
      <c r="B207" s="2" t="s">
        <v>28</v>
      </c>
      <c r="C207" s="3" t="s">
        <v>245</v>
      </c>
      <c r="D207" s="5" t="s">
        <v>17</v>
      </c>
    </row>
    <row r="208" spans="1:4" ht="15" x14ac:dyDescent="0.25">
      <c r="A208" s="2">
        <v>511293</v>
      </c>
      <c r="B208" s="2" t="s">
        <v>28</v>
      </c>
      <c r="C208" s="3" t="s">
        <v>246</v>
      </c>
      <c r="D208" s="5" t="s">
        <v>17</v>
      </c>
    </row>
    <row r="209" spans="1:4" ht="15" x14ac:dyDescent="0.25">
      <c r="A209" s="2">
        <v>511294</v>
      </c>
      <c r="B209" s="2" t="s">
        <v>28</v>
      </c>
      <c r="C209" s="3" t="s">
        <v>247</v>
      </c>
      <c r="D209" s="5" t="s">
        <v>17</v>
      </c>
    </row>
    <row r="210" spans="1:4" ht="15" x14ac:dyDescent="0.25">
      <c r="A210" s="2">
        <v>511307</v>
      </c>
      <c r="B210" s="2" t="s">
        <v>28</v>
      </c>
      <c r="C210" s="3" t="s">
        <v>248</v>
      </c>
      <c r="D210" s="5" t="s">
        <v>17</v>
      </c>
    </row>
    <row r="211" spans="1:4" ht="15" x14ac:dyDescent="0.25">
      <c r="A211" s="2">
        <v>511315</v>
      </c>
      <c r="B211" s="2" t="s">
        <v>28</v>
      </c>
      <c r="C211" s="3" t="s">
        <v>249</v>
      </c>
      <c r="D211" s="5" t="s">
        <v>17</v>
      </c>
    </row>
    <row r="212" spans="1:4" ht="15" x14ac:dyDescent="0.25">
      <c r="A212" s="2">
        <v>511323</v>
      </c>
      <c r="B212" s="2" t="s">
        <v>28</v>
      </c>
      <c r="C212" s="3" t="s">
        <v>250</v>
      </c>
      <c r="D212" s="5" t="s">
        <v>17</v>
      </c>
    </row>
    <row r="213" spans="1:4" ht="15" x14ac:dyDescent="0.25">
      <c r="A213" s="2">
        <v>511331</v>
      </c>
      <c r="B213" s="2" t="s">
        <v>28</v>
      </c>
      <c r="C213" s="3" t="s">
        <v>251</v>
      </c>
      <c r="D213" s="5" t="s">
        <v>17</v>
      </c>
    </row>
    <row r="214" spans="1:4" ht="15" x14ac:dyDescent="0.25">
      <c r="A214" s="2">
        <v>511340</v>
      </c>
      <c r="B214" s="2" t="s">
        <v>28</v>
      </c>
      <c r="C214" s="3" t="s">
        <v>252</v>
      </c>
      <c r="D214" s="5" t="s">
        <v>17</v>
      </c>
    </row>
    <row r="215" spans="1:4" ht="15" x14ac:dyDescent="0.25">
      <c r="A215" s="2">
        <v>511358</v>
      </c>
      <c r="B215" s="2" t="s">
        <v>28</v>
      </c>
      <c r="C215" s="3" t="s">
        <v>253</v>
      </c>
      <c r="D215" s="5" t="s">
        <v>17</v>
      </c>
    </row>
    <row r="216" spans="1:4" ht="15" x14ac:dyDescent="0.25">
      <c r="A216" s="2">
        <v>511366</v>
      </c>
      <c r="B216" s="2" t="s">
        <v>28</v>
      </c>
      <c r="C216" s="3" t="s">
        <v>254</v>
      </c>
      <c r="D216" s="5" t="s">
        <v>17</v>
      </c>
    </row>
    <row r="217" spans="1:4" ht="15" x14ac:dyDescent="0.25">
      <c r="A217" s="2">
        <v>511374</v>
      </c>
      <c r="B217" s="2" t="s">
        <v>28</v>
      </c>
      <c r="C217" s="3" t="s">
        <v>255</v>
      </c>
      <c r="D217" s="5" t="s">
        <v>17</v>
      </c>
    </row>
    <row r="218" spans="1:4" ht="15" x14ac:dyDescent="0.25">
      <c r="A218" s="2">
        <v>511455</v>
      </c>
      <c r="B218" s="2" t="s">
        <v>28</v>
      </c>
      <c r="C218" s="3" t="s">
        <v>256</v>
      </c>
      <c r="D218" s="5" t="s">
        <v>17</v>
      </c>
    </row>
    <row r="219" spans="1:4" ht="15" x14ac:dyDescent="0.25">
      <c r="A219" s="2">
        <v>511480</v>
      </c>
      <c r="B219" s="2" t="s">
        <v>28</v>
      </c>
      <c r="C219" s="3" t="s">
        <v>257</v>
      </c>
      <c r="D219" s="5" t="s">
        <v>17</v>
      </c>
    </row>
    <row r="220" spans="1:4" ht="15" x14ac:dyDescent="0.25">
      <c r="A220" s="2">
        <v>511561</v>
      </c>
      <c r="B220" s="2" t="s">
        <v>28</v>
      </c>
      <c r="C220" s="3" t="s">
        <v>258</v>
      </c>
      <c r="D220" s="5" t="s">
        <v>17</v>
      </c>
    </row>
    <row r="221" spans="1:4" ht="15" x14ac:dyDescent="0.25">
      <c r="A221" s="2">
        <v>511579</v>
      </c>
      <c r="B221" s="2" t="s">
        <v>28</v>
      </c>
      <c r="C221" s="3" t="s">
        <v>259</v>
      </c>
      <c r="D221" s="5" t="s">
        <v>17</v>
      </c>
    </row>
    <row r="222" spans="1:4" ht="15" x14ac:dyDescent="0.25">
      <c r="A222" s="2">
        <v>511587</v>
      </c>
      <c r="B222" s="2" t="s">
        <v>28</v>
      </c>
      <c r="C222" s="3" t="s">
        <v>260</v>
      </c>
      <c r="D222" s="5" t="s">
        <v>17</v>
      </c>
    </row>
    <row r="223" spans="1:4" ht="15" x14ac:dyDescent="0.25">
      <c r="A223" s="2">
        <v>511588</v>
      </c>
      <c r="B223" s="2" t="s">
        <v>28</v>
      </c>
      <c r="C223" s="3" t="s">
        <v>261</v>
      </c>
      <c r="D223" s="5" t="s">
        <v>17</v>
      </c>
    </row>
    <row r="224" spans="1:4" ht="15" x14ac:dyDescent="0.25">
      <c r="A224" s="2">
        <v>511609</v>
      </c>
      <c r="B224" s="2" t="s">
        <v>28</v>
      </c>
      <c r="C224" s="3" t="s">
        <v>262</v>
      </c>
      <c r="D224" s="5" t="s">
        <v>17</v>
      </c>
    </row>
    <row r="225" spans="1:4" ht="15" x14ac:dyDescent="0.25">
      <c r="A225" s="2">
        <v>511617</v>
      </c>
      <c r="B225" s="2" t="s">
        <v>28</v>
      </c>
      <c r="C225" s="3" t="s">
        <v>263</v>
      </c>
      <c r="D225" s="5" t="s">
        <v>17</v>
      </c>
    </row>
    <row r="226" spans="1:4" ht="15" x14ac:dyDescent="0.25">
      <c r="A226" s="2">
        <v>511625</v>
      </c>
      <c r="B226" s="2" t="s">
        <v>28</v>
      </c>
      <c r="C226" s="3" t="s">
        <v>264</v>
      </c>
      <c r="D226" s="5" t="s">
        <v>17</v>
      </c>
    </row>
    <row r="227" spans="1:4" ht="15" x14ac:dyDescent="0.25">
      <c r="A227" s="2">
        <v>511634</v>
      </c>
      <c r="B227" s="2" t="s">
        <v>28</v>
      </c>
      <c r="C227" s="3" t="s">
        <v>265</v>
      </c>
      <c r="D227" s="5" t="s">
        <v>17</v>
      </c>
    </row>
    <row r="228" spans="1:4" ht="15" x14ac:dyDescent="0.25">
      <c r="A228" s="2">
        <v>511635</v>
      </c>
      <c r="B228" s="2" t="s">
        <v>28</v>
      </c>
      <c r="C228" s="3" t="s">
        <v>266</v>
      </c>
      <c r="D228" s="5" t="s">
        <v>17</v>
      </c>
    </row>
    <row r="229" spans="1:4" ht="15" x14ac:dyDescent="0.25">
      <c r="A229" s="2">
        <v>520080</v>
      </c>
      <c r="B229" s="2" t="s">
        <v>28</v>
      </c>
      <c r="C229" s="3" t="s">
        <v>267</v>
      </c>
      <c r="D229" s="5" t="s">
        <v>17</v>
      </c>
    </row>
    <row r="230" spans="1:4" ht="15" x14ac:dyDescent="0.25">
      <c r="A230" s="2">
        <v>520098</v>
      </c>
      <c r="B230" s="2" t="s">
        <v>28</v>
      </c>
      <c r="C230" s="3" t="s">
        <v>268</v>
      </c>
      <c r="D230" s="5" t="s">
        <v>17</v>
      </c>
    </row>
    <row r="231" spans="1:4" ht="15" x14ac:dyDescent="0.25">
      <c r="A231" s="2">
        <v>530026</v>
      </c>
      <c r="B231" s="2" t="s">
        <v>28</v>
      </c>
      <c r="C231" s="3" t="s">
        <v>269</v>
      </c>
      <c r="D231" s="5" t="s">
        <v>17</v>
      </c>
    </row>
    <row r="232" spans="1:4" ht="15" x14ac:dyDescent="0.25">
      <c r="A232" s="2">
        <v>530140</v>
      </c>
      <c r="B232" s="2" t="s">
        <v>28</v>
      </c>
      <c r="C232" s="3" t="s">
        <v>270</v>
      </c>
      <c r="D232" s="5" t="s">
        <v>17</v>
      </c>
    </row>
    <row r="233" spans="1:4" ht="15" x14ac:dyDescent="0.25">
      <c r="A233" s="2">
        <v>530158</v>
      </c>
      <c r="B233" s="2" t="s">
        <v>28</v>
      </c>
      <c r="C233" s="3" t="s">
        <v>271</v>
      </c>
      <c r="D233" s="5" t="s">
        <v>17</v>
      </c>
    </row>
    <row r="234" spans="1:4" ht="15" x14ac:dyDescent="0.25">
      <c r="A234" s="2">
        <v>530166</v>
      </c>
      <c r="B234" s="2" t="s">
        <v>28</v>
      </c>
      <c r="C234" s="3" t="s">
        <v>272</v>
      </c>
      <c r="D234" s="5" t="s">
        <v>17</v>
      </c>
    </row>
    <row r="235" spans="1:4" ht="15" x14ac:dyDescent="0.25">
      <c r="A235" s="2">
        <v>530174</v>
      </c>
      <c r="B235" s="2" t="s">
        <v>28</v>
      </c>
      <c r="C235" s="3" t="s">
        <v>272</v>
      </c>
      <c r="D235" s="5" t="s">
        <v>17</v>
      </c>
    </row>
    <row r="236" spans="1:4" ht="15" x14ac:dyDescent="0.25">
      <c r="A236" s="2">
        <v>530182</v>
      </c>
      <c r="B236" s="2" t="s">
        <v>28</v>
      </c>
      <c r="C236" s="3" t="s">
        <v>273</v>
      </c>
      <c r="D236" s="5" t="s">
        <v>17</v>
      </c>
    </row>
    <row r="237" spans="1:4" ht="15" x14ac:dyDescent="0.25">
      <c r="A237" s="2">
        <v>530191</v>
      </c>
      <c r="B237" s="2" t="s">
        <v>28</v>
      </c>
      <c r="C237" s="3" t="s">
        <v>274</v>
      </c>
      <c r="D237" s="5" t="s">
        <v>17</v>
      </c>
    </row>
    <row r="238" spans="1:4" ht="15" x14ac:dyDescent="0.25">
      <c r="A238" s="2">
        <v>530212</v>
      </c>
      <c r="B238" s="2" t="s">
        <v>28</v>
      </c>
      <c r="C238" s="3" t="s">
        <v>275</v>
      </c>
      <c r="D238" s="5" t="s">
        <v>17</v>
      </c>
    </row>
    <row r="239" spans="1:4" ht="15" x14ac:dyDescent="0.25">
      <c r="A239" s="2">
        <v>530221</v>
      </c>
      <c r="B239" s="2" t="s">
        <v>28</v>
      </c>
      <c r="C239" s="3" t="s">
        <v>275</v>
      </c>
      <c r="D239" s="5" t="s">
        <v>17</v>
      </c>
    </row>
    <row r="240" spans="1:4" ht="15" x14ac:dyDescent="0.25">
      <c r="A240" s="2">
        <v>530239</v>
      </c>
      <c r="B240" s="2" t="s">
        <v>28</v>
      </c>
      <c r="C240" s="3" t="s">
        <v>276</v>
      </c>
      <c r="D240" s="5" t="s">
        <v>17</v>
      </c>
    </row>
    <row r="241" spans="1:4" ht="15" x14ac:dyDescent="0.25">
      <c r="A241" s="2">
        <v>530247</v>
      </c>
      <c r="B241" s="2" t="s">
        <v>28</v>
      </c>
      <c r="C241" s="3" t="s">
        <v>276</v>
      </c>
      <c r="D241" s="5" t="s">
        <v>17</v>
      </c>
    </row>
    <row r="242" spans="1:4" ht="15" x14ac:dyDescent="0.25">
      <c r="A242" s="2">
        <v>530255</v>
      </c>
      <c r="B242" s="2" t="s">
        <v>28</v>
      </c>
      <c r="C242" s="3" t="s">
        <v>277</v>
      </c>
      <c r="D242" s="5" t="s">
        <v>17</v>
      </c>
    </row>
    <row r="243" spans="1:4" ht="15" x14ac:dyDescent="0.25">
      <c r="A243" s="2">
        <v>530263</v>
      </c>
      <c r="B243" s="2" t="s">
        <v>28</v>
      </c>
      <c r="C243" s="3" t="s">
        <v>277</v>
      </c>
      <c r="D243" s="5" t="s">
        <v>17</v>
      </c>
    </row>
    <row r="244" spans="1:4" ht="15" x14ac:dyDescent="0.25">
      <c r="A244" s="2">
        <v>530271</v>
      </c>
      <c r="B244" s="2" t="s">
        <v>28</v>
      </c>
      <c r="C244" s="3" t="s">
        <v>278</v>
      </c>
      <c r="D244" s="5" t="s">
        <v>17</v>
      </c>
    </row>
    <row r="245" spans="1:4" ht="15" x14ac:dyDescent="0.25">
      <c r="A245" s="2">
        <v>530280</v>
      </c>
      <c r="B245" s="2" t="s">
        <v>28</v>
      </c>
      <c r="C245" s="3" t="s">
        <v>279</v>
      </c>
      <c r="D245" s="5" t="s">
        <v>17</v>
      </c>
    </row>
    <row r="246" spans="1:4" ht="15" x14ac:dyDescent="0.25">
      <c r="A246" s="2">
        <v>530298</v>
      </c>
      <c r="B246" s="2" t="s">
        <v>28</v>
      </c>
      <c r="C246" s="3" t="s">
        <v>280</v>
      </c>
      <c r="D246" s="5" t="s">
        <v>17</v>
      </c>
    </row>
    <row r="247" spans="1:4" ht="15" x14ac:dyDescent="0.25">
      <c r="A247" s="2">
        <v>530301</v>
      </c>
      <c r="B247" s="2" t="s">
        <v>28</v>
      </c>
      <c r="C247" s="3" t="s">
        <v>281</v>
      </c>
      <c r="D247" s="5" t="s">
        <v>17</v>
      </c>
    </row>
    <row r="248" spans="1:4" ht="15" x14ac:dyDescent="0.25">
      <c r="A248" s="2">
        <v>530310</v>
      </c>
      <c r="B248" s="2" t="s">
        <v>28</v>
      </c>
      <c r="C248" s="3" t="s">
        <v>282</v>
      </c>
      <c r="D248" s="5" t="s">
        <v>17</v>
      </c>
    </row>
    <row r="249" spans="1:4" ht="15" x14ac:dyDescent="0.25">
      <c r="A249" s="2">
        <v>530328</v>
      </c>
      <c r="B249" s="2" t="s">
        <v>28</v>
      </c>
      <c r="C249" s="3" t="s">
        <v>283</v>
      </c>
      <c r="D249" s="5" t="s">
        <v>17</v>
      </c>
    </row>
    <row r="250" spans="1:4" ht="15" x14ac:dyDescent="0.25">
      <c r="A250" s="2">
        <v>530336</v>
      </c>
      <c r="B250" s="2" t="s">
        <v>28</v>
      </c>
      <c r="C250" s="3" t="s">
        <v>284</v>
      </c>
      <c r="D250" s="5" t="s">
        <v>17</v>
      </c>
    </row>
    <row r="251" spans="1:4" ht="15" x14ac:dyDescent="0.25">
      <c r="A251" s="2">
        <v>530352</v>
      </c>
      <c r="B251" s="2" t="s">
        <v>28</v>
      </c>
      <c r="C251" s="3" t="s">
        <v>285</v>
      </c>
      <c r="D251" s="5" t="s">
        <v>17</v>
      </c>
    </row>
    <row r="252" spans="1:4" ht="15" x14ac:dyDescent="0.25">
      <c r="A252" s="2">
        <v>530361</v>
      </c>
      <c r="B252" s="2" t="s">
        <v>28</v>
      </c>
      <c r="C252" s="3" t="s">
        <v>286</v>
      </c>
      <c r="D252" s="5" t="s">
        <v>17</v>
      </c>
    </row>
    <row r="253" spans="1:4" ht="15" x14ac:dyDescent="0.25">
      <c r="A253" s="2">
        <v>530379</v>
      </c>
      <c r="B253" s="2" t="s">
        <v>28</v>
      </c>
      <c r="C253" s="3" t="s">
        <v>287</v>
      </c>
      <c r="D253" s="5" t="s">
        <v>17</v>
      </c>
    </row>
    <row r="254" spans="1:4" ht="15" x14ac:dyDescent="0.25">
      <c r="A254" s="2">
        <v>530395</v>
      </c>
      <c r="B254" s="2" t="s">
        <v>28</v>
      </c>
      <c r="C254" s="3" t="s">
        <v>288</v>
      </c>
      <c r="D254" s="5" t="s">
        <v>17</v>
      </c>
    </row>
    <row r="255" spans="1:4" ht="15" x14ac:dyDescent="0.25">
      <c r="A255" s="2">
        <v>530409</v>
      </c>
      <c r="B255" s="2" t="s">
        <v>28</v>
      </c>
      <c r="C255" s="3" t="s">
        <v>289</v>
      </c>
      <c r="D255" s="5" t="s">
        <v>17</v>
      </c>
    </row>
    <row r="256" spans="1:4" ht="15" x14ac:dyDescent="0.25">
      <c r="A256" s="2">
        <v>530417</v>
      </c>
      <c r="B256" s="2" t="s">
        <v>28</v>
      </c>
      <c r="C256" s="3" t="s">
        <v>290</v>
      </c>
      <c r="D256" s="5" t="s">
        <v>17</v>
      </c>
    </row>
    <row r="257" spans="1:4" ht="15" x14ac:dyDescent="0.25">
      <c r="A257" s="2">
        <v>530425</v>
      </c>
      <c r="B257" s="2" t="s">
        <v>28</v>
      </c>
      <c r="C257" s="3" t="s">
        <v>291</v>
      </c>
      <c r="D257" s="5" t="s">
        <v>17</v>
      </c>
    </row>
    <row r="258" spans="1:4" ht="15" x14ac:dyDescent="0.25">
      <c r="A258" s="2">
        <v>530433</v>
      </c>
      <c r="B258" s="2" t="s">
        <v>28</v>
      </c>
      <c r="C258" s="3" t="s">
        <v>292</v>
      </c>
      <c r="D258" s="5" t="s">
        <v>17</v>
      </c>
    </row>
    <row r="259" spans="1:4" ht="15" x14ac:dyDescent="0.25">
      <c r="A259" s="2">
        <v>530441</v>
      </c>
      <c r="B259" s="2" t="s">
        <v>28</v>
      </c>
      <c r="C259" s="3" t="s">
        <v>293</v>
      </c>
      <c r="D259" s="5" t="s">
        <v>17</v>
      </c>
    </row>
    <row r="260" spans="1:4" ht="15" x14ac:dyDescent="0.25">
      <c r="A260" s="2">
        <v>530930</v>
      </c>
      <c r="B260" s="2" t="s">
        <v>28</v>
      </c>
      <c r="C260" s="3" t="s">
        <v>294</v>
      </c>
      <c r="D260" s="5" t="s">
        <v>17</v>
      </c>
    </row>
    <row r="261" spans="1:4" ht="15" x14ac:dyDescent="0.25">
      <c r="A261" s="2">
        <v>530948</v>
      </c>
      <c r="B261" s="2" t="s">
        <v>28</v>
      </c>
      <c r="C261" s="3" t="s">
        <v>295</v>
      </c>
      <c r="D261" s="5" t="s">
        <v>17</v>
      </c>
    </row>
    <row r="262" spans="1:4" ht="15" x14ac:dyDescent="0.25">
      <c r="A262" s="2">
        <v>530956</v>
      </c>
      <c r="B262" s="2" t="s">
        <v>28</v>
      </c>
      <c r="C262" s="3" t="s">
        <v>296</v>
      </c>
      <c r="D262" s="5" t="s">
        <v>17</v>
      </c>
    </row>
    <row r="263" spans="1:4" ht="15" x14ac:dyDescent="0.25">
      <c r="A263" s="2">
        <v>530964</v>
      </c>
      <c r="B263" s="2" t="s">
        <v>28</v>
      </c>
      <c r="C263" s="3" t="s">
        <v>297</v>
      </c>
      <c r="D263" s="5" t="s">
        <v>17</v>
      </c>
    </row>
    <row r="264" spans="1:4" ht="15" x14ac:dyDescent="0.25">
      <c r="A264" s="2">
        <v>530972</v>
      </c>
      <c r="B264" s="2" t="s">
        <v>28</v>
      </c>
      <c r="C264" s="3" t="s">
        <v>298</v>
      </c>
      <c r="D264" s="5" t="s">
        <v>17</v>
      </c>
    </row>
    <row r="265" spans="1:4" ht="15" x14ac:dyDescent="0.25">
      <c r="A265" s="2">
        <v>530981</v>
      </c>
      <c r="B265" s="2" t="s">
        <v>28</v>
      </c>
      <c r="C265" s="3" t="s">
        <v>299</v>
      </c>
      <c r="D265" s="5" t="s">
        <v>17</v>
      </c>
    </row>
    <row r="266" spans="1:4" ht="15" x14ac:dyDescent="0.25">
      <c r="A266" s="2">
        <v>530999</v>
      </c>
      <c r="B266" s="2" t="s">
        <v>28</v>
      </c>
      <c r="C266" s="3" t="s">
        <v>300</v>
      </c>
      <c r="D266" s="5" t="s">
        <v>17</v>
      </c>
    </row>
    <row r="267" spans="1:4" ht="15" x14ac:dyDescent="0.25">
      <c r="A267" s="2">
        <v>531006</v>
      </c>
      <c r="B267" s="2" t="s">
        <v>28</v>
      </c>
      <c r="C267" s="3" t="s">
        <v>301</v>
      </c>
      <c r="D267" s="5" t="s">
        <v>17</v>
      </c>
    </row>
    <row r="268" spans="1:4" ht="15" x14ac:dyDescent="0.25">
      <c r="A268" s="2">
        <v>531014</v>
      </c>
      <c r="B268" s="2" t="s">
        <v>28</v>
      </c>
      <c r="C268" s="3" t="s">
        <v>302</v>
      </c>
      <c r="D268" s="5" t="s">
        <v>17</v>
      </c>
    </row>
    <row r="269" spans="1:4" ht="15" x14ac:dyDescent="0.25">
      <c r="A269" s="2">
        <v>531022</v>
      </c>
      <c r="B269" s="2" t="s">
        <v>28</v>
      </c>
      <c r="C269" s="3" t="s">
        <v>303</v>
      </c>
      <c r="D269" s="5" t="s">
        <v>17</v>
      </c>
    </row>
    <row r="270" spans="1:4" ht="15" x14ac:dyDescent="0.25">
      <c r="A270" s="2">
        <v>531031</v>
      </c>
      <c r="B270" s="2" t="s">
        <v>28</v>
      </c>
      <c r="C270" s="3" t="s">
        <v>304</v>
      </c>
      <c r="D270" s="5" t="s">
        <v>17</v>
      </c>
    </row>
    <row r="271" spans="1:4" ht="15" x14ac:dyDescent="0.25">
      <c r="A271" s="2">
        <v>531049</v>
      </c>
      <c r="B271" s="2" t="s">
        <v>28</v>
      </c>
      <c r="C271" s="3" t="s">
        <v>305</v>
      </c>
      <c r="D271" s="5" t="s">
        <v>17</v>
      </c>
    </row>
    <row r="272" spans="1:4" ht="15" x14ac:dyDescent="0.25">
      <c r="A272" s="2">
        <v>531057</v>
      </c>
      <c r="B272" s="2" t="s">
        <v>28</v>
      </c>
      <c r="C272" s="3" t="s">
        <v>306</v>
      </c>
      <c r="D272" s="5" t="s">
        <v>17</v>
      </c>
    </row>
    <row r="273" spans="1:4" ht="15" x14ac:dyDescent="0.25">
      <c r="A273" s="2">
        <v>531065</v>
      </c>
      <c r="B273" s="2" t="s">
        <v>28</v>
      </c>
      <c r="C273" s="3" t="s">
        <v>307</v>
      </c>
      <c r="D273" s="5" t="s">
        <v>17</v>
      </c>
    </row>
    <row r="274" spans="1:4" ht="15" x14ac:dyDescent="0.25">
      <c r="A274" s="2">
        <v>531073</v>
      </c>
      <c r="B274" s="2" t="s">
        <v>28</v>
      </c>
      <c r="C274" s="3" t="s">
        <v>308</v>
      </c>
      <c r="D274" s="5" t="s">
        <v>17</v>
      </c>
    </row>
    <row r="275" spans="1:4" ht="15" x14ac:dyDescent="0.25">
      <c r="A275" s="2">
        <v>531081</v>
      </c>
      <c r="B275" s="2" t="s">
        <v>28</v>
      </c>
      <c r="C275" s="3" t="s">
        <v>309</v>
      </c>
      <c r="D275" s="5" t="s">
        <v>17</v>
      </c>
    </row>
    <row r="276" spans="1:4" ht="15" x14ac:dyDescent="0.25">
      <c r="A276" s="2">
        <v>531090</v>
      </c>
      <c r="B276" s="2" t="s">
        <v>28</v>
      </c>
      <c r="C276" s="3" t="s">
        <v>310</v>
      </c>
      <c r="D276" s="5" t="s">
        <v>17</v>
      </c>
    </row>
    <row r="277" spans="1:4" ht="15" x14ac:dyDescent="0.25">
      <c r="A277" s="2">
        <v>531120</v>
      </c>
      <c r="B277" s="2" t="s">
        <v>28</v>
      </c>
      <c r="C277" s="3" t="s">
        <v>311</v>
      </c>
      <c r="D277" s="5" t="s">
        <v>17</v>
      </c>
    </row>
    <row r="278" spans="1:4" ht="15" x14ac:dyDescent="0.25">
      <c r="A278" s="2">
        <v>531138</v>
      </c>
      <c r="B278" s="2" t="s">
        <v>28</v>
      </c>
      <c r="C278" s="3" t="s">
        <v>312</v>
      </c>
      <c r="D278" s="5" t="s">
        <v>17</v>
      </c>
    </row>
    <row r="279" spans="1:4" ht="15" x14ac:dyDescent="0.25">
      <c r="A279" s="2">
        <v>531171</v>
      </c>
      <c r="B279" s="2" t="s">
        <v>28</v>
      </c>
      <c r="C279" s="3" t="s">
        <v>311</v>
      </c>
      <c r="D279" s="5" t="s">
        <v>17</v>
      </c>
    </row>
    <row r="280" spans="1:4" ht="15" x14ac:dyDescent="0.25">
      <c r="A280" s="2">
        <v>531201</v>
      </c>
      <c r="B280" s="2" t="s">
        <v>28</v>
      </c>
      <c r="C280" s="3" t="s">
        <v>313</v>
      </c>
      <c r="D280" s="5" t="s">
        <v>17</v>
      </c>
    </row>
    <row r="281" spans="1:4" ht="15" x14ac:dyDescent="0.25">
      <c r="A281" s="2">
        <v>531219</v>
      </c>
      <c r="B281" s="2" t="s">
        <v>28</v>
      </c>
      <c r="C281" s="3" t="s">
        <v>314</v>
      </c>
      <c r="D281" s="5" t="s">
        <v>17</v>
      </c>
    </row>
    <row r="282" spans="1:4" ht="15" x14ac:dyDescent="0.25">
      <c r="A282" s="2">
        <v>531227</v>
      </c>
      <c r="B282" s="2" t="s">
        <v>28</v>
      </c>
      <c r="C282" s="3" t="s">
        <v>315</v>
      </c>
      <c r="D282" s="5" t="s">
        <v>17</v>
      </c>
    </row>
    <row r="283" spans="1:4" ht="15" x14ac:dyDescent="0.25">
      <c r="A283" s="2">
        <v>531235</v>
      </c>
      <c r="B283" s="2" t="s">
        <v>28</v>
      </c>
      <c r="C283" s="3" t="s">
        <v>316</v>
      </c>
      <c r="D283" s="5" t="s">
        <v>17</v>
      </c>
    </row>
    <row r="284" spans="1:4" ht="15" x14ac:dyDescent="0.25">
      <c r="A284" s="2">
        <v>531251</v>
      </c>
      <c r="B284" s="2" t="s">
        <v>28</v>
      </c>
      <c r="C284" s="3" t="s">
        <v>317</v>
      </c>
      <c r="D284" s="5" t="s">
        <v>17</v>
      </c>
    </row>
    <row r="285" spans="1:4" ht="15" x14ac:dyDescent="0.25">
      <c r="A285" s="2">
        <v>531260</v>
      </c>
      <c r="B285" s="2" t="s">
        <v>28</v>
      </c>
      <c r="C285" s="3" t="s">
        <v>318</v>
      </c>
      <c r="D285" s="5" t="s">
        <v>17</v>
      </c>
    </row>
    <row r="286" spans="1:4" ht="15" x14ac:dyDescent="0.25">
      <c r="A286" s="2">
        <v>531413</v>
      </c>
      <c r="B286" s="2" t="s">
        <v>28</v>
      </c>
      <c r="C286" s="3" t="s">
        <v>319</v>
      </c>
      <c r="D286" s="5" t="s">
        <v>17</v>
      </c>
    </row>
    <row r="287" spans="1:4" ht="15" x14ac:dyDescent="0.25">
      <c r="A287" s="2">
        <v>531421</v>
      </c>
      <c r="B287" s="2" t="s">
        <v>28</v>
      </c>
      <c r="C287" s="3" t="s">
        <v>320</v>
      </c>
      <c r="D287" s="5" t="s">
        <v>17</v>
      </c>
    </row>
    <row r="288" spans="1:4" ht="15" x14ac:dyDescent="0.25">
      <c r="A288" s="2">
        <v>531430</v>
      </c>
      <c r="B288" s="2" t="s">
        <v>28</v>
      </c>
      <c r="C288" s="3" t="s">
        <v>321</v>
      </c>
      <c r="D288" s="5" t="s">
        <v>17</v>
      </c>
    </row>
    <row r="289" spans="1:4" ht="15" x14ac:dyDescent="0.25">
      <c r="A289" s="2">
        <v>531448</v>
      </c>
      <c r="B289" s="2" t="s">
        <v>28</v>
      </c>
      <c r="C289" s="3" t="s">
        <v>322</v>
      </c>
      <c r="D289" s="5" t="s">
        <v>17</v>
      </c>
    </row>
    <row r="290" spans="1:4" ht="15" x14ac:dyDescent="0.25">
      <c r="A290" s="2">
        <v>531456</v>
      </c>
      <c r="B290" s="2" t="s">
        <v>28</v>
      </c>
      <c r="C290" s="3" t="s">
        <v>323</v>
      </c>
      <c r="D290" s="5" t="s">
        <v>17</v>
      </c>
    </row>
    <row r="291" spans="1:4" ht="15" x14ac:dyDescent="0.25">
      <c r="A291" s="2">
        <v>531464</v>
      </c>
      <c r="B291" s="2" t="s">
        <v>28</v>
      </c>
      <c r="C291" s="3" t="s">
        <v>324</v>
      </c>
      <c r="D291" s="5" t="s">
        <v>17</v>
      </c>
    </row>
    <row r="292" spans="1:4" ht="15" x14ac:dyDescent="0.25">
      <c r="A292" s="2">
        <v>531511</v>
      </c>
      <c r="B292" s="2" t="s">
        <v>28</v>
      </c>
      <c r="C292" s="3" t="s">
        <v>325</v>
      </c>
      <c r="D292" s="5" t="s">
        <v>17</v>
      </c>
    </row>
    <row r="293" spans="1:4" ht="15" x14ac:dyDescent="0.25">
      <c r="A293" s="2">
        <v>531529</v>
      </c>
      <c r="B293" s="2" t="s">
        <v>28</v>
      </c>
      <c r="C293" s="3" t="s">
        <v>326</v>
      </c>
      <c r="D293" s="5" t="s">
        <v>17</v>
      </c>
    </row>
    <row r="294" spans="1:4" ht="15" x14ac:dyDescent="0.25">
      <c r="A294" s="2">
        <v>531537</v>
      </c>
      <c r="B294" s="2" t="s">
        <v>28</v>
      </c>
      <c r="C294" s="3" t="s">
        <v>327</v>
      </c>
      <c r="D294" s="5" t="s">
        <v>17</v>
      </c>
    </row>
    <row r="295" spans="1:4" ht="15" x14ac:dyDescent="0.25">
      <c r="A295" s="2">
        <v>531570</v>
      </c>
      <c r="B295" s="2" t="s">
        <v>28</v>
      </c>
      <c r="C295" s="3" t="s">
        <v>328</v>
      </c>
      <c r="D295" s="5" t="s">
        <v>17</v>
      </c>
    </row>
    <row r="296" spans="1:4" ht="15" x14ac:dyDescent="0.25">
      <c r="A296" s="2">
        <v>531588</v>
      </c>
      <c r="B296" s="2" t="s">
        <v>28</v>
      </c>
      <c r="C296" s="3" t="s">
        <v>329</v>
      </c>
      <c r="D296" s="5" t="s">
        <v>17</v>
      </c>
    </row>
    <row r="297" spans="1:4" ht="15" x14ac:dyDescent="0.25">
      <c r="A297" s="2">
        <v>531596</v>
      </c>
      <c r="B297" s="2" t="s">
        <v>28</v>
      </c>
      <c r="C297" s="3" t="s">
        <v>330</v>
      </c>
      <c r="D297" s="5" t="s">
        <v>17</v>
      </c>
    </row>
    <row r="298" spans="1:4" ht="15" x14ac:dyDescent="0.25">
      <c r="A298" s="2">
        <v>531600</v>
      </c>
      <c r="B298" s="2" t="s">
        <v>28</v>
      </c>
      <c r="C298" s="3" t="s">
        <v>331</v>
      </c>
      <c r="D298" s="5" t="s">
        <v>17</v>
      </c>
    </row>
    <row r="299" spans="1:4" ht="15" x14ac:dyDescent="0.25">
      <c r="A299" s="2">
        <v>531618</v>
      </c>
      <c r="B299" s="2" t="s">
        <v>28</v>
      </c>
      <c r="C299" s="3" t="s">
        <v>332</v>
      </c>
      <c r="D299" s="5" t="s">
        <v>17</v>
      </c>
    </row>
    <row r="300" spans="1:4" ht="15" x14ac:dyDescent="0.25">
      <c r="A300" s="2">
        <v>531626</v>
      </c>
      <c r="B300" s="2" t="s">
        <v>28</v>
      </c>
      <c r="C300" s="3" t="s">
        <v>333</v>
      </c>
      <c r="D300" s="5" t="s">
        <v>17</v>
      </c>
    </row>
    <row r="301" spans="1:4" ht="15" x14ac:dyDescent="0.25">
      <c r="A301" s="2">
        <v>531634</v>
      </c>
      <c r="B301" s="2" t="s">
        <v>28</v>
      </c>
      <c r="C301" s="3" t="s">
        <v>334</v>
      </c>
      <c r="D301" s="5" t="s">
        <v>17</v>
      </c>
    </row>
    <row r="302" spans="1:4" ht="15" x14ac:dyDescent="0.25">
      <c r="A302" s="2">
        <v>531651</v>
      </c>
      <c r="B302" s="2" t="s">
        <v>28</v>
      </c>
      <c r="C302" s="3" t="s">
        <v>335</v>
      </c>
      <c r="D302" s="5" t="s">
        <v>17</v>
      </c>
    </row>
    <row r="303" spans="1:4" ht="15" x14ac:dyDescent="0.25">
      <c r="A303" s="2">
        <v>531669</v>
      </c>
      <c r="B303" s="2" t="s">
        <v>28</v>
      </c>
      <c r="C303" s="3" t="s">
        <v>336</v>
      </c>
      <c r="D303" s="5" t="s">
        <v>17</v>
      </c>
    </row>
    <row r="304" spans="1:4" ht="15" x14ac:dyDescent="0.25">
      <c r="A304" s="2">
        <v>531707</v>
      </c>
      <c r="B304" s="2" t="s">
        <v>28</v>
      </c>
      <c r="C304" s="3" t="s">
        <v>337</v>
      </c>
      <c r="D304" s="5" t="s">
        <v>17</v>
      </c>
    </row>
    <row r="305" spans="1:4" ht="15" x14ac:dyDescent="0.25">
      <c r="A305" s="2">
        <v>531715</v>
      </c>
      <c r="B305" s="2" t="s">
        <v>28</v>
      </c>
      <c r="C305" s="3" t="s">
        <v>338</v>
      </c>
      <c r="D305" s="5" t="s">
        <v>17</v>
      </c>
    </row>
    <row r="306" spans="1:4" ht="15" x14ac:dyDescent="0.25">
      <c r="A306" s="2">
        <v>531723</v>
      </c>
      <c r="B306" s="2" t="s">
        <v>28</v>
      </c>
      <c r="C306" s="3" t="s">
        <v>339</v>
      </c>
      <c r="D306" s="5" t="s">
        <v>17</v>
      </c>
    </row>
    <row r="307" spans="1:4" ht="15" x14ac:dyDescent="0.25">
      <c r="A307" s="2">
        <v>531731</v>
      </c>
      <c r="B307" s="2" t="s">
        <v>28</v>
      </c>
      <c r="C307" s="3" t="s">
        <v>340</v>
      </c>
      <c r="D307" s="5" t="s">
        <v>17</v>
      </c>
    </row>
    <row r="308" spans="1:4" ht="15" x14ac:dyDescent="0.25">
      <c r="A308" s="2">
        <v>531740</v>
      </c>
      <c r="B308" s="2" t="s">
        <v>28</v>
      </c>
      <c r="C308" s="3" t="s">
        <v>341</v>
      </c>
      <c r="D308" s="5" t="s">
        <v>17</v>
      </c>
    </row>
    <row r="309" spans="1:4" ht="15" x14ac:dyDescent="0.25">
      <c r="A309" s="2">
        <v>531758</v>
      </c>
      <c r="B309" s="2" t="s">
        <v>28</v>
      </c>
      <c r="C309" s="3" t="s">
        <v>342</v>
      </c>
      <c r="D309" s="5" t="s">
        <v>17</v>
      </c>
    </row>
    <row r="310" spans="1:4" ht="15" x14ac:dyDescent="0.25">
      <c r="A310" s="2">
        <v>531774</v>
      </c>
      <c r="B310" s="2" t="s">
        <v>28</v>
      </c>
      <c r="C310" s="3" t="s">
        <v>343</v>
      </c>
      <c r="D310" s="5" t="s">
        <v>17</v>
      </c>
    </row>
    <row r="311" spans="1:4" ht="15" x14ac:dyDescent="0.25">
      <c r="A311" s="2">
        <v>531782</v>
      </c>
      <c r="B311" s="2" t="s">
        <v>28</v>
      </c>
      <c r="C311" s="3" t="s">
        <v>344</v>
      </c>
      <c r="D311" s="5" t="s">
        <v>17</v>
      </c>
    </row>
    <row r="312" spans="1:4" ht="15" x14ac:dyDescent="0.25">
      <c r="A312" s="2">
        <v>531791</v>
      </c>
      <c r="B312" s="2" t="s">
        <v>28</v>
      </c>
      <c r="C312" s="3" t="s">
        <v>345</v>
      </c>
      <c r="D312" s="5" t="s">
        <v>17</v>
      </c>
    </row>
    <row r="313" spans="1:4" ht="15" x14ac:dyDescent="0.25">
      <c r="A313" s="2">
        <v>531804</v>
      </c>
      <c r="B313" s="2" t="s">
        <v>28</v>
      </c>
      <c r="C313" s="3" t="s">
        <v>346</v>
      </c>
      <c r="D313" s="5" t="s">
        <v>17</v>
      </c>
    </row>
    <row r="314" spans="1:4" ht="15" x14ac:dyDescent="0.25">
      <c r="A314" s="2">
        <v>531812</v>
      </c>
      <c r="B314" s="2" t="s">
        <v>28</v>
      </c>
      <c r="C314" s="3" t="s">
        <v>347</v>
      </c>
      <c r="D314" s="5" t="s">
        <v>17</v>
      </c>
    </row>
    <row r="315" spans="1:4" ht="15" x14ac:dyDescent="0.25">
      <c r="A315" s="2">
        <v>531821</v>
      </c>
      <c r="B315" s="2" t="s">
        <v>28</v>
      </c>
      <c r="C315" s="3" t="s">
        <v>348</v>
      </c>
      <c r="D315" s="5" t="s">
        <v>17</v>
      </c>
    </row>
    <row r="316" spans="1:4" ht="15" x14ac:dyDescent="0.25">
      <c r="A316" s="2">
        <v>531839</v>
      </c>
      <c r="B316" s="2" t="s">
        <v>28</v>
      </c>
      <c r="C316" s="3" t="s">
        <v>349</v>
      </c>
      <c r="D316" s="5" t="s">
        <v>17</v>
      </c>
    </row>
    <row r="317" spans="1:4" ht="15" x14ac:dyDescent="0.25">
      <c r="A317" s="2">
        <v>531847</v>
      </c>
      <c r="B317" s="2" t="s">
        <v>28</v>
      </c>
      <c r="C317" s="3" t="s">
        <v>350</v>
      </c>
      <c r="D317" s="5" t="s">
        <v>17</v>
      </c>
    </row>
    <row r="318" spans="1:4" ht="15" x14ac:dyDescent="0.25">
      <c r="A318" s="2">
        <v>531863</v>
      </c>
      <c r="B318" s="2" t="s">
        <v>28</v>
      </c>
      <c r="C318" s="3" t="s">
        <v>351</v>
      </c>
      <c r="D318" s="5" t="s">
        <v>17</v>
      </c>
    </row>
    <row r="319" spans="1:4" ht="15" x14ac:dyDescent="0.25">
      <c r="A319" s="2">
        <v>531871</v>
      </c>
      <c r="B319" s="2" t="s">
        <v>28</v>
      </c>
      <c r="C319" s="3" t="s">
        <v>352</v>
      </c>
      <c r="D319" s="5" t="s">
        <v>17</v>
      </c>
    </row>
    <row r="320" spans="1:4" ht="15" x14ac:dyDescent="0.25">
      <c r="A320" s="2">
        <v>531880</v>
      </c>
      <c r="B320" s="2" t="s">
        <v>28</v>
      </c>
      <c r="C320" s="3" t="s">
        <v>353</v>
      </c>
      <c r="D320" s="5" t="s">
        <v>17</v>
      </c>
    </row>
    <row r="321" spans="1:4" ht="15" x14ac:dyDescent="0.25">
      <c r="A321" s="2">
        <v>531898</v>
      </c>
      <c r="B321" s="2" t="s">
        <v>28</v>
      </c>
      <c r="C321" s="3" t="s">
        <v>354</v>
      </c>
      <c r="D321" s="5" t="s">
        <v>17</v>
      </c>
    </row>
    <row r="322" spans="1:4" ht="15" x14ac:dyDescent="0.25">
      <c r="A322" s="2">
        <v>531910</v>
      </c>
      <c r="B322" s="2" t="s">
        <v>28</v>
      </c>
      <c r="C322" s="3" t="s">
        <v>355</v>
      </c>
      <c r="D322" s="5" t="s">
        <v>17</v>
      </c>
    </row>
    <row r="323" spans="1:4" ht="15" x14ac:dyDescent="0.25">
      <c r="A323" s="2">
        <v>531928</v>
      </c>
      <c r="B323" s="2" t="s">
        <v>28</v>
      </c>
      <c r="C323" s="3" t="s">
        <v>356</v>
      </c>
      <c r="D323" s="5" t="s">
        <v>17</v>
      </c>
    </row>
    <row r="324" spans="1:4" ht="15" x14ac:dyDescent="0.25">
      <c r="A324" s="2">
        <v>531936</v>
      </c>
      <c r="B324" s="2" t="s">
        <v>28</v>
      </c>
      <c r="C324" s="3" t="s">
        <v>357</v>
      </c>
      <c r="D324" s="5" t="s">
        <v>17</v>
      </c>
    </row>
    <row r="325" spans="1:4" ht="15" x14ac:dyDescent="0.25">
      <c r="A325" s="2">
        <v>531944</v>
      </c>
      <c r="B325" s="2" t="s">
        <v>28</v>
      </c>
      <c r="C325" s="3" t="s">
        <v>358</v>
      </c>
      <c r="D325" s="5" t="s">
        <v>17</v>
      </c>
    </row>
    <row r="326" spans="1:4" ht="15" x14ac:dyDescent="0.25">
      <c r="A326" s="2">
        <v>531979</v>
      </c>
      <c r="B326" s="2" t="s">
        <v>28</v>
      </c>
      <c r="C326" s="3" t="s">
        <v>359</v>
      </c>
      <c r="D326" s="5" t="s">
        <v>17</v>
      </c>
    </row>
    <row r="327" spans="1:4" ht="15" x14ac:dyDescent="0.25">
      <c r="A327" s="2">
        <v>531987</v>
      </c>
      <c r="B327" s="2" t="s">
        <v>28</v>
      </c>
      <c r="C327" s="3" t="s">
        <v>360</v>
      </c>
      <c r="D327" s="5" t="s">
        <v>17</v>
      </c>
    </row>
    <row r="328" spans="1:4" ht="15" x14ac:dyDescent="0.25">
      <c r="A328" s="2">
        <v>531995</v>
      </c>
      <c r="B328" s="2" t="s">
        <v>28</v>
      </c>
      <c r="C328" s="3" t="s">
        <v>361</v>
      </c>
      <c r="D328" s="5" t="s">
        <v>17</v>
      </c>
    </row>
    <row r="329" spans="1:4" ht="15" x14ac:dyDescent="0.25">
      <c r="A329" s="2">
        <v>532002</v>
      </c>
      <c r="B329" s="2" t="s">
        <v>28</v>
      </c>
      <c r="C329" s="3" t="s">
        <v>362</v>
      </c>
      <c r="D329" s="5" t="s">
        <v>17</v>
      </c>
    </row>
    <row r="330" spans="1:4" ht="15" x14ac:dyDescent="0.25">
      <c r="A330" s="2">
        <v>532011</v>
      </c>
      <c r="B330" s="2" t="s">
        <v>28</v>
      </c>
      <c r="C330" s="3" t="s">
        <v>363</v>
      </c>
      <c r="D330" s="5" t="s">
        <v>17</v>
      </c>
    </row>
    <row r="331" spans="1:4" ht="15" x14ac:dyDescent="0.25">
      <c r="A331" s="2">
        <v>532029</v>
      </c>
      <c r="B331" s="2" t="s">
        <v>28</v>
      </c>
      <c r="C331" s="3" t="s">
        <v>364</v>
      </c>
      <c r="D331" s="5" t="s">
        <v>17</v>
      </c>
    </row>
    <row r="332" spans="1:4" ht="15" x14ac:dyDescent="0.25">
      <c r="A332" s="2">
        <v>532037</v>
      </c>
      <c r="B332" s="2" t="s">
        <v>28</v>
      </c>
      <c r="C332" s="3" t="s">
        <v>365</v>
      </c>
      <c r="D332" s="5" t="s">
        <v>17</v>
      </c>
    </row>
    <row r="333" spans="1:4" ht="15" x14ac:dyDescent="0.25">
      <c r="A333" s="2">
        <v>532053</v>
      </c>
      <c r="B333" s="2" t="s">
        <v>28</v>
      </c>
      <c r="C333" s="3" t="s">
        <v>366</v>
      </c>
      <c r="D333" s="5" t="s">
        <v>17</v>
      </c>
    </row>
    <row r="334" spans="1:4" ht="15" x14ac:dyDescent="0.25">
      <c r="A334" s="2">
        <v>532070</v>
      </c>
      <c r="B334" s="2" t="s">
        <v>28</v>
      </c>
      <c r="C334" s="3" t="s">
        <v>367</v>
      </c>
      <c r="D334" s="5" t="s">
        <v>17</v>
      </c>
    </row>
    <row r="335" spans="1:4" ht="15" x14ac:dyDescent="0.25">
      <c r="A335" s="2">
        <v>532088</v>
      </c>
      <c r="B335" s="2" t="s">
        <v>28</v>
      </c>
      <c r="C335" s="3" t="s">
        <v>368</v>
      </c>
      <c r="D335" s="5" t="s">
        <v>17</v>
      </c>
    </row>
    <row r="336" spans="1:4" ht="15" x14ac:dyDescent="0.25">
      <c r="A336" s="2">
        <v>532096</v>
      </c>
      <c r="B336" s="2" t="s">
        <v>28</v>
      </c>
      <c r="C336" s="3" t="s">
        <v>369</v>
      </c>
      <c r="D336" s="5" t="s">
        <v>17</v>
      </c>
    </row>
    <row r="337" spans="1:4" ht="15" x14ac:dyDescent="0.25">
      <c r="A337" s="2">
        <v>532100</v>
      </c>
      <c r="B337" s="2" t="s">
        <v>28</v>
      </c>
      <c r="C337" s="3" t="s">
        <v>370</v>
      </c>
      <c r="D337" s="5" t="s">
        <v>17</v>
      </c>
    </row>
    <row r="338" spans="1:4" ht="15" x14ac:dyDescent="0.25">
      <c r="A338" s="2">
        <v>532118</v>
      </c>
      <c r="B338" s="2" t="s">
        <v>28</v>
      </c>
      <c r="C338" s="3" t="s">
        <v>371</v>
      </c>
      <c r="D338" s="5" t="s">
        <v>17</v>
      </c>
    </row>
    <row r="339" spans="1:4" ht="15" x14ac:dyDescent="0.25">
      <c r="A339" s="2">
        <v>532126</v>
      </c>
      <c r="B339" s="2" t="s">
        <v>28</v>
      </c>
      <c r="C339" s="3" t="s">
        <v>372</v>
      </c>
      <c r="D339" s="5" t="s">
        <v>17</v>
      </c>
    </row>
    <row r="340" spans="1:4" ht="15" x14ac:dyDescent="0.25">
      <c r="A340" s="2">
        <v>532134</v>
      </c>
      <c r="B340" s="2" t="s">
        <v>28</v>
      </c>
      <c r="C340" s="3" t="s">
        <v>373</v>
      </c>
      <c r="D340" s="5" t="s">
        <v>17</v>
      </c>
    </row>
    <row r="341" spans="1:4" ht="15" x14ac:dyDescent="0.25">
      <c r="A341" s="2">
        <v>532142</v>
      </c>
      <c r="B341" s="2" t="s">
        <v>28</v>
      </c>
      <c r="C341" s="3" t="s">
        <v>374</v>
      </c>
      <c r="D341" s="5" t="s">
        <v>17</v>
      </c>
    </row>
    <row r="342" spans="1:4" ht="15" x14ac:dyDescent="0.25">
      <c r="A342" s="2">
        <v>532151</v>
      </c>
      <c r="B342" s="2" t="s">
        <v>28</v>
      </c>
      <c r="C342" s="3" t="s">
        <v>375</v>
      </c>
      <c r="D342" s="5" t="s">
        <v>17</v>
      </c>
    </row>
    <row r="343" spans="1:4" ht="15" x14ac:dyDescent="0.25">
      <c r="A343" s="2">
        <v>532169</v>
      </c>
      <c r="B343" s="2" t="s">
        <v>28</v>
      </c>
      <c r="C343" s="3" t="s">
        <v>376</v>
      </c>
      <c r="D343" s="5" t="s">
        <v>17</v>
      </c>
    </row>
    <row r="344" spans="1:4" ht="15" x14ac:dyDescent="0.25">
      <c r="A344" s="2">
        <v>532177</v>
      </c>
      <c r="B344" s="2" t="s">
        <v>28</v>
      </c>
      <c r="C344" s="3" t="s">
        <v>377</v>
      </c>
      <c r="D344" s="5" t="s">
        <v>17</v>
      </c>
    </row>
    <row r="345" spans="1:4" ht="15" x14ac:dyDescent="0.25">
      <c r="A345" s="2">
        <v>532185</v>
      </c>
      <c r="B345" s="2" t="s">
        <v>28</v>
      </c>
      <c r="C345" s="3" t="s">
        <v>378</v>
      </c>
      <c r="D345" s="5" t="s">
        <v>17</v>
      </c>
    </row>
    <row r="346" spans="1:4" ht="15" x14ac:dyDescent="0.25">
      <c r="A346" s="2">
        <v>532193</v>
      </c>
      <c r="B346" s="2" t="s">
        <v>28</v>
      </c>
      <c r="C346" s="3" t="s">
        <v>379</v>
      </c>
      <c r="D346" s="5" t="s">
        <v>17</v>
      </c>
    </row>
    <row r="347" spans="1:4" ht="15" x14ac:dyDescent="0.25">
      <c r="A347" s="2">
        <v>532207</v>
      </c>
      <c r="B347" s="2" t="s">
        <v>28</v>
      </c>
      <c r="C347" s="3" t="s">
        <v>380</v>
      </c>
      <c r="D347" s="5" t="s">
        <v>17</v>
      </c>
    </row>
    <row r="348" spans="1:4" ht="15" x14ac:dyDescent="0.25">
      <c r="A348" s="2">
        <v>532215</v>
      </c>
      <c r="B348" s="2" t="s">
        <v>28</v>
      </c>
      <c r="C348" s="3" t="s">
        <v>381</v>
      </c>
      <c r="D348" s="5" t="s">
        <v>17</v>
      </c>
    </row>
    <row r="349" spans="1:4" ht="15" x14ac:dyDescent="0.25">
      <c r="A349" s="2">
        <v>532231</v>
      </c>
      <c r="B349" s="2" t="s">
        <v>28</v>
      </c>
      <c r="C349" s="3" t="s">
        <v>382</v>
      </c>
      <c r="D349" s="5" t="s">
        <v>17</v>
      </c>
    </row>
    <row r="350" spans="1:4" ht="15" x14ac:dyDescent="0.25">
      <c r="A350" s="2">
        <v>532240</v>
      </c>
      <c r="B350" s="2" t="s">
        <v>28</v>
      </c>
      <c r="C350" s="3" t="s">
        <v>383</v>
      </c>
      <c r="D350" s="5" t="s">
        <v>17</v>
      </c>
    </row>
    <row r="351" spans="1:4" ht="15" x14ac:dyDescent="0.25">
      <c r="A351" s="2">
        <v>532258</v>
      </c>
      <c r="B351" s="2" t="s">
        <v>28</v>
      </c>
      <c r="C351" s="3" t="s">
        <v>384</v>
      </c>
      <c r="D351" s="5" t="s">
        <v>17</v>
      </c>
    </row>
    <row r="352" spans="1:4" ht="15" x14ac:dyDescent="0.25">
      <c r="A352" s="2">
        <v>532266</v>
      </c>
      <c r="B352" s="2" t="s">
        <v>28</v>
      </c>
      <c r="C352" s="3" t="s">
        <v>385</v>
      </c>
      <c r="D352" s="5" t="s">
        <v>17</v>
      </c>
    </row>
    <row r="353" spans="1:4" ht="15" x14ac:dyDescent="0.25">
      <c r="A353" s="2">
        <v>532274</v>
      </c>
      <c r="B353" s="2" t="s">
        <v>28</v>
      </c>
      <c r="C353" s="3" t="s">
        <v>386</v>
      </c>
      <c r="D353" s="5" t="s">
        <v>17</v>
      </c>
    </row>
    <row r="354" spans="1:4" ht="15" x14ac:dyDescent="0.25">
      <c r="A354" s="2">
        <v>532291</v>
      </c>
      <c r="B354" s="2" t="s">
        <v>28</v>
      </c>
      <c r="C354" s="3" t="s">
        <v>387</v>
      </c>
      <c r="D354" s="5" t="s">
        <v>17</v>
      </c>
    </row>
    <row r="355" spans="1:4" ht="15" x14ac:dyDescent="0.25">
      <c r="A355" s="2">
        <v>532304</v>
      </c>
      <c r="B355" s="2" t="s">
        <v>28</v>
      </c>
      <c r="C355" s="3" t="s">
        <v>388</v>
      </c>
      <c r="D355" s="5" t="s">
        <v>17</v>
      </c>
    </row>
    <row r="356" spans="1:4" ht="15" x14ac:dyDescent="0.25">
      <c r="A356" s="2">
        <v>532312</v>
      </c>
      <c r="B356" s="2" t="s">
        <v>28</v>
      </c>
      <c r="C356" s="3" t="s">
        <v>389</v>
      </c>
      <c r="D356" s="5" t="s">
        <v>17</v>
      </c>
    </row>
    <row r="357" spans="1:4" ht="15" x14ac:dyDescent="0.25">
      <c r="A357" s="2">
        <v>532321</v>
      </c>
      <c r="B357" s="2" t="s">
        <v>28</v>
      </c>
      <c r="C357" s="3" t="s">
        <v>390</v>
      </c>
      <c r="D357" s="5" t="s">
        <v>17</v>
      </c>
    </row>
    <row r="358" spans="1:4" ht="15" x14ac:dyDescent="0.25">
      <c r="A358" s="2">
        <v>532339</v>
      </c>
      <c r="B358" s="2" t="s">
        <v>28</v>
      </c>
      <c r="C358" s="3" t="s">
        <v>391</v>
      </c>
      <c r="D358" s="5" t="s">
        <v>17</v>
      </c>
    </row>
    <row r="359" spans="1:4" ht="15" x14ac:dyDescent="0.25">
      <c r="A359" s="2">
        <v>532347</v>
      </c>
      <c r="B359" s="2" t="s">
        <v>28</v>
      </c>
      <c r="C359" s="3" t="s">
        <v>392</v>
      </c>
      <c r="D359" s="5" t="s">
        <v>17</v>
      </c>
    </row>
    <row r="360" spans="1:4" ht="15" x14ac:dyDescent="0.25">
      <c r="A360" s="2">
        <v>532355</v>
      </c>
      <c r="B360" s="2" t="s">
        <v>28</v>
      </c>
      <c r="C360" s="3" t="s">
        <v>393</v>
      </c>
      <c r="D360" s="5" t="s">
        <v>17</v>
      </c>
    </row>
    <row r="361" spans="1:4" ht="15" x14ac:dyDescent="0.25">
      <c r="A361" s="2">
        <v>532363</v>
      </c>
      <c r="B361" s="2" t="s">
        <v>28</v>
      </c>
      <c r="C361" s="3" t="s">
        <v>394</v>
      </c>
      <c r="D361" s="5" t="s">
        <v>17</v>
      </c>
    </row>
    <row r="362" spans="1:4" ht="15" x14ac:dyDescent="0.25">
      <c r="A362" s="2">
        <v>532371</v>
      </c>
      <c r="B362" s="2" t="s">
        <v>28</v>
      </c>
      <c r="C362" s="3" t="s">
        <v>395</v>
      </c>
      <c r="D362" s="5" t="s">
        <v>17</v>
      </c>
    </row>
    <row r="363" spans="1:4" ht="15" x14ac:dyDescent="0.25">
      <c r="A363" s="2">
        <v>532444</v>
      </c>
      <c r="B363" s="2" t="s">
        <v>28</v>
      </c>
      <c r="C363" s="3" t="s">
        <v>396</v>
      </c>
      <c r="D363" s="5" t="s">
        <v>17</v>
      </c>
    </row>
    <row r="364" spans="1:4" ht="15" x14ac:dyDescent="0.25">
      <c r="A364" s="2">
        <v>532452</v>
      </c>
      <c r="B364" s="2" t="s">
        <v>28</v>
      </c>
      <c r="C364" s="3" t="s">
        <v>397</v>
      </c>
      <c r="D364" s="5" t="s">
        <v>17</v>
      </c>
    </row>
    <row r="365" spans="1:4" ht="15" x14ac:dyDescent="0.25">
      <c r="A365" s="2">
        <v>532487</v>
      </c>
      <c r="B365" s="2" t="s">
        <v>28</v>
      </c>
      <c r="C365" s="3" t="s">
        <v>398</v>
      </c>
      <c r="D365" s="5" t="s">
        <v>17</v>
      </c>
    </row>
    <row r="366" spans="1:4" ht="15" x14ac:dyDescent="0.25">
      <c r="A366" s="2">
        <v>532550</v>
      </c>
      <c r="B366" s="2" t="s">
        <v>28</v>
      </c>
      <c r="C366" s="3" t="s">
        <v>399</v>
      </c>
      <c r="D366" s="5" t="s">
        <v>17</v>
      </c>
    </row>
    <row r="367" spans="1:4" ht="15" x14ac:dyDescent="0.25">
      <c r="A367" s="2">
        <v>532614</v>
      </c>
      <c r="B367" s="2" t="s">
        <v>28</v>
      </c>
      <c r="C367" s="3" t="s">
        <v>400</v>
      </c>
      <c r="D367" s="5" t="s">
        <v>17</v>
      </c>
    </row>
    <row r="368" spans="1:4" ht="15" x14ac:dyDescent="0.25">
      <c r="A368" s="2">
        <v>532819</v>
      </c>
      <c r="B368" s="2" t="s">
        <v>28</v>
      </c>
      <c r="C368" s="3" t="s">
        <v>401</v>
      </c>
      <c r="D368" s="5" t="s">
        <v>17</v>
      </c>
    </row>
    <row r="369" spans="1:4" ht="15" x14ac:dyDescent="0.25">
      <c r="A369" s="2">
        <v>532851</v>
      </c>
      <c r="B369" s="2" t="s">
        <v>28</v>
      </c>
      <c r="C369" s="3" t="s">
        <v>402</v>
      </c>
      <c r="D369" s="5" t="s">
        <v>17</v>
      </c>
    </row>
    <row r="370" spans="1:4" ht="15" x14ac:dyDescent="0.25">
      <c r="A370" s="2">
        <v>532886</v>
      </c>
      <c r="B370" s="2" t="s">
        <v>28</v>
      </c>
      <c r="C370" s="3" t="s">
        <v>403</v>
      </c>
      <c r="D370" s="5" t="s">
        <v>17</v>
      </c>
    </row>
    <row r="371" spans="1:4" ht="15" x14ac:dyDescent="0.25">
      <c r="A371" s="2">
        <v>532896</v>
      </c>
      <c r="B371" s="2" t="s">
        <v>28</v>
      </c>
      <c r="C371" s="3" t="s">
        <v>404</v>
      </c>
      <c r="D371" s="5" t="s">
        <v>17</v>
      </c>
    </row>
    <row r="372" spans="1:4" ht="15" x14ac:dyDescent="0.25">
      <c r="A372" s="2">
        <v>532932</v>
      </c>
      <c r="B372" s="2" t="s">
        <v>28</v>
      </c>
      <c r="C372" s="3" t="s">
        <v>405</v>
      </c>
      <c r="D372" s="5" t="s">
        <v>17</v>
      </c>
    </row>
    <row r="373" spans="1:4" ht="15" x14ac:dyDescent="0.25">
      <c r="A373" s="2">
        <v>532975</v>
      </c>
      <c r="B373" s="2" t="s">
        <v>28</v>
      </c>
      <c r="C373" s="3" t="s">
        <v>406</v>
      </c>
      <c r="D373" s="5" t="s">
        <v>17</v>
      </c>
    </row>
    <row r="374" spans="1:4" ht="15" x14ac:dyDescent="0.25">
      <c r="A374" s="2">
        <v>533017</v>
      </c>
      <c r="B374" s="2" t="s">
        <v>28</v>
      </c>
      <c r="C374" s="3" t="s">
        <v>407</v>
      </c>
      <c r="D374" s="5" t="s">
        <v>17</v>
      </c>
    </row>
    <row r="375" spans="1:4" ht="15" x14ac:dyDescent="0.25">
      <c r="A375" s="2">
        <v>533025</v>
      </c>
      <c r="B375" s="2" t="s">
        <v>28</v>
      </c>
      <c r="C375" s="3" t="s">
        <v>408</v>
      </c>
      <c r="D375" s="5" t="s">
        <v>17</v>
      </c>
    </row>
    <row r="376" spans="1:4" ht="15" x14ac:dyDescent="0.25">
      <c r="A376" s="2">
        <v>533041</v>
      </c>
      <c r="B376" s="2" t="s">
        <v>28</v>
      </c>
      <c r="C376" s="3" t="s">
        <v>409</v>
      </c>
      <c r="D376" s="5" t="s">
        <v>17</v>
      </c>
    </row>
    <row r="377" spans="1:4" ht="15" x14ac:dyDescent="0.25">
      <c r="A377" s="2">
        <v>533050</v>
      </c>
      <c r="B377" s="2" t="s">
        <v>28</v>
      </c>
      <c r="C377" s="3" t="s">
        <v>410</v>
      </c>
      <c r="D377" s="5" t="s">
        <v>17</v>
      </c>
    </row>
    <row r="378" spans="1:4" ht="15" x14ac:dyDescent="0.25">
      <c r="A378" s="2">
        <v>533068</v>
      </c>
      <c r="B378" s="2" t="s">
        <v>28</v>
      </c>
      <c r="C378" s="3" t="s">
        <v>411</v>
      </c>
      <c r="D378" s="5" t="s">
        <v>17</v>
      </c>
    </row>
    <row r="379" spans="1:4" ht="15" x14ac:dyDescent="0.25">
      <c r="A379" s="2">
        <v>533092</v>
      </c>
      <c r="B379" s="2" t="s">
        <v>28</v>
      </c>
      <c r="C379" s="3" t="s">
        <v>412</v>
      </c>
      <c r="D379" s="5" t="s">
        <v>17</v>
      </c>
    </row>
    <row r="380" spans="1:4" ht="15" x14ac:dyDescent="0.25">
      <c r="A380" s="2">
        <v>533106</v>
      </c>
      <c r="B380" s="2" t="s">
        <v>28</v>
      </c>
      <c r="C380" s="3" t="s">
        <v>413</v>
      </c>
      <c r="D380" s="5" t="s">
        <v>17</v>
      </c>
    </row>
    <row r="381" spans="1:4" ht="15" x14ac:dyDescent="0.25">
      <c r="A381" s="2">
        <v>533122</v>
      </c>
      <c r="B381" s="2" t="s">
        <v>28</v>
      </c>
      <c r="C381" s="3" t="s">
        <v>414</v>
      </c>
      <c r="D381" s="5" t="s">
        <v>17</v>
      </c>
    </row>
    <row r="382" spans="1:4" ht="15" x14ac:dyDescent="0.25">
      <c r="A382" s="2">
        <v>533157</v>
      </c>
      <c r="B382" s="2" t="s">
        <v>28</v>
      </c>
      <c r="C382" s="3" t="s">
        <v>415</v>
      </c>
      <c r="D382" s="5" t="s">
        <v>17</v>
      </c>
    </row>
    <row r="383" spans="1:4" ht="15" x14ac:dyDescent="0.25">
      <c r="A383" s="2">
        <v>533190</v>
      </c>
      <c r="B383" s="2" t="s">
        <v>28</v>
      </c>
      <c r="C383" s="3" t="s">
        <v>416</v>
      </c>
      <c r="D383" s="5" t="s">
        <v>17</v>
      </c>
    </row>
    <row r="384" spans="1:4" ht="15" x14ac:dyDescent="0.25">
      <c r="A384" s="2">
        <v>533238</v>
      </c>
      <c r="B384" s="2" t="s">
        <v>28</v>
      </c>
      <c r="C384" s="3" t="s">
        <v>417</v>
      </c>
      <c r="D384" s="5" t="s">
        <v>17</v>
      </c>
    </row>
    <row r="385" spans="1:4" ht="15" x14ac:dyDescent="0.25">
      <c r="A385" s="2">
        <v>533246</v>
      </c>
      <c r="B385" s="2" t="s">
        <v>28</v>
      </c>
      <c r="C385" s="3" t="s">
        <v>418</v>
      </c>
      <c r="D385" s="5" t="s">
        <v>17</v>
      </c>
    </row>
    <row r="386" spans="1:4" ht="15" x14ac:dyDescent="0.25">
      <c r="A386" s="2">
        <v>533351</v>
      </c>
      <c r="B386" s="2" t="s">
        <v>28</v>
      </c>
      <c r="C386" s="3" t="s">
        <v>419</v>
      </c>
      <c r="D386" s="5" t="s">
        <v>17</v>
      </c>
    </row>
    <row r="387" spans="1:4" ht="15" x14ac:dyDescent="0.25">
      <c r="A387" s="2">
        <v>533441</v>
      </c>
      <c r="B387" s="2" t="s">
        <v>28</v>
      </c>
      <c r="C387" s="3" t="s">
        <v>420</v>
      </c>
      <c r="D387" s="5" t="s">
        <v>17</v>
      </c>
    </row>
    <row r="388" spans="1:4" ht="15" x14ac:dyDescent="0.25">
      <c r="A388" s="2">
        <v>533475</v>
      </c>
      <c r="B388" s="2" t="s">
        <v>28</v>
      </c>
      <c r="C388" s="3" t="s">
        <v>421</v>
      </c>
      <c r="D388" s="5" t="s">
        <v>17</v>
      </c>
    </row>
    <row r="389" spans="1:4" ht="15" x14ac:dyDescent="0.25">
      <c r="A389" s="2">
        <v>533483</v>
      </c>
      <c r="B389" s="2" t="s">
        <v>28</v>
      </c>
      <c r="C389" s="3" t="s">
        <v>422</v>
      </c>
      <c r="D389" s="5" t="s">
        <v>17</v>
      </c>
    </row>
    <row r="390" spans="1:4" ht="15" x14ac:dyDescent="0.25">
      <c r="A390" s="2">
        <v>533521</v>
      </c>
      <c r="B390" s="2" t="s">
        <v>28</v>
      </c>
      <c r="C390" s="3" t="s">
        <v>423</v>
      </c>
      <c r="D390" s="5" t="s">
        <v>17</v>
      </c>
    </row>
    <row r="391" spans="1:4" ht="15" x14ac:dyDescent="0.25">
      <c r="A391" s="2">
        <v>533583</v>
      </c>
      <c r="B391" s="2" t="s">
        <v>28</v>
      </c>
      <c r="C391" s="3" t="s">
        <v>424</v>
      </c>
      <c r="D391" s="5" t="s">
        <v>17</v>
      </c>
    </row>
    <row r="392" spans="1:4" ht="15" x14ac:dyDescent="0.25">
      <c r="A392" s="2">
        <v>533611</v>
      </c>
      <c r="B392" s="2" t="s">
        <v>28</v>
      </c>
      <c r="C392" s="3" t="s">
        <v>425</v>
      </c>
      <c r="D392" s="5" t="s">
        <v>17</v>
      </c>
    </row>
    <row r="393" spans="1:4" ht="15" x14ac:dyDescent="0.25">
      <c r="A393" s="2">
        <v>533645</v>
      </c>
      <c r="B393" s="2" t="s">
        <v>28</v>
      </c>
      <c r="C393" s="3" t="s">
        <v>426</v>
      </c>
      <c r="D393" s="5" t="s">
        <v>17</v>
      </c>
    </row>
    <row r="394" spans="1:4" ht="15" x14ac:dyDescent="0.25">
      <c r="A394" s="2">
        <v>533696</v>
      </c>
      <c r="B394" s="2" t="s">
        <v>28</v>
      </c>
      <c r="C394" s="3" t="s">
        <v>427</v>
      </c>
      <c r="D394" s="5" t="s">
        <v>17</v>
      </c>
    </row>
    <row r="395" spans="1:4" ht="15" x14ac:dyDescent="0.25">
      <c r="A395" s="2">
        <v>533734</v>
      </c>
      <c r="B395" s="2" t="s">
        <v>28</v>
      </c>
      <c r="C395" s="3" t="s">
        <v>428</v>
      </c>
      <c r="D395" s="5" t="s">
        <v>17</v>
      </c>
    </row>
    <row r="396" spans="1:4" ht="15" x14ac:dyDescent="0.25">
      <c r="A396" s="2">
        <v>533777</v>
      </c>
      <c r="B396" s="2" t="s">
        <v>28</v>
      </c>
      <c r="C396" s="3" t="s">
        <v>429</v>
      </c>
      <c r="D396" s="5" t="s">
        <v>17</v>
      </c>
    </row>
    <row r="397" spans="1:4" ht="15" x14ac:dyDescent="0.25">
      <c r="A397" s="2">
        <v>533845</v>
      </c>
      <c r="B397" s="2" t="s">
        <v>28</v>
      </c>
      <c r="C397" s="3" t="s">
        <v>430</v>
      </c>
      <c r="D397" s="5" t="s">
        <v>17</v>
      </c>
    </row>
    <row r="398" spans="1:4" ht="15" x14ac:dyDescent="0.25">
      <c r="A398" s="2">
        <v>534005</v>
      </c>
      <c r="B398" s="2" t="s">
        <v>28</v>
      </c>
      <c r="C398" s="3" t="s">
        <v>431</v>
      </c>
      <c r="D398" s="5" t="s">
        <v>17</v>
      </c>
    </row>
    <row r="399" spans="1:4" ht="15" x14ac:dyDescent="0.25">
      <c r="A399" s="2">
        <v>534013</v>
      </c>
      <c r="B399" s="2" t="s">
        <v>28</v>
      </c>
      <c r="C399" s="3" t="s">
        <v>432</v>
      </c>
      <c r="D399" s="5" t="s">
        <v>17</v>
      </c>
    </row>
    <row r="400" spans="1:4" ht="15" x14ac:dyDescent="0.25">
      <c r="A400" s="2">
        <v>534030</v>
      </c>
      <c r="B400" s="2" t="s">
        <v>28</v>
      </c>
      <c r="C400" s="3" t="s">
        <v>433</v>
      </c>
      <c r="D400" s="5" t="s">
        <v>17</v>
      </c>
    </row>
    <row r="401" spans="1:4" ht="15" x14ac:dyDescent="0.25">
      <c r="A401" s="2">
        <v>534081</v>
      </c>
      <c r="B401" s="2" t="s">
        <v>28</v>
      </c>
      <c r="C401" s="3" t="s">
        <v>434</v>
      </c>
      <c r="D401" s="5" t="s">
        <v>17</v>
      </c>
    </row>
    <row r="402" spans="1:4" ht="15" x14ac:dyDescent="0.25">
      <c r="A402" s="2">
        <v>534102</v>
      </c>
      <c r="B402" s="2" t="s">
        <v>28</v>
      </c>
      <c r="C402" s="3" t="s">
        <v>435</v>
      </c>
      <c r="D402" s="5" t="s">
        <v>17</v>
      </c>
    </row>
    <row r="403" spans="1:4" ht="15" x14ac:dyDescent="0.25">
      <c r="A403" s="2">
        <v>534129</v>
      </c>
      <c r="B403" s="2" t="s">
        <v>28</v>
      </c>
      <c r="C403" s="3" t="s">
        <v>436</v>
      </c>
      <c r="D403" s="5" t="s">
        <v>17</v>
      </c>
    </row>
    <row r="404" spans="1:4" ht="15" x14ac:dyDescent="0.25">
      <c r="A404" s="2">
        <v>534153</v>
      </c>
      <c r="B404" s="2" t="s">
        <v>28</v>
      </c>
      <c r="C404" s="3" t="s">
        <v>437</v>
      </c>
      <c r="D404" s="5" t="s">
        <v>17</v>
      </c>
    </row>
    <row r="405" spans="1:4" ht="15" x14ac:dyDescent="0.25">
      <c r="A405" s="2">
        <v>534633</v>
      </c>
      <c r="B405" s="2" t="s">
        <v>28</v>
      </c>
      <c r="C405" s="3" t="s">
        <v>438</v>
      </c>
      <c r="D405" s="5" t="s">
        <v>17</v>
      </c>
    </row>
    <row r="406" spans="1:4" ht="15" x14ac:dyDescent="0.25">
      <c r="A406" s="2">
        <v>534668</v>
      </c>
      <c r="B406" s="2" t="s">
        <v>28</v>
      </c>
      <c r="C406" s="3" t="s">
        <v>439</v>
      </c>
      <c r="D406" s="5" t="s">
        <v>17</v>
      </c>
    </row>
    <row r="407" spans="1:4" ht="15" x14ac:dyDescent="0.25">
      <c r="A407" s="2">
        <v>534706</v>
      </c>
      <c r="B407" s="2" t="s">
        <v>28</v>
      </c>
      <c r="C407" s="3" t="s">
        <v>440</v>
      </c>
      <c r="D407" s="5" t="s">
        <v>17</v>
      </c>
    </row>
    <row r="408" spans="1:4" ht="15" x14ac:dyDescent="0.25">
      <c r="A408" s="2">
        <v>534749</v>
      </c>
      <c r="B408" s="2" t="s">
        <v>28</v>
      </c>
      <c r="C408" s="3" t="s">
        <v>441</v>
      </c>
      <c r="D408" s="5" t="s">
        <v>17</v>
      </c>
    </row>
    <row r="409" spans="1:4" ht="15" x14ac:dyDescent="0.25">
      <c r="A409" s="2">
        <v>534978</v>
      </c>
      <c r="B409" s="2" t="s">
        <v>28</v>
      </c>
      <c r="C409" s="3" t="s">
        <v>442</v>
      </c>
      <c r="D409" s="5" t="s">
        <v>17</v>
      </c>
    </row>
    <row r="410" spans="1:4" ht="15" x14ac:dyDescent="0.25">
      <c r="A410" s="2">
        <v>535036</v>
      </c>
      <c r="B410" s="2" t="s">
        <v>28</v>
      </c>
      <c r="C410" s="3" t="s">
        <v>443</v>
      </c>
      <c r="D410" s="5" t="s">
        <v>17</v>
      </c>
    </row>
    <row r="411" spans="1:4" ht="15" x14ac:dyDescent="0.25">
      <c r="A411" s="2">
        <v>535087</v>
      </c>
      <c r="B411" s="2" t="s">
        <v>28</v>
      </c>
      <c r="C411" s="3" t="s">
        <v>444</v>
      </c>
      <c r="D411" s="5" t="s">
        <v>17</v>
      </c>
    </row>
    <row r="412" spans="1:4" ht="15" x14ac:dyDescent="0.25">
      <c r="A412" s="2">
        <v>535346</v>
      </c>
      <c r="B412" s="2" t="s">
        <v>28</v>
      </c>
      <c r="C412" s="3" t="s">
        <v>445</v>
      </c>
      <c r="D412" s="5" t="s">
        <v>17</v>
      </c>
    </row>
    <row r="413" spans="1:4" ht="15" x14ac:dyDescent="0.25">
      <c r="A413" s="2">
        <v>535362</v>
      </c>
      <c r="B413" s="2" t="s">
        <v>28</v>
      </c>
      <c r="C413" s="3" t="s">
        <v>446</v>
      </c>
      <c r="D413" s="5" t="s">
        <v>17</v>
      </c>
    </row>
    <row r="414" spans="1:4" ht="15" x14ac:dyDescent="0.25">
      <c r="A414" s="2">
        <v>535451</v>
      </c>
      <c r="B414" s="2" t="s">
        <v>28</v>
      </c>
      <c r="C414" s="3" t="s">
        <v>447</v>
      </c>
      <c r="D414" s="5" t="s">
        <v>17</v>
      </c>
    </row>
    <row r="415" spans="1:4" ht="15" x14ac:dyDescent="0.25">
      <c r="A415" s="2">
        <v>535460</v>
      </c>
      <c r="B415" s="2" t="s">
        <v>28</v>
      </c>
      <c r="C415" s="3" t="s">
        <v>448</v>
      </c>
      <c r="D415" s="5" t="s">
        <v>17</v>
      </c>
    </row>
    <row r="416" spans="1:4" ht="15" x14ac:dyDescent="0.25">
      <c r="A416" s="2">
        <v>535494</v>
      </c>
      <c r="B416" s="2" t="s">
        <v>28</v>
      </c>
      <c r="C416" s="3" t="s">
        <v>449</v>
      </c>
      <c r="D416" s="5" t="s">
        <v>17</v>
      </c>
    </row>
    <row r="417" spans="1:4" ht="15" x14ac:dyDescent="0.25">
      <c r="A417" s="2">
        <v>535583</v>
      </c>
      <c r="B417" s="2" t="s">
        <v>28</v>
      </c>
      <c r="C417" s="3" t="s">
        <v>450</v>
      </c>
      <c r="D417" s="5" t="s">
        <v>17</v>
      </c>
    </row>
    <row r="418" spans="1:4" ht="15" x14ac:dyDescent="0.25">
      <c r="A418" s="2">
        <v>535630</v>
      </c>
      <c r="B418" s="2" t="s">
        <v>28</v>
      </c>
      <c r="C418" s="3" t="s">
        <v>451</v>
      </c>
      <c r="D418" s="5" t="s">
        <v>17</v>
      </c>
    </row>
    <row r="419" spans="1:4" ht="15" x14ac:dyDescent="0.25">
      <c r="A419" s="2">
        <v>535648</v>
      </c>
      <c r="B419" s="2" t="s">
        <v>28</v>
      </c>
      <c r="C419" s="3" t="s">
        <v>452</v>
      </c>
      <c r="D419" s="5" t="s">
        <v>17</v>
      </c>
    </row>
    <row r="420" spans="1:4" ht="15" x14ac:dyDescent="0.25">
      <c r="A420" s="2">
        <v>535711</v>
      </c>
      <c r="B420" s="2" t="s">
        <v>28</v>
      </c>
      <c r="C420" s="3" t="s">
        <v>453</v>
      </c>
      <c r="D420" s="5" t="s">
        <v>17</v>
      </c>
    </row>
    <row r="421" spans="1:4" ht="15" x14ac:dyDescent="0.25">
      <c r="A421" s="2">
        <v>535851</v>
      </c>
      <c r="B421" s="2" t="s">
        <v>28</v>
      </c>
      <c r="C421" s="3" t="s">
        <v>454</v>
      </c>
      <c r="D421" s="5" t="s">
        <v>17</v>
      </c>
    </row>
    <row r="422" spans="1:4" ht="15" x14ac:dyDescent="0.25">
      <c r="A422" s="2">
        <v>536008</v>
      </c>
      <c r="B422" s="2" t="s">
        <v>28</v>
      </c>
      <c r="C422" s="3" t="s">
        <v>455</v>
      </c>
      <c r="D422" s="5" t="s">
        <v>17</v>
      </c>
    </row>
    <row r="423" spans="1:4" ht="15" x14ac:dyDescent="0.25">
      <c r="A423" s="2">
        <v>536016</v>
      </c>
      <c r="B423" s="2" t="s">
        <v>28</v>
      </c>
      <c r="C423" s="3" t="s">
        <v>456</v>
      </c>
      <c r="D423" s="5" t="s">
        <v>17</v>
      </c>
    </row>
    <row r="424" spans="1:4" ht="15" x14ac:dyDescent="0.25">
      <c r="A424" s="2">
        <v>536032</v>
      </c>
      <c r="B424" s="2" t="s">
        <v>28</v>
      </c>
      <c r="C424" s="3" t="s">
        <v>457</v>
      </c>
      <c r="D424" s="5" t="s">
        <v>17</v>
      </c>
    </row>
    <row r="425" spans="1:4" ht="15" x14ac:dyDescent="0.25">
      <c r="A425" s="2">
        <v>536041</v>
      </c>
      <c r="B425" s="2" t="s">
        <v>28</v>
      </c>
      <c r="C425" s="3" t="s">
        <v>458</v>
      </c>
      <c r="D425" s="5" t="s">
        <v>17</v>
      </c>
    </row>
    <row r="426" spans="1:4" ht="15" x14ac:dyDescent="0.25">
      <c r="A426" s="2">
        <v>536059</v>
      </c>
      <c r="B426" s="2" t="s">
        <v>28</v>
      </c>
      <c r="C426" s="3" t="s">
        <v>459</v>
      </c>
      <c r="D426" s="5" t="s">
        <v>17</v>
      </c>
    </row>
    <row r="427" spans="1:4" ht="15" x14ac:dyDescent="0.25">
      <c r="A427" s="2">
        <v>536067</v>
      </c>
      <c r="B427" s="2" t="s">
        <v>28</v>
      </c>
      <c r="C427" s="3" t="s">
        <v>460</v>
      </c>
      <c r="D427" s="5" t="s">
        <v>17</v>
      </c>
    </row>
    <row r="428" spans="1:4" ht="15" x14ac:dyDescent="0.25">
      <c r="A428" s="2">
        <v>536075</v>
      </c>
      <c r="B428" s="2" t="s">
        <v>28</v>
      </c>
      <c r="C428" s="3" t="s">
        <v>461</v>
      </c>
      <c r="D428" s="5" t="s">
        <v>17</v>
      </c>
    </row>
    <row r="429" spans="1:4" ht="15" x14ac:dyDescent="0.25">
      <c r="A429" s="2">
        <v>536083</v>
      </c>
      <c r="B429" s="2" t="s">
        <v>28</v>
      </c>
      <c r="C429" s="3" t="s">
        <v>462</v>
      </c>
      <c r="D429" s="5" t="s">
        <v>17</v>
      </c>
    </row>
    <row r="430" spans="1:4" ht="15" x14ac:dyDescent="0.25">
      <c r="A430" s="2">
        <v>536084</v>
      </c>
      <c r="B430" s="2" t="s">
        <v>28</v>
      </c>
      <c r="C430" s="3" t="s">
        <v>463</v>
      </c>
      <c r="D430" s="5" t="s">
        <v>17</v>
      </c>
    </row>
    <row r="431" spans="1:4" ht="15" x14ac:dyDescent="0.25">
      <c r="A431" s="2">
        <v>536085</v>
      </c>
      <c r="B431" s="2" t="s">
        <v>28</v>
      </c>
      <c r="C431" s="3" t="s">
        <v>464</v>
      </c>
      <c r="D431" s="5" t="s">
        <v>17</v>
      </c>
    </row>
    <row r="432" spans="1:4" ht="15" x14ac:dyDescent="0.25">
      <c r="A432" s="2">
        <v>536091</v>
      </c>
      <c r="B432" s="2" t="s">
        <v>28</v>
      </c>
      <c r="C432" s="3" t="s">
        <v>465</v>
      </c>
      <c r="D432" s="5" t="s">
        <v>17</v>
      </c>
    </row>
    <row r="433" spans="1:4" ht="15" x14ac:dyDescent="0.25">
      <c r="A433" s="2">
        <v>536105</v>
      </c>
      <c r="B433" s="2" t="s">
        <v>28</v>
      </c>
      <c r="C433" s="3" t="s">
        <v>466</v>
      </c>
      <c r="D433" s="5" t="s">
        <v>17</v>
      </c>
    </row>
    <row r="434" spans="1:4" ht="15" x14ac:dyDescent="0.25">
      <c r="A434" s="2">
        <v>536107</v>
      </c>
      <c r="B434" s="2" t="s">
        <v>28</v>
      </c>
      <c r="C434" s="3" t="s">
        <v>467</v>
      </c>
      <c r="D434" s="5" t="s">
        <v>17</v>
      </c>
    </row>
    <row r="435" spans="1:4" ht="15" x14ac:dyDescent="0.25">
      <c r="A435" s="2">
        <v>536111</v>
      </c>
      <c r="B435" s="2" t="s">
        <v>28</v>
      </c>
      <c r="C435" s="3" t="s">
        <v>468</v>
      </c>
      <c r="D435" s="5" t="s">
        <v>17</v>
      </c>
    </row>
    <row r="436" spans="1:4" ht="15" x14ac:dyDescent="0.25">
      <c r="A436" s="2">
        <v>536113</v>
      </c>
      <c r="B436" s="2" t="s">
        <v>28</v>
      </c>
      <c r="C436" s="3" t="s">
        <v>469</v>
      </c>
      <c r="D436" s="5" t="s">
        <v>17</v>
      </c>
    </row>
    <row r="437" spans="1:4" ht="15" x14ac:dyDescent="0.25">
      <c r="A437" s="2">
        <v>536121</v>
      </c>
      <c r="B437" s="2" t="s">
        <v>28</v>
      </c>
      <c r="C437" s="3" t="s">
        <v>470</v>
      </c>
      <c r="D437" s="5" t="s">
        <v>17</v>
      </c>
    </row>
    <row r="438" spans="1:4" ht="15" x14ac:dyDescent="0.25">
      <c r="A438" s="2">
        <v>536130</v>
      </c>
      <c r="B438" s="2" t="s">
        <v>28</v>
      </c>
      <c r="C438" s="3" t="s">
        <v>471</v>
      </c>
      <c r="D438" s="5" t="s">
        <v>17</v>
      </c>
    </row>
    <row r="439" spans="1:4" ht="15" x14ac:dyDescent="0.25">
      <c r="A439" s="2">
        <v>536148</v>
      </c>
      <c r="B439" s="2" t="s">
        <v>28</v>
      </c>
      <c r="C439" s="3" t="s">
        <v>472</v>
      </c>
      <c r="D439" s="5" t="s">
        <v>17</v>
      </c>
    </row>
    <row r="440" spans="1:4" ht="15" x14ac:dyDescent="0.25">
      <c r="A440" s="2">
        <v>536156</v>
      </c>
      <c r="B440" s="2" t="s">
        <v>28</v>
      </c>
      <c r="C440" s="3" t="s">
        <v>473</v>
      </c>
      <c r="D440" s="5" t="s">
        <v>17</v>
      </c>
    </row>
    <row r="441" spans="1:4" ht="15" x14ac:dyDescent="0.25">
      <c r="A441" s="2">
        <v>536164</v>
      </c>
      <c r="B441" s="2" t="s">
        <v>28</v>
      </c>
      <c r="C441" s="3" t="s">
        <v>474</v>
      </c>
      <c r="D441" s="5" t="s">
        <v>17</v>
      </c>
    </row>
    <row r="442" spans="1:4" ht="15" x14ac:dyDescent="0.25">
      <c r="A442" s="2">
        <v>536172</v>
      </c>
      <c r="B442" s="2" t="s">
        <v>28</v>
      </c>
      <c r="C442" s="3" t="s">
        <v>475</v>
      </c>
      <c r="D442" s="5" t="s">
        <v>17</v>
      </c>
    </row>
    <row r="443" spans="1:4" ht="15" x14ac:dyDescent="0.25">
      <c r="A443" s="2">
        <v>536181</v>
      </c>
      <c r="B443" s="2" t="s">
        <v>28</v>
      </c>
      <c r="C443" s="3" t="s">
        <v>476</v>
      </c>
      <c r="D443" s="5" t="s">
        <v>17</v>
      </c>
    </row>
    <row r="444" spans="1:4" ht="15" x14ac:dyDescent="0.25">
      <c r="A444" s="2">
        <v>536199</v>
      </c>
      <c r="B444" s="2" t="s">
        <v>28</v>
      </c>
      <c r="C444" s="3" t="s">
        <v>477</v>
      </c>
      <c r="D444" s="5" t="s">
        <v>17</v>
      </c>
    </row>
    <row r="445" spans="1:4" ht="15" x14ac:dyDescent="0.25">
      <c r="A445" s="2">
        <v>536202</v>
      </c>
      <c r="B445" s="2" t="s">
        <v>28</v>
      </c>
      <c r="C445" s="3" t="s">
        <v>478</v>
      </c>
      <c r="D445" s="5" t="s">
        <v>17</v>
      </c>
    </row>
    <row r="446" spans="1:4" ht="15" x14ac:dyDescent="0.25">
      <c r="A446" s="2">
        <v>536208</v>
      </c>
      <c r="B446" s="2" t="s">
        <v>28</v>
      </c>
      <c r="C446" s="3" t="s">
        <v>479</v>
      </c>
      <c r="D446" s="5" t="s">
        <v>17</v>
      </c>
    </row>
    <row r="447" spans="1:4" ht="15" x14ac:dyDescent="0.25">
      <c r="A447" s="2">
        <v>536211</v>
      </c>
      <c r="B447" s="2" t="s">
        <v>28</v>
      </c>
      <c r="C447" s="3" t="s">
        <v>480</v>
      </c>
      <c r="D447" s="5" t="s">
        <v>17</v>
      </c>
    </row>
    <row r="448" spans="1:4" ht="15" x14ac:dyDescent="0.25">
      <c r="A448" s="2">
        <v>536229</v>
      </c>
      <c r="B448" s="2" t="s">
        <v>28</v>
      </c>
      <c r="C448" s="3" t="s">
        <v>481</v>
      </c>
      <c r="D448" s="5" t="s">
        <v>17</v>
      </c>
    </row>
    <row r="449" spans="1:4" ht="15" x14ac:dyDescent="0.25">
      <c r="A449" s="2">
        <v>536253</v>
      </c>
      <c r="B449" s="2" t="s">
        <v>28</v>
      </c>
      <c r="C449" s="3" t="s">
        <v>482</v>
      </c>
      <c r="D449" s="5" t="s">
        <v>17</v>
      </c>
    </row>
    <row r="450" spans="1:4" ht="15" x14ac:dyDescent="0.25">
      <c r="A450" s="2">
        <v>536254</v>
      </c>
      <c r="B450" s="2" t="s">
        <v>28</v>
      </c>
      <c r="C450" s="3" t="s">
        <v>483</v>
      </c>
      <c r="D450" s="5" t="s">
        <v>17</v>
      </c>
    </row>
    <row r="451" spans="1:4" ht="15" x14ac:dyDescent="0.25">
      <c r="A451" s="2">
        <v>536255</v>
      </c>
      <c r="B451" s="2" t="s">
        <v>28</v>
      </c>
      <c r="C451" s="3" t="s">
        <v>484</v>
      </c>
      <c r="D451" s="5" t="s">
        <v>17</v>
      </c>
    </row>
    <row r="452" spans="1:4" ht="15" x14ac:dyDescent="0.25">
      <c r="A452" s="2">
        <v>536261</v>
      </c>
      <c r="B452" s="2" t="s">
        <v>28</v>
      </c>
      <c r="C452" s="3" t="s">
        <v>485</v>
      </c>
      <c r="D452" s="5" t="s">
        <v>17</v>
      </c>
    </row>
    <row r="453" spans="1:4" ht="15" x14ac:dyDescent="0.25">
      <c r="A453" s="2">
        <v>536270</v>
      </c>
      <c r="B453" s="2" t="s">
        <v>28</v>
      </c>
      <c r="C453" s="3" t="s">
        <v>486</v>
      </c>
      <c r="D453" s="5" t="s">
        <v>17</v>
      </c>
    </row>
    <row r="454" spans="1:4" ht="15" x14ac:dyDescent="0.25">
      <c r="A454" s="2">
        <v>536288</v>
      </c>
      <c r="B454" s="2" t="s">
        <v>28</v>
      </c>
      <c r="C454" s="3" t="s">
        <v>487</v>
      </c>
      <c r="D454" s="5" t="s">
        <v>17</v>
      </c>
    </row>
    <row r="455" spans="1:4" ht="15" x14ac:dyDescent="0.25">
      <c r="A455" s="2">
        <v>536296</v>
      </c>
      <c r="B455" s="2" t="s">
        <v>28</v>
      </c>
      <c r="C455" s="3" t="s">
        <v>488</v>
      </c>
      <c r="D455" s="5" t="s">
        <v>17</v>
      </c>
    </row>
    <row r="456" spans="1:4" ht="15" x14ac:dyDescent="0.25">
      <c r="A456" s="2">
        <v>536300</v>
      </c>
      <c r="B456" s="2" t="s">
        <v>28</v>
      </c>
      <c r="C456" s="3" t="s">
        <v>489</v>
      </c>
      <c r="D456" s="5" t="s">
        <v>17</v>
      </c>
    </row>
    <row r="457" spans="1:4" ht="15" x14ac:dyDescent="0.25">
      <c r="A457" s="2">
        <v>536318</v>
      </c>
      <c r="B457" s="2" t="s">
        <v>28</v>
      </c>
      <c r="C457" s="3" t="s">
        <v>490</v>
      </c>
      <c r="D457" s="5" t="s">
        <v>17</v>
      </c>
    </row>
    <row r="458" spans="1:4" ht="15" x14ac:dyDescent="0.25">
      <c r="A458" s="2">
        <v>536326</v>
      </c>
      <c r="B458" s="2" t="s">
        <v>28</v>
      </c>
      <c r="C458" s="3" t="s">
        <v>491</v>
      </c>
      <c r="D458" s="5" t="s">
        <v>17</v>
      </c>
    </row>
    <row r="459" spans="1:4" ht="15" x14ac:dyDescent="0.25">
      <c r="A459" s="2">
        <v>536334</v>
      </c>
      <c r="B459" s="2" t="s">
        <v>28</v>
      </c>
      <c r="C459" s="3" t="s">
        <v>492</v>
      </c>
      <c r="D459" s="5" t="s">
        <v>17</v>
      </c>
    </row>
    <row r="460" spans="1:4" ht="15" x14ac:dyDescent="0.25">
      <c r="A460" s="2">
        <v>536342</v>
      </c>
      <c r="B460" s="2" t="s">
        <v>28</v>
      </c>
      <c r="C460" s="3" t="s">
        <v>493</v>
      </c>
      <c r="D460" s="5" t="s">
        <v>17</v>
      </c>
    </row>
    <row r="461" spans="1:4" ht="15" x14ac:dyDescent="0.25">
      <c r="A461" s="2">
        <v>536343</v>
      </c>
      <c r="B461" s="2" t="s">
        <v>28</v>
      </c>
      <c r="C461" s="3" t="s">
        <v>494</v>
      </c>
      <c r="D461" s="5" t="s">
        <v>17</v>
      </c>
    </row>
    <row r="462" spans="1:4" ht="15" x14ac:dyDescent="0.25">
      <c r="A462" s="2">
        <v>536344</v>
      </c>
      <c r="B462" s="2" t="s">
        <v>28</v>
      </c>
      <c r="C462" s="3" t="s">
        <v>495</v>
      </c>
      <c r="D462" s="5" t="s">
        <v>17</v>
      </c>
    </row>
    <row r="463" spans="1:4" ht="15" x14ac:dyDescent="0.25">
      <c r="A463" s="2">
        <v>536351</v>
      </c>
      <c r="B463" s="2" t="s">
        <v>28</v>
      </c>
      <c r="C463" s="3" t="s">
        <v>496</v>
      </c>
      <c r="D463" s="5" t="s">
        <v>17</v>
      </c>
    </row>
    <row r="464" spans="1:4" ht="15" x14ac:dyDescent="0.25">
      <c r="A464" s="2">
        <v>536352</v>
      </c>
      <c r="B464" s="2" t="s">
        <v>28</v>
      </c>
      <c r="C464" s="3" t="s">
        <v>497</v>
      </c>
      <c r="D464" s="5" t="s">
        <v>17</v>
      </c>
    </row>
    <row r="465" spans="1:4" ht="15" x14ac:dyDescent="0.25">
      <c r="A465" s="2">
        <v>536353</v>
      </c>
      <c r="B465" s="2" t="s">
        <v>28</v>
      </c>
      <c r="C465" s="3" t="s">
        <v>498</v>
      </c>
      <c r="D465" s="5" t="s">
        <v>17</v>
      </c>
    </row>
    <row r="466" spans="1:4" ht="15" x14ac:dyDescent="0.25">
      <c r="A466" s="2">
        <v>536354</v>
      </c>
      <c r="B466" s="2" t="s">
        <v>28</v>
      </c>
      <c r="C466" s="3" t="s">
        <v>499</v>
      </c>
      <c r="D466" s="5" t="s">
        <v>17</v>
      </c>
    </row>
    <row r="467" spans="1:4" ht="15" x14ac:dyDescent="0.25">
      <c r="A467" s="2">
        <v>536369</v>
      </c>
      <c r="B467" s="2" t="s">
        <v>28</v>
      </c>
      <c r="C467" s="3" t="s">
        <v>500</v>
      </c>
      <c r="D467" s="5" t="s">
        <v>17</v>
      </c>
    </row>
    <row r="468" spans="1:4" ht="15" x14ac:dyDescent="0.25">
      <c r="A468" s="2">
        <v>536377</v>
      </c>
      <c r="B468" s="2" t="s">
        <v>28</v>
      </c>
      <c r="C468" s="3" t="s">
        <v>501</v>
      </c>
      <c r="D468" s="5" t="s">
        <v>17</v>
      </c>
    </row>
    <row r="469" spans="1:4" ht="15" x14ac:dyDescent="0.25">
      <c r="A469" s="2">
        <v>536378</v>
      </c>
      <c r="B469" s="2" t="s">
        <v>28</v>
      </c>
      <c r="C469" s="3" t="s">
        <v>502</v>
      </c>
      <c r="D469" s="5" t="s">
        <v>17</v>
      </c>
    </row>
    <row r="470" spans="1:4" ht="15" x14ac:dyDescent="0.25">
      <c r="A470" s="2">
        <v>536385</v>
      </c>
      <c r="B470" s="2" t="s">
        <v>28</v>
      </c>
      <c r="C470" s="3" t="s">
        <v>503</v>
      </c>
      <c r="D470" s="5" t="s">
        <v>17</v>
      </c>
    </row>
    <row r="471" spans="1:4" ht="15" x14ac:dyDescent="0.25">
      <c r="A471" s="2">
        <v>536386</v>
      </c>
      <c r="B471" s="2" t="s">
        <v>28</v>
      </c>
      <c r="C471" s="3" t="s">
        <v>504</v>
      </c>
      <c r="D471" s="5" t="s">
        <v>17</v>
      </c>
    </row>
    <row r="472" spans="1:4" ht="15" x14ac:dyDescent="0.25">
      <c r="A472" s="2">
        <v>536393</v>
      </c>
      <c r="B472" s="2" t="s">
        <v>28</v>
      </c>
      <c r="C472" s="3" t="s">
        <v>505</v>
      </c>
      <c r="D472" s="5" t="s">
        <v>17</v>
      </c>
    </row>
    <row r="473" spans="1:4" ht="15" x14ac:dyDescent="0.25">
      <c r="A473" s="2">
        <v>536407</v>
      </c>
      <c r="B473" s="2" t="s">
        <v>28</v>
      </c>
      <c r="C473" s="3" t="s">
        <v>506</v>
      </c>
      <c r="D473" s="5" t="s">
        <v>17</v>
      </c>
    </row>
    <row r="474" spans="1:4" ht="15" x14ac:dyDescent="0.25">
      <c r="A474" s="2">
        <v>536423</v>
      </c>
      <c r="B474" s="2" t="s">
        <v>28</v>
      </c>
      <c r="C474" s="3" t="s">
        <v>507</v>
      </c>
      <c r="D474" s="5" t="s">
        <v>17</v>
      </c>
    </row>
    <row r="475" spans="1:4" ht="15" x14ac:dyDescent="0.25">
      <c r="A475" s="2">
        <v>536425</v>
      </c>
      <c r="B475" s="2" t="s">
        <v>28</v>
      </c>
      <c r="C475" s="3" t="s">
        <v>508</v>
      </c>
      <c r="D475" s="5" t="s">
        <v>17</v>
      </c>
    </row>
    <row r="476" spans="1:4" ht="15" x14ac:dyDescent="0.25">
      <c r="A476" s="2">
        <v>536431</v>
      </c>
      <c r="B476" s="2" t="s">
        <v>28</v>
      </c>
      <c r="C476" s="3" t="s">
        <v>509</v>
      </c>
      <c r="D476" s="5" t="s">
        <v>17</v>
      </c>
    </row>
    <row r="477" spans="1:4" ht="15" x14ac:dyDescent="0.25">
      <c r="A477" s="2">
        <v>536440</v>
      </c>
      <c r="B477" s="2" t="s">
        <v>28</v>
      </c>
      <c r="C477" s="3" t="s">
        <v>510</v>
      </c>
      <c r="D477" s="5" t="s">
        <v>17</v>
      </c>
    </row>
    <row r="478" spans="1:4" ht="15" x14ac:dyDescent="0.25">
      <c r="A478" s="2">
        <v>536458</v>
      </c>
      <c r="B478" s="2" t="s">
        <v>28</v>
      </c>
      <c r="C478" s="3" t="s">
        <v>511</v>
      </c>
      <c r="D478" s="5" t="s">
        <v>17</v>
      </c>
    </row>
    <row r="479" spans="1:4" ht="15" x14ac:dyDescent="0.25">
      <c r="A479" s="2">
        <v>536466</v>
      </c>
      <c r="B479" s="2" t="s">
        <v>28</v>
      </c>
      <c r="C479" s="3" t="s">
        <v>512</v>
      </c>
      <c r="D479" s="5" t="s">
        <v>17</v>
      </c>
    </row>
    <row r="480" spans="1:4" ht="15" x14ac:dyDescent="0.25">
      <c r="A480" s="2">
        <v>536474</v>
      </c>
      <c r="B480" s="2" t="s">
        <v>28</v>
      </c>
      <c r="C480" s="3" t="s">
        <v>513</v>
      </c>
      <c r="D480" s="5" t="s">
        <v>17</v>
      </c>
    </row>
    <row r="481" spans="1:4" ht="15" x14ac:dyDescent="0.25">
      <c r="A481" s="2">
        <v>536475</v>
      </c>
      <c r="B481" s="2" t="s">
        <v>28</v>
      </c>
      <c r="C481" s="3" t="s">
        <v>514</v>
      </c>
      <c r="D481" s="5" t="s">
        <v>17</v>
      </c>
    </row>
    <row r="482" spans="1:4" ht="15" x14ac:dyDescent="0.25">
      <c r="A482" s="2">
        <v>536482</v>
      </c>
      <c r="B482" s="2" t="s">
        <v>28</v>
      </c>
      <c r="C482" s="3" t="s">
        <v>515</v>
      </c>
      <c r="D482" s="5" t="s">
        <v>17</v>
      </c>
    </row>
    <row r="483" spans="1:4" ht="15" x14ac:dyDescent="0.25">
      <c r="A483" s="2">
        <v>536491</v>
      </c>
      <c r="B483" s="2" t="s">
        <v>28</v>
      </c>
      <c r="C483" s="3" t="s">
        <v>516</v>
      </c>
      <c r="D483" s="5" t="s">
        <v>17</v>
      </c>
    </row>
    <row r="484" spans="1:4" ht="15" x14ac:dyDescent="0.25">
      <c r="A484" s="2">
        <v>536492</v>
      </c>
      <c r="B484" s="2" t="s">
        <v>28</v>
      </c>
      <c r="C484" s="3" t="s">
        <v>517</v>
      </c>
      <c r="D484" s="5" t="s">
        <v>17</v>
      </c>
    </row>
    <row r="485" spans="1:4" ht="15" x14ac:dyDescent="0.25">
      <c r="A485" s="2">
        <v>536493</v>
      </c>
      <c r="B485" s="2" t="s">
        <v>28</v>
      </c>
      <c r="C485" s="3" t="s">
        <v>518</v>
      </c>
      <c r="D485" s="5" t="s">
        <v>17</v>
      </c>
    </row>
    <row r="486" spans="1:4" ht="15" x14ac:dyDescent="0.25">
      <c r="A486" s="2">
        <v>536504</v>
      </c>
      <c r="B486" s="2" t="s">
        <v>28</v>
      </c>
      <c r="C486" s="3" t="s">
        <v>519</v>
      </c>
      <c r="D486" s="5" t="s">
        <v>17</v>
      </c>
    </row>
    <row r="487" spans="1:4" ht="15" x14ac:dyDescent="0.25">
      <c r="A487" s="2">
        <v>536505</v>
      </c>
      <c r="B487" s="2" t="s">
        <v>28</v>
      </c>
      <c r="C487" s="3" t="s">
        <v>520</v>
      </c>
      <c r="D487" s="5" t="s">
        <v>17</v>
      </c>
    </row>
    <row r="488" spans="1:4" ht="15" x14ac:dyDescent="0.25">
      <c r="A488" s="2">
        <v>536506</v>
      </c>
      <c r="B488" s="2" t="s">
        <v>28</v>
      </c>
      <c r="C488" s="3" t="s">
        <v>521</v>
      </c>
      <c r="D488" s="5" t="s">
        <v>17</v>
      </c>
    </row>
    <row r="489" spans="1:4" ht="15" x14ac:dyDescent="0.25">
      <c r="A489" s="2">
        <v>536512</v>
      </c>
      <c r="B489" s="2" t="s">
        <v>28</v>
      </c>
      <c r="C489" s="3" t="s">
        <v>522</v>
      </c>
      <c r="D489" s="5" t="s">
        <v>17</v>
      </c>
    </row>
    <row r="490" spans="1:4" ht="15" x14ac:dyDescent="0.25">
      <c r="A490" s="2">
        <v>536513</v>
      </c>
      <c r="B490" s="2" t="s">
        <v>28</v>
      </c>
      <c r="C490" s="3" t="s">
        <v>523</v>
      </c>
      <c r="D490" s="5" t="s">
        <v>17</v>
      </c>
    </row>
    <row r="491" spans="1:4" ht="15" x14ac:dyDescent="0.25">
      <c r="A491" s="2">
        <v>536514</v>
      </c>
      <c r="B491" s="2" t="s">
        <v>28</v>
      </c>
      <c r="C491" s="3" t="s">
        <v>524</v>
      </c>
      <c r="D491" s="5" t="s">
        <v>17</v>
      </c>
    </row>
    <row r="492" spans="1:4" ht="15" x14ac:dyDescent="0.25">
      <c r="A492" s="2">
        <v>536531</v>
      </c>
      <c r="B492" s="2" t="s">
        <v>28</v>
      </c>
      <c r="C492" s="3" t="s">
        <v>525</v>
      </c>
      <c r="D492" s="5" t="s">
        <v>17</v>
      </c>
    </row>
    <row r="493" spans="1:4" ht="15" x14ac:dyDescent="0.25">
      <c r="A493" s="2">
        <v>536539</v>
      </c>
      <c r="B493" s="2" t="s">
        <v>28</v>
      </c>
      <c r="C493" s="3" t="s">
        <v>526</v>
      </c>
      <c r="D493" s="5" t="s">
        <v>17</v>
      </c>
    </row>
    <row r="494" spans="1:4" ht="15" x14ac:dyDescent="0.25">
      <c r="A494" s="2">
        <v>536547</v>
      </c>
      <c r="B494" s="2" t="s">
        <v>28</v>
      </c>
      <c r="C494" s="3" t="s">
        <v>527</v>
      </c>
      <c r="D494" s="5" t="s">
        <v>17</v>
      </c>
    </row>
    <row r="495" spans="1:4" ht="15" x14ac:dyDescent="0.25">
      <c r="A495" s="2">
        <v>536555</v>
      </c>
      <c r="B495" s="2" t="s">
        <v>28</v>
      </c>
      <c r="C495" s="3" t="s">
        <v>528</v>
      </c>
      <c r="D495" s="5" t="s">
        <v>17</v>
      </c>
    </row>
    <row r="496" spans="1:4" ht="15" x14ac:dyDescent="0.25">
      <c r="A496" s="2">
        <v>536580</v>
      </c>
      <c r="B496" s="2" t="s">
        <v>28</v>
      </c>
      <c r="C496" s="3" t="s">
        <v>529</v>
      </c>
      <c r="D496" s="5" t="s">
        <v>17</v>
      </c>
    </row>
    <row r="497" spans="1:4" ht="15" x14ac:dyDescent="0.25">
      <c r="A497" s="2">
        <v>536581</v>
      </c>
      <c r="B497" s="2" t="s">
        <v>28</v>
      </c>
      <c r="C497" s="3" t="s">
        <v>530</v>
      </c>
      <c r="D497" s="5" t="s">
        <v>17</v>
      </c>
    </row>
    <row r="498" spans="1:4" ht="15" x14ac:dyDescent="0.25">
      <c r="A498" s="2">
        <v>536582</v>
      </c>
      <c r="B498" s="2" t="s">
        <v>28</v>
      </c>
      <c r="C498" s="3" t="s">
        <v>531</v>
      </c>
      <c r="D498" s="5" t="s">
        <v>17</v>
      </c>
    </row>
    <row r="499" spans="1:4" ht="15" x14ac:dyDescent="0.25">
      <c r="A499" s="2">
        <v>536598</v>
      </c>
      <c r="B499" s="2" t="s">
        <v>28</v>
      </c>
      <c r="C499" s="3" t="s">
        <v>532</v>
      </c>
      <c r="D499" s="5" t="s">
        <v>17</v>
      </c>
    </row>
    <row r="500" spans="1:4" ht="15" x14ac:dyDescent="0.25">
      <c r="A500" s="2">
        <v>536601</v>
      </c>
      <c r="B500" s="2" t="s">
        <v>28</v>
      </c>
      <c r="C500" s="3" t="s">
        <v>533</v>
      </c>
      <c r="D500" s="5" t="s">
        <v>17</v>
      </c>
    </row>
    <row r="501" spans="1:4" ht="15" x14ac:dyDescent="0.25">
      <c r="A501" s="2">
        <v>536602</v>
      </c>
      <c r="B501" s="2" t="s">
        <v>28</v>
      </c>
      <c r="C501" s="3" t="s">
        <v>534</v>
      </c>
      <c r="D501" s="5" t="s">
        <v>17</v>
      </c>
    </row>
    <row r="502" spans="1:4" ht="15" x14ac:dyDescent="0.25">
      <c r="A502" s="2">
        <v>536610</v>
      </c>
      <c r="B502" s="2" t="s">
        <v>28</v>
      </c>
      <c r="C502" s="3" t="s">
        <v>535</v>
      </c>
      <c r="D502" s="5" t="s">
        <v>17</v>
      </c>
    </row>
    <row r="503" spans="1:4" ht="15" x14ac:dyDescent="0.25">
      <c r="A503" s="2">
        <v>536612</v>
      </c>
      <c r="B503" s="2" t="s">
        <v>28</v>
      </c>
      <c r="C503" s="3" t="s">
        <v>424</v>
      </c>
      <c r="D503" s="5" t="s">
        <v>17</v>
      </c>
    </row>
    <row r="504" spans="1:4" ht="15" x14ac:dyDescent="0.25">
      <c r="A504" s="2">
        <v>536628</v>
      </c>
      <c r="B504" s="2" t="s">
        <v>28</v>
      </c>
      <c r="C504" s="3" t="s">
        <v>536</v>
      </c>
      <c r="D504" s="5" t="s">
        <v>17</v>
      </c>
    </row>
    <row r="505" spans="1:4" ht="15" x14ac:dyDescent="0.25">
      <c r="A505" s="2">
        <v>536636</v>
      </c>
      <c r="B505" s="2" t="s">
        <v>28</v>
      </c>
      <c r="C505" s="3" t="s">
        <v>537</v>
      </c>
      <c r="D505" s="5" t="s">
        <v>17</v>
      </c>
    </row>
    <row r="506" spans="1:4" ht="15" x14ac:dyDescent="0.25">
      <c r="A506" s="2">
        <v>536637</v>
      </c>
      <c r="B506" s="2" t="s">
        <v>28</v>
      </c>
      <c r="C506" s="3" t="s">
        <v>538</v>
      </c>
      <c r="D506" s="5" t="s">
        <v>17</v>
      </c>
    </row>
    <row r="507" spans="1:4" ht="15" x14ac:dyDescent="0.25">
      <c r="A507" s="2">
        <v>536644</v>
      </c>
      <c r="B507" s="2" t="s">
        <v>28</v>
      </c>
      <c r="C507" s="3" t="s">
        <v>539</v>
      </c>
      <c r="D507" s="5" t="s">
        <v>17</v>
      </c>
    </row>
    <row r="508" spans="1:4" ht="15" x14ac:dyDescent="0.25">
      <c r="A508" s="2">
        <v>536652</v>
      </c>
      <c r="B508" s="2" t="s">
        <v>28</v>
      </c>
      <c r="C508" s="3" t="s">
        <v>540</v>
      </c>
      <c r="D508" s="5" t="s">
        <v>17</v>
      </c>
    </row>
    <row r="509" spans="1:4" ht="15" x14ac:dyDescent="0.25">
      <c r="A509" s="2">
        <v>536661</v>
      </c>
      <c r="B509" s="2" t="s">
        <v>28</v>
      </c>
      <c r="C509" s="3" t="s">
        <v>541</v>
      </c>
      <c r="D509" s="5" t="s">
        <v>17</v>
      </c>
    </row>
    <row r="510" spans="1:4" ht="15" x14ac:dyDescent="0.25">
      <c r="A510" s="2">
        <v>536679</v>
      </c>
      <c r="B510" s="2" t="s">
        <v>28</v>
      </c>
      <c r="C510" s="3" t="s">
        <v>542</v>
      </c>
      <c r="D510" s="5" t="s">
        <v>17</v>
      </c>
    </row>
    <row r="511" spans="1:4" ht="15" x14ac:dyDescent="0.25">
      <c r="A511" s="2">
        <v>536687</v>
      </c>
      <c r="B511" s="2" t="s">
        <v>28</v>
      </c>
      <c r="C511" s="3" t="s">
        <v>543</v>
      </c>
      <c r="D511" s="5" t="s">
        <v>17</v>
      </c>
    </row>
    <row r="512" spans="1:4" ht="15" x14ac:dyDescent="0.25">
      <c r="A512" s="2">
        <v>536688</v>
      </c>
      <c r="B512" s="2" t="s">
        <v>28</v>
      </c>
      <c r="C512" s="3" t="s">
        <v>544</v>
      </c>
      <c r="D512" s="5" t="s">
        <v>17</v>
      </c>
    </row>
    <row r="513" spans="1:4" ht="15" x14ac:dyDescent="0.25">
      <c r="A513" s="2">
        <v>536695</v>
      </c>
      <c r="B513" s="2" t="s">
        <v>28</v>
      </c>
      <c r="C513" s="3" t="s">
        <v>545</v>
      </c>
      <c r="D513" s="5" t="s">
        <v>17</v>
      </c>
    </row>
    <row r="514" spans="1:4" ht="15" x14ac:dyDescent="0.25">
      <c r="A514" s="2">
        <v>536696</v>
      </c>
      <c r="B514" s="2" t="s">
        <v>28</v>
      </c>
      <c r="C514" s="3" t="s">
        <v>546</v>
      </c>
      <c r="D514" s="5" t="s">
        <v>17</v>
      </c>
    </row>
    <row r="515" spans="1:4" ht="15" x14ac:dyDescent="0.25">
      <c r="A515" s="2">
        <v>536741</v>
      </c>
      <c r="B515" s="2" t="s">
        <v>28</v>
      </c>
      <c r="C515" s="3" t="s">
        <v>547</v>
      </c>
      <c r="D515" s="5" t="s">
        <v>17</v>
      </c>
    </row>
    <row r="516" spans="1:4" ht="15" x14ac:dyDescent="0.25">
      <c r="A516" s="2">
        <v>536920</v>
      </c>
      <c r="B516" s="2" t="s">
        <v>28</v>
      </c>
      <c r="C516" s="3" t="s">
        <v>548</v>
      </c>
      <c r="D516" s="5" t="s">
        <v>17</v>
      </c>
    </row>
    <row r="517" spans="1:4" ht="15" x14ac:dyDescent="0.25">
      <c r="A517" s="2">
        <v>536946</v>
      </c>
      <c r="B517" s="2" t="s">
        <v>28</v>
      </c>
      <c r="C517" s="3" t="s">
        <v>549</v>
      </c>
      <c r="D517" s="5" t="s">
        <v>17</v>
      </c>
    </row>
    <row r="518" spans="1:4" ht="15" x14ac:dyDescent="0.25">
      <c r="A518" s="2">
        <v>536947</v>
      </c>
      <c r="B518" s="2" t="s">
        <v>28</v>
      </c>
      <c r="C518" s="3" t="s">
        <v>550</v>
      </c>
      <c r="D518" s="5" t="s">
        <v>17</v>
      </c>
    </row>
    <row r="519" spans="1:4" ht="15" x14ac:dyDescent="0.25">
      <c r="A519" s="2">
        <v>536954</v>
      </c>
      <c r="B519" s="2" t="s">
        <v>28</v>
      </c>
      <c r="C519" s="3" t="s">
        <v>551</v>
      </c>
      <c r="D519" s="5" t="s">
        <v>17</v>
      </c>
    </row>
    <row r="520" spans="1:4" ht="15" x14ac:dyDescent="0.25">
      <c r="A520" s="2">
        <v>536955</v>
      </c>
      <c r="B520" s="2" t="s">
        <v>28</v>
      </c>
      <c r="C520" s="3" t="s">
        <v>552</v>
      </c>
      <c r="D520" s="5" t="s">
        <v>17</v>
      </c>
    </row>
    <row r="521" spans="1:4" ht="15" x14ac:dyDescent="0.25">
      <c r="A521" s="2">
        <v>536962</v>
      </c>
      <c r="B521" s="2" t="s">
        <v>28</v>
      </c>
      <c r="C521" s="3" t="s">
        <v>553</v>
      </c>
      <c r="D521" s="5" t="s">
        <v>17</v>
      </c>
    </row>
    <row r="522" spans="1:4" ht="15" x14ac:dyDescent="0.25">
      <c r="A522" s="2">
        <v>536963</v>
      </c>
      <c r="B522" s="2" t="s">
        <v>28</v>
      </c>
      <c r="C522" s="3" t="s">
        <v>554</v>
      </c>
      <c r="D522" s="5" t="s">
        <v>17</v>
      </c>
    </row>
    <row r="523" spans="1:4" ht="15" x14ac:dyDescent="0.25">
      <c r="A523" s="2">
        <v>536971</v>
      </c>
      <c r="B523" s="2" t="s">
        <v>28</v>
      </c>
      <c r="C523" s="3" t="s">
        <v>555</v>
      </c>
      <c r="D523" s="5" t="s">
        <v>17</v>
      </c>
    </row>
    <row r="524" spans="1:4" ht="15" x14ac:dyDescent="0.25">
      <c r="A524" s="2">
        <v>536982</v>
      </c>
      <c r="B524" s="2" t="s">
        <v>28</v>
      </c>
      <c r="C524" s="3" t="s">
        <v>556</v>
      </c>
      <c r="D524" s="5" t="s">
        <v>17</v>
      </c>
    </row>
    <row r="525" spans="1:4" ht="15" x14ac:dyDescent="0.25">
      <c r="A525" s="2">
        <v>536983</v>
      </c>
      <c r="B525" s="2" t="s">
        <v>28</v>
      </c>
      <c r="C525" s="3" t="s">
        <v>557</v>
      </c>
      <c r="D525" s="5" t="s">
        <v>17</v>
      </c>
    </row>
    <row r="526" spans="1:4" ht="15" x14ac:dyDescent="0.25">
      <c r="A526" s="2">
        <v>536984</v>
      </c>
      <c r="B526" s="2" t="s">
        <v>28</v>
      </c>
      <c r="C526" s="3" t="s">
        <v>558</v>
      </c>
      <c r="D526" s="5" t="s">
        <v>17</v>
      </c>
    </row>
    <row r="527" spans="1:4" ht="15" x14ac:dyDescent="0.25">
      <c r="A527" s="2">
        <v>536985</v>
      </c>
      <c r="B527" s="2" t="s">
        <v>28</v>
      </c>
      <c r="C527" s="3" t="s">
        <v>559</v>
      </c>
      <c r="D527" s="5" t="s">
        <v>17</v>
      </c>
    </row>
    <row r="528" spans="1:4" ht="15" x14ac:dyDescent="0.25">
      <c r="A528" s="2">
        <v>536986</v>
      </c>
      <c r="B528" s="2" t="s">
        <v>28</v>
      </c>
      <c r="C528" s="3" t="s">
        <v>560</v>
      </c>
      <c r="D528" s="5" t="s">
        <v>17</v>
      </c>
    </row>
    <row r="529" spans="1:4" ht="15" x14ac:dyDescent="0.25">
      <c r="A529" s="2">
        <v>536987</v>
      </c>
      <c r="B529" s="2" t="s">
        <v>28</v>
      </c>
      <c r="C529" s="3" t="s">
        <v>561</v>
      </c>
      <c r="D529" s="5" t="s">
        <v>17</v>
      </c>
    </row>
    <row r="530" spans="1:4" ht="15" x14ac:dyDescent="0.25">
      <c r="A530" s="2">
        <v>536988</v>
      </c>
      <c r="B530" s="2" t="s">
        <v>28</v>
      </c>
      <c r="C530" s="3" t="s">
        <v>562</v>
      </c>
      <c r="D530" s="5" t="s">
        <v>17</v>
      </c>
    </row>
    <row r="531" spans="1:4" ht="15" x14ac:dyDescent="0.25">
      <c r="A531" s="2">
        <v>536989</v>
      </c>
      <c r="B531" s="2" t="s">
        <v>28</v>
      </c>
      <c r="C531" s="3" t="s">
        <v>563</v>
      </c>
      <c r="D531" s="5" t="s">
        <v>17</v>
      </c>
    </row>
    <row r="532" spans="1:4" ht="15" x14ac:dyDescent="0.25">
      <c r="A532" s="2">
        <v>536995</v>
      </c>
      <c r="B532" s="2" t="s">
        <v>28</v>
      </c>
      <c r="C532" s="3" t="s">
        <v>430</v>
      </c>
      <c r="D532" s="5" t="s">
        <v>17</v>
      </c>
    </row>
    <row r="533" spans="1:4" ht="15" x14ac:dyDescent="0.25">
      <c r="A533" s="2">
        <v>537381</v>
      </c>
      <c r="B533" s="2" t="s">
        <v>28</v>
      </c>
      <c r="C533" s="3" t="s">
        <v>564</v>
      </c>
      <c r="D533" s="5" t="s">
        <v>17</v>
      </c>
    </row>
    <row r="534" spans="1:4" ht="15" x14ac:dyDescent="0.25">
      <c r="A534" s="2">
        <v>538001</v>
      </c>
      <c r="B534" s="2" t="s">
        <v>28</v>
      </c>
      <c r="C534" s="3" t="s">
        <v>565</v>
      </c>
      <c r="D534" s="5" t="s">
        <v>17</v>
      </c>
    </row>
    <row r="535" spans="1:4" ht="15" x14ac:dyDescent="0.25">
      <c r="A535" s="2">
        <v>538108</v>
      </c>
      <c r="B535" s="2" t="s">
        <v>28</v>
      </c>
      <c r="C535" s="3" t="s">
        <v>566</v>
      </c>
      <c r="D535" s="5" t="s">
        <v>17</v>
      </c>
    </row>
    <row r="536" spans="1:4" ht="15" x14ac:dyDescent="0.25">
      <c r="A536" s="2">
        <v>538141</v>
      </c>
      <c r="B536" s="2" t="s">
        <v>28</v>
      </c>
      <c r="C536" s="3" t="s">
        <v>567</v>
      </c>
      <c r="D536" s="5" t="s">
        <v>17</v>
      </c>
    </row>
    <row r="537" spans="1:4" ht="15" x14ac:dyDescent="0.25">
      <c r="A537" s="2">
        <v>539202</v>
      </c>
      <c r="B537" s="2" t="s">
        <v>28</v>
      </c>
      <c r="C537" s="3" t="s">
        <v>568</v>
      </c>
      <c r="D537" s="5" t="s">
        <v>17</v>
      </c>
    </row>
    <row r="538" spans="1:4" ht="15" x14ac:dyDescent="0.25">
      <c r="A538" s="2">
        <v>539203</v>
      </c>
      <c r="B538" s="2" t="s">
        <v>28</v>
      </c>
      <c r="C538" s="3" t="s">
        <v>569</v>
      </c>
      <c r="D538" s="5" t="s">
        <v>17</v>
      </c>
    </row>
    <row r="539" spans="1:4" ht="15" x14ac:dyDescent="0.25">
      <c r="A539" s="2">
        <v>539210</v>
      </c>
      <c r="B539" s="2" t="s">
        <v>28</v>
      </c>
      <c r="C539" s="3" t="s">
        <v>570</v>
      </c>
      <c r="D539" s="5" t="s">
        <v>17</v>
      </c>
    </row>
    <row r="540" spans="1:4" ht="15" x14ac:dyDescent="0.25">
      <c r="A540" s="2">
        <v>539414</v>
      </c>
      <c r="B540" s="2" t="s">
        <v>28</v>
      </c>
      <c r="C540" s="3" t="s">
        <v>571</v>
      </c>
      <c r="D540" s="5" t="s">
        <v>17</v>
      </c>
    </row>
    <row r="541" spans="1:4" ht="15" x14ac:dyDescent="0.25">
      <c r="A541" s="2">
        <v>541613</v>
      </c>
      <c r="B541" s="2" t="s">
        <v>28</v>
      </c>
      <c r="C541" s="3" t="s">
        <v>572</v>
      </c>
      <c r="D541" s="5" t="s">
        <v>17</v>
      </c>
    </row>
    <row r="542" spans="1:4" ht="15" x14ac:dyDescent="0.25">
      <c r="A542" s="2">
        <v>541656</v>
      </c>
      <c r="B542" s="2" t="s">
        <v>28</v>
      </c>
      <c r="C542" s="3" t="s">
        <v>573</v>
      </c>
      <c r="D542" s="5" t="s">
        <v>17</v>
      </c>
    </row>
    <row r="543" spans="1:4" ht="15" x14ac:dyDescent="0.25">
      <c r="A543" s="2">
        <v>542644</v>
      </c>
      <c r="B543" s="2" t="s">
        <v>28</v>
      </c>
      <c r="C543" s="3" t="s">
        <v>574</v>
      </c>
      <c r="D543" s="5" t="s">
        <v>17</v>
      </c>
    </row>
    <row r="544" spans="1:4" ht="15" x14ac:dyDescent="0.25">
      <c r="A544" s="2">
        <v>542733</v>
      </c>
      <c r="B544" s="2" t="s">
        <v>28</v>
      </c>
      <c r="C544" s="3" t="s">
        <v>575</v>
      </c>
      <c r="D544" s="5" t="s">
        <v>17</v>
      </c>
    </row>
    <row r="545" spans="1:4" ht="15" x14ac:dyDescent="0.25">
      <c r="A545" s="2">
        <v>543474</v>
      </c>
      <c r="B545" s="2" t="s">
        <v>28</v>
      </c>
      <c r="C545" s="3" t="s">
        <v>576</v>
      </c>
      <c r="D545" s="5" t="s">
        <v>17</v>
      </c>
    </row>
    <row r="546" spans="1:4" ht="15" x14ac:dyDescent="0.25">
      <c r="A546" s="2">
        <v>544256</v>
      </c>
      <c r="B546" s="2" t="s">
        <v>28</v>
      </c>
      <c r="C546" s="3" t="s">
        <v>577</v>
      </c>
      <c r="D546" s="5" t="s">
        <v>17</v>
      </c>
    </row>
    <row r="547" spans="1:4" ht="15" x14ac:dyDescent="0.25">
      <c r="A547" s="2">
        <v>544264</v>
      </c>
      <c r="B547" s="2" t="s">
        <v>28</v>
      </c>
      <c r="C547" s="3" t="s">
        <v>578</v>
      </c>
      <c r="D547" s="5" t="s">
        <v>17</v>
      </c>
    </row>
    <row r="548" spans="1:4" ht="15" x14ac:dyDescent="0.25">
      <c r="A548" s="2">
        <v>544299</v>
      </c>
      <c r="B548" s="2" t="s">
        <v>28</v>
      </c>
      <c r="C548" s="3" t="s">
        <v>579</v>
      </c>
      <c r="D548" s="5" t="s">
        <v>17</v>
      </c>
    </row>
    <row r="549" spans="1:4" ht="15" x14ac:dyDescent="0.25">
      <c r="A549" s="2">
        <v>544337</v>
      </c>
      <c r="B549" s="2" t="s">
        <v>28</v>
      </c>
      <c r="C549" s="3" t="s">
        <v>580</v>
      </c>
      <c r="D549" s="5" t="s">
        <v>17</v>
      </c>
    </row>
    <row r="550" spans="1:4" ht="15" x14ac:dyDescent="0.25">
      <c r="A550" s="2">
        <v>544485</v>
      </c>
      <c r="B550" s="2" t="s">
        <v>28</v>
      </c>
      <c r="C550" s="3" t="s">
        <v>581</v>
      </c>
      <c r="D550" s="5" t="s">
        <v>17</v>
      </c>
    </row>
    <row r="551" spans="1:4" ht="15" x14ac:dyDescent="0.25">
      <c r="A551" s="2">
        <v>544566</v>
      </c>
      <c r="B551" s="2" t="s">
        <v>28</v>
      </c>
      <c r="C551" s="3" t="s">
        <v>582</v>
      </c>
      <c r="D551" s="5" t="s">
        <v>17</v>
      </c>
    </row>
    <row r="552" spans="1:4" ht="15" x14ac:dyDescent="0.25">
      <c r="A552" s="2">
        <v>544574</v>
      </c>
      <c r="B552" s="2" t="s">
        <v>28</v>
      </c>
      <c r="C552" s="3" t="s">
        <v>583</v>
      </c>
      <c r="D552" s="5" t="s">
        <v>17</v>
      </c>
    </row>
    <row r="553" spans="1:4" ht="15" x14ac:dyDescent="0.25">
      <c r="A553" s="2">
        <v>544612</v>
      </c>
      <c r="B553" s="2" t="s">
        <v>28</v>
      </c>
      <c r="C553" s="3" t="s">
        <v>584</v>
      </c>
      <c r="D553" s="5" t="s">
        <v>17</v>
      </c>
    </row>
    <row r="554" spans="1:4" ht="15" x14ac:dyDescent="0.25">
      <c r="A554" s="2">
        <v>544779</v>
      </c>
      <c r="B554" s="2" t="s">
        <v>28</v>
      </c>
      <c r="C554" s="3" t="s">
        <v>585</v>
      </c>
      <c r="D554" s="5" t="s">
        <v>17</v>
      </c>
    </row>
    <row r="555" spans="1:4" ht="15" x14ac:dyDescent="0.25">
      <c r="A555" s="2">
        <v>544795</v>
      </c>
      <c r="B555" s="2" t="s">
        <v>28</v>
      </c>
      <c r="C555" s="3" t="s">
        <v>586</v>
      </c>
      <c r="D555" s="5" t="s">
        <v>17</v>
      </c>
    </row>
    <row r="556" spans="1:4" ht="15" x14ac:dyDescent="0.25">
      <c r="A556" s="2">
        <v>544817</v>
      </c>
      <c r="B556" s="2" t="s">
        <v>28</v>
      </c>
      <c r="C556" s="3" t="s">
        <v>587</v>
      </c>
      <c r="D556" s="5" t="s">
        <v>17</v>
      </c>
    </row>
    <row r="557" spans="1:4" ht="15" x14ac:dyDescent="0.25">
      <c r="A557" s="2">
        <v>544841</v>
      </c>
      <c r="B557" s="2" t="s">
        <v>28</v>
      </c>
      <c r="C557" s="3" t="s">
        <v>588</v>
      </c>
      <c r="D557" s="5" t="s">
        <v>17</v>
      </c>
    </row>
    <row r="558" spans="1:4" ht="15" x14ac:dyDescent="0.25">
      <c r="A558" s="2">
        <v>545538</v>
      </c>
      <c r="B558" s="2" t="s">
        <v>28</v>
      </c>
      <c r="C558" s="3" t="s">
        <v>589</v>
      </c>
      <c r="D558" s="5" t="s">
        <v>17</v>
      </c>
    </row>
    <row r="559" spans="1:4" ht="15" x14ac:dyDescent="0.25">
      <c r="A559" s="2">
        <v>545546</v>
      </c>
      <c r="B559" s="2" t="s">
        <v>28</v>
      </c>
      <c r="C559" s="3" t="s">
        <v>590</v>
      </c>
      <c r="D559" s="5" t="s">
        <v>17</v>
      </c>
    </row>
    <row r="560" spans="1:4" ht="15" x14ac:dyDescent="0.25">
      <c r="A560" s="2">
        <v>545554</v>
      </c>
      <c r="B560" s="2" t="s">
        <v>28</v>
      </c>
      <c r="C560" s="3" t="s">
        <v>591</v>
      </c>
      <c r="D560" s="5" t="s">
        <v>17</v>
      </c>
    </row>
    <row r="561" spans="1:4" ht="15" x14ac:dyDescent="0.25">
      <c r="A561" s="2">
        <v>545562</v>
      </c>
      <c r="B561" s="2" t="s">
        <v>28</v>
      </c>
      <c r="C561" s="3" t="s">
        <v>592</v>
      </c>
      <c r="D561" s="5" t="s">
        <v>17</v>
      </c>
    </row>
    <row r="562" spans="1:4" ht="15" x14ac:dyDescent="0.25">
      <c r="A562" s="2">
        <v>545571</v>
      </c>
      <c r="B562" s="2" t="s">
        <v>28</v>
      </c>
      <c r="C562" s="3" t="s">
        <v>593</v>
      </c>
      <c r="D562" s="5" t="s">
        <v>17</v>
      </c>
    </row>
    <row r="563" spans="1:4" ht="15" x14ac:dyDescent="0.25">
      <c r="A563" s="2">
        <v>545589</v>
      </c>
      <c r="B563" s="2" t="s">
        <v>28</v>
      </c>
      <c r="C563" s="3" t="s">
        <v>594</v>
      </c>
      <c r="D563" s="5" t="s">
        <v>17</v>
      </c>
    </row>
    <row r="564" spans="1:4" ht="15" x14ac:dyDescent="0.25">
      <c r="A564" s="2">
        <v>545597</v>
      </c>
      <c r="B564" s="2" t="s">
        <v>28</v>
      </c>
      <c r="C564" s="3" t="s">
        <v>595</v>
      </c>
      <c r="D564" s="5" t="s">
        <v>17</v>
      </c>
    </row>
    <row r="565" spans="1:4" ht="15" x14ac:dyDescent="0.25">
      <c r="A565" s="2">
        <v>545635</v>
      </c>
      <c r="B565" s="2" t="s">
        <v>28</v>
      </c>
      <c r="C565" s="3" t="s">
        <v>596</v>
      </c>
      <c r="D565" s="5" t="s">
        <v>17</v>
      </c>
    </row>
    <row r="566" spans="1:4" ht="15" x14ac:dyDescent="0.25">
      <c r="A566" s="2">
        <v>545741</v>
      </c>
      <c r="B566" s="2" t="s">
        <v>28</v>
      </c>
      <c r="C566" s="3" t="s">
        <v>597</v>
      </c>
      <c r="D566" s="5" t="s">
        <v>17</v>
      </c>
    </row>
    <row r="567" spans="1:4" ht="15" x14ac:dyDescent="0.25">
      <c r="A567" s="2">
        <v>545759</v>
      </c>
      <c r="B567" s="2" t="s">
        <v>28</v>
      </c>
      <c r="C567" s="3" t="s">
        <v>598</v>
      </c>
      <c r="D567" s="5" t="s">
        <v>17</v>
      </c>
    </row>
    <row r="568" spans="1:4" ht="15" x14ac:dyDescent="0.25">
      <c r="A568" s="2">
        <v>545783</v>
      </c>
      <c r="B568" s="2" t="s">
        <v>28</v>
      </c>
      <c r="C568" s="3" t="s">
        <v>599</v>
      </c>
      <c r="D568" s="5" t="s">
        <v>17</v>
      </c>
    </row>
    <row r="569" spans="1:4" ht="15" x14ac:dyDescent="0.25">
      <c r="A569" s="2">
        <v>546039</v>
      </c>
      <c r="B569" s="2" t="s">
        <v>28</v>
      </c>
      <c r="C569" s="3" t="s">
        <v>600</v>
      </c>
      <c r="D569" s="5" t="s">
        <v>17</v>
      </c>
    </row>
    <row r="570" spans="1:4" ht="15" x14ac:dyDescent="0.25">
      <c r="A570" s="2">
        <v>546046</v>
      </c>
      <c r="B570" s="2" t="s">
        <v>28</v>
      </c>
      <c r="C570" s="3" t="s">
        <v>601</v>
      </c>
      <c r="D570" s="5" t="s">
        <v>17</v>
      </c>
    </row>
    <row r="571" spans="1:4" ht="15" x14ac:dyDescent="0.25">
      <c r="A571" s="2">
        <v>546054</v>
      </c>
      <c r="B571" s="2" t="s">
        <v>28</v>
      </c>
      <c r="C571" s="3" t="s">
        <v>602</v>
      </c>
      <c r="D571" s="5" t="s">
        <v>17</v>
      </c>
    </row>
    <row r="572" spans="1:4" ht="15" x14ac:dyDescent="0.25">
      <c r="A572" s="2">
        <v>546097</v>
      </c>
      <c r="B572" s="2" t="s">
        <v>28</v>
      </c>
      <c r="C572" s="3" t="s">
        <v>603</v>
      </c>
      <c r="D572" s="5" t="s">
        <v>17</v>
      </c>
    </row>
    <row r="573" spans="1:4" ht="15" x14ac:dyDescent="0.25">
      <c r="A573" s="2">
        <v>546119</v>
      </c>
      <c r="B573" s="2" t="s">
        <v>28</v>
      </c>
      <c r="C573" s="3" t="s">
        <v>604</v>
      </c>
      <c r="D573" s="5" t="s">
        <v>17</v>
      </c>
    </row>
    <row r="574" spans="1:4" ht="15" x14ac:dyDescent="0.25">
      <c r="A574" s="2">
        <v>546143</v>
      </c>
      <c r="B574" s="2" t="s">
        <v>28</v>
      </c>
      <c r="C574" s="3" t="s">
        <v>605</v>
      </c>
      <c r="D574" s="5" t="s">
        <v>17</v>
      </c>
    </row>
    <row r="575" spans="1:4" ht="15" x14ac:dyDescent="0.25">
      <c r="A575" s="2">
        <v>546186</v>
      </c>
      <c r="B575" s="2" t="s">
        <v>28</v>
      </c>
      <c r="C575" s="3" t="s">
        <v>606</v>
      </c>
      <c r="D575" s="5" t="s">
        <v>17</v>
      </c>
    </row>
    <row r="576" spans="1:4" ht="15" x14ac:dyDescent="0.25">
      <c r="A576" s="2">
        <v>546216</v>
      </c>
      <c r="B576" s="2" t="s">
        <v>28</v>
      </c>
      <c r="C576" s="3" t="s">
        <v>607</v>
      </c>
      <c r="D576" s="5" t="s">
        <v>17</v>
      </c>
    </row>
    <row r="577" spans="1:4" ht="15" x14ac:dyDescent="0.25">
      <c r="A577" s="2">
        <v>546224</v>
      </c>
      <c r="B577" s="2" t="s">
        <v>28</v>
      </c>
      <c r="C577" s="3" t="s">
        <v>608</v>
      </c>
      <c r="D577" s="5" t="s">
        <v>17</v>
      </c>
    </row>
    <row r="578" spans="1:4" ht="15" x14ac:dyDescent="0.25">
      <c r="A578" s="2">
        <v>546225</v>
      </c>
      <c r="B578" s="2" t="s">
        <v>28</v>
      </c>
      <c r="C578" s="3" t="s">
        <v>609</v>
      </c>
      <c r="D578" s="5" t="s">
        <v>17</v>
      </c>
    </row>
    <row r="579" spans="1:4" ht="15" x14ac:dyDescent="0.25">
      <c r="A579" s="2">
        <v>546313</v>
      </c>
      <c r="B579" s="2" t="s">
        <v>28</v>
      </c>
      <c r="C579" s="3" t="s">
        <v>610</v>
      </c>
      <c r="D579" s="5" t="s">
        <v>17</v>
      </c>
    </row>
    <row r="580" spans="1:4" ht="15" x14ac:dyDescent="0.25">
      <c r="A580" s="2">
        <v>546330</v>
      </c>
      <c r="B580" s="2" t="s">
        <v>28</v>
      </c>
      <c r="C580" s="3" t="s">
        <v>611</v>
      </c>
      <c r="D580" s="5" t="s">
        <v>17</v>
      </c>
    </row>
    <row r="581" spans="1:4" ht="15" x14ac:dyDescent="0.25">
      <c r="A581" s="2">
        <v>546356</v>
      </c>
      <c r="B581" s="2" t="s">
        <v>28</v>
      </c>
      <c r="C581" s="3" t="s">
        <v>612</v>
      </c>
      <c r="D581" s="5" t="s">
        <v>17</v>
      </c>
    </row>
    <row r="582" spans="1:4" ht="15" x14ac:dyDescent="0.25">
      <c r="A582" s="2">
        <v>546372</v>
      </c>
      <c r="B582" s="2" t="s">
        <v>28</v>
      </c>
      <c r="C582" s="3" t="s">
        <v>613</v>
      </c>
      <c r="D582" s="5" t="s">
        <v>17</v>
      </c>
    </row>
    <row r="583" spans="1:4" ht="15" x14ac:dyDescent="0.25">
      <c r="A583" s="2">
        <v>546399</v>
      </c>
      <c r="B583" s="2" t="s">
        <v>28</v>
      </c>
      <c r="C583" s="3" t="s">
        <v>614</v>
      </c>
      <c r="D583" s="5" t="s">
        <v>17</v>
      </c>
    </row>
    <row r="584" spans="1:4" ht="15" x14ac:dyDescent="0.25">
      <c r="A584" s="2">
        <v>546453</v>
      </c>
      <c r="B584" s="2" t="s">
        <v>28</v>
      </c>
      <c r="C584" s="3" t="s">
        <v>615</v>
      </c>
      <c r="D584" s="5" t="s">
        <v>17</v>
      </c>
    </row>
    <row r="585" spans="1:4" ht="15" x14ac:dyDescent="0.25">
      <c r="A585" s="2">
        <v>546461</v>
      </c>
      <c r="B585" s="2" t="s">
        <v>28</v>
      </c>
      <c r="C585" s="3" t="s">
        <v>616</v>
      </c>
      <c r="D585" s="5" t="s">
        <v>17</v>
      </c>
    </row>
    <row r="586" spans="1:4" ht="15" x14ac:dyDescent="0.25">
      <c r="A586" s="2">
        <v>546470</v>
      </c>
      <c r="B586" s="2" t="s">
        <v>28</v>
      </c>
      <c r="C586" s="3" t="s">
        <v>617</v>
      </c>
      <c r="D586" s="5" t="s">
        <v>17</v>
      </c>
    </row>
    <row r="587" spans="1:4" ht="15" x14ac:dyDescent="0.25">
      <c r="A587" s="2">
        <v>546488</v>
      </c>
      <c r="B587" s="2" t="s">
        <v>28</v>
      </c>
      <c r="C587" s="3" t="s">
        <v>618</v>
      </c>
      <c r="D587" s="5" t="s">
        <v>17</v>
      </c>
    </row>
    <row r="588" spans="1:4" ht="15" x14ac:dyDescent="0.25">
      <c r="A588" s="2">
        <v>546496</v>
      </c>
      <c r="B588" s="2" t="s">
        <v>28</v>
      </c>
      <c r="C588" s="3" t="s">
        <v>619</v>
      </c>
      <c r="D588" s="5" t="s">
        <v>17</v>
      </c>
    </row>
    <row r="589" spans="1:4" ht="15" x14ac:dyDescent="0.25">
      <c r="A589" s="2">
        <v>546500</v>
      </c>
      <c r="B589" s="2" t="s">
        <v>28</v>
      </c>
      <c r="C589" s="3" t="s">
        <v>620</v>
      </c>
      <c r="D589" s="5" t="s">
        <v>17</v>
      </c>
    </row>
    <row r="590" spans="1:4" ht="15" x14ac:dyDescent="0.25">
      <c r="A590" s="2">
        <v>546585</v>
      </c>
      <c r="B590" s="2" t="s">
        <v>28</v>
      </c>
      <c r="C590" s="3" t="s">
        <v>621</v>
      </c>
      <c r="D590" s="5" t="s">
        <v>17</v>
      </c>
    </row>
    <row r="591" spans="1:4" ht="15" x14ac:dyDescent="0.25">
      <c r="A591" s="2">
        <v>546593</v>
      </c>
      <c r="B591" s="2" t="s">
        <v>28</v>
      </c>
      <c r="C591" s="3" t="s">
        <v>622</v>
      </c>
      <c r="D591" s="5" t="s">
        <v>17</v>
      </c>
    </row>
    <row r="592" spans="1:4" ht="15" x14ac:dyDescent="0.25">
      <c r="A592" s="2">
        <v>546607</v>
      </c>
      <c r="B592" s="2" t="s">
        <v>28</v>
      </c>
      <c r="C592" s="3" t="s">
        <v>623</v>
      </c>
      <c r="D592" s="5" t="s">
        <v>17</v>
      </c>
    </row>
    <row r="593" spans="1:4" ht="15" x14ac:dyDescent="0.25">
      <c r="A593" s="2">
        <v>546615</v>
      </c>
      <c r="B593" s="2" t="s">
        <v>28</v>
      </c>
      <c r="C593" s="3" t="s">
        <v>624</v>
      </c>
      <c r="D593" s="5" t="s">
        <v>17</v>
      </c>
    </row>
    <row r="594" spans="1:4" ht="15" x14ac:dyDescent="0.25">
      <c r="A594" s="2">
        <v>546623</v>
      </c>
      <c r="B594" s="2" t="s">
        <v>28</v>
      </c>
      <c r="C594" s="3" t="s">
        <v>625</v>
      </c>
      <c r="D594" s="5" t="s">
        <v>17</v>
      </c>
    </row>
    <row r="595" spans="1:4" ht="15" x14ac:dyDescent="0.25">
      <c r="A595" s="2">
        <v>546631</v>
      </c>
      <c r="B595" s="2" t="s">
        <v>28</v>
      </c>
      <c r="C595" s="3" t="s">
        <v>626</v>
      </c>
      <c r="D595" s="5" t="s">
        <v>17</v>
      </c>
    </row>
    <row r="596" spans="1:4" ht="15" x14ac:dyDescent="0.25">
      <c r="A596" s="2">
        <v>546640</v>
      </c>
      <c r="B596" s="2" t="s">
        <v>28</v>
      </c>
      <c r="C596" s="3" t="s">
        <v>627</v>
      </c>
      <c r="D596" s="5" t="s">
        <v>17</v>
      </c>
    </row>
    <row r="597" spans="1:4" ht="15" x14ac:dyDescent="0.25">
      <c r="A597" s="2">
        <v>546658</v>
      </c>
      <c r="B597" s="2" t="s">
        <v>28</v>
      </c>
      <c r="C597" s="3" t="s">
        <v>628</v>
      </c>
      <c r="D597" s="5" t="s">
        <v>17</v>
      </c>
    </row>
    <row r="598" spans="1:4" ht="15" x14ac:dyDescent="0.25">
      <c r="A598" s="2">
        <v>546666</v>
      </c>
      <c r="B598" s="2" t="s">
        <v>28</v>
      </c>
      <c r="C598" s="3" t="s">
        <v>629</v>
      </c>
      <c r="D598" s="5" t="s">
        <v>17</v>
      </c>
    </row>
    <row r="599" spans="1:4" ht="15" x14ac:dyDescent="0.25">
      <c r="A599" s="2">
        <v>546687</v>
      </c>
      <c r="B599" s="2" t="s">
        <v>28</v>
      </c>
      <c r="C599" s="3" t="s">
        <v>424</v>
      </c>
      <c r="D599" s="5" t="s">
        <v>17</v>
      </c>
    </row>
    <row r="600" spans="1:4" ht="15" x14ac:dyDescent="0.25">
      <c r="A600" s="2">
        <v>546691</v>
      </c>
      <c r="B600" s="2" t="s">
        <v>28</v>
      </c>
      <c r="C600" s="3" t="s">
        <v>630</v>
      </c>
      <c r="D600" s="5" t="s">
        <v>17</v>
      </c>
    </row>
    <row r="601" spans="1:4" ht="15" x14ac:dyDescent="0.25">
      <c r="A601" s="2">
        <v>546704</v>
      </c>
      <c r="B601" s="2" t="s">
        <v>28</v>
      </c>
      <c r="C601" s="3" t="s">
        <v>631</v>
      </c>
      <c r="D601" s="5" t="s">
        <v>17</v>
      </c>
    </row>
    <row r="602" spans="1:4" ht="15" x14ac:dyDescent="0.25">
      <c r="A602" s="2">
        <v>546739</v>
      </c>
      <c r="B602" s="2" t="s">
        <v>28</v>
      </c>
      <c r="C602" s="3" t="s">
        <v>632</v>
      </c>
      <c r="D602" s="5" t="s">
        <v>17</v>
      </c>
    </row>
    <row r="603" spans="1:4" ht="15" x14ac:dyDescent="0.25">
      <c r="A603" s="2">
        <v>546747</v>
      </c>
      <c r="B603" s="2" t="s">
        <v>28</v>
      </c>
      <c r="C603" s="3" t="s">
        <v>633</v>
      </c>
      <c r="D603" s="5" t="s">
        <v>17</v>
      </c>
    </row>
    <row r="604" spans="1:4" ht="15" x14ac:dyDescent="0.25">
      <c r="A604" s="2">
        <v>546771</v>
      </c>
      <c r="B604" s="2" t="s">
        <v>28</v>
      </c>
      <c r="C604" s="3" t="s">
        <v>634</v>
      </c>
      <c r="D604" s="5" t="s">
        <v>17</v>
      </c>
    </row>
    <row r="605" spans="1:4" ht="15" x14ac:dyDescent="0.25">
      <c r="A605" s="2">
        <v>546772</v>
      </c>
      <c r="B605" s="2" t="s">
        <v>28</v>
      </c>
      <c r="C605" s="3" t="s">
        <v>635</v>
      </c>
      <c r="D605" s="5" t="s">
        <v>17</v>
      </c>
    </row>
    <row r="606" spans="1:4" ht="15" x14ac:dyDescent="0.25">
      <c r="A606" s="2">
        <v>546773</v>
      </c>
      <c r="B606" s="2" t="s">
        <v>28</v>
      </c>
      <c r="C606" s="3" t="s">
        <v>636</v>
      </c>
      <c r="D606" s="5" t="s">
        <v>17</v>
      </c>
    </row>
    <row r="607" spans="1:4" ht="15" x14ac:dyDescent="0.25">
      <c r="A607" s="2">
        <v>546774</v>
      </c>
      <c r="B607" s="2" t="s">
        <v>28</v>
      </c>
      <c r="C607" s="3" t="s">
        <v>637</v>
      </c>
      <c r="D607" s="5" t="s">
        <v>17</v>
      </c>
    </row>
    <row r="608" spans="1:4" ht="15" x14ac:dyDescent="0.25">
      <c r="A608" s="2">
        <v>546798</v>
      </c>
      <c r="B608" s="2" t="s">
        <v>28</v>
      </c>
      <c r="C608" s="3" t="s">
        <v>638</v>
      </c>
      <c r="D608" s="5" t="s">
        <v>17</v>
      </c>
    </row>
    <row r="609" spans="1:4" ht="15" x14ac:dyDescent="0.25">
      <c r="A609" s="2">
        <v>546801</v>
      </c>
      <c r="B609" s="2" t="s">
        <v>28</v>
      </c>
      <c r="C609" s="3" t="s">
        <v>639</v>
      </c>
      <c r="D609" s="5" t="s">
        <v>17</v>
      </c>
    </row>
    <row r="610" spans="1:4" ht="15" x14ac:dyDescent="0.25">
      <c r="A610" s="2">
        <v>546810</v>
      </c>
      <c r="B610" s="2" t="s">
        <v>28</v>
      </c>
      <c r="C610" s="3" t="s">
        <v>640</v>
      </c>
      <c r="D610" s="5" t="s">
        <v>17</v>
      </c>
    </row>
    <row r="611" spans="1:4" ht="15" x14ac:dyDescent="0.25">
      <c r="A611" s="2">
        <v>546828</v>
      </c>
      <c r="B611" s="2" t="s">
        <v>28</v>
      </c>
      <c r="C611" s="3" t="s">
        <v>641</v>
      </c>
      <c r="D611" s="5" t="s">
        <v>17</v>
      </c>
    </row>
    <row r="612" spans="1:4" ht="15" x14ac:dyDescent="0.25">
      <c r="A612" s="2">
        <v>546861</v>
      </c>
      <c r="B612" s="2" t="s">
        <v>28</v>
      </c>
      <c r="C612" s="3" t="s">
        <v>642</v>
      </c>
      <c r="D612" s="5" t="s">
        <v>17</v>
      </c>
    </row>
    <row r="613" spans="1:4" ht="15" x14ac:dyDescent="0.25">
      <c r="A613" s="2">
        <v>546879</v>
      </c>
      <c r="B613" s="2" t="s">
        <v>28</v>
      </c>
      <c r="C613" s="3" t="s">
        <v>643</v>
      </c>
      <c r="D613" s="5" t="s">
        <v>17</v>
      </c>
    </row>
    <row r="614" spans="1:4" ht="15" x14ac:dyDescent="0.25">
      <c r="A614" s="2">
        <v>546895</v>
      </c>
      <c r="B614" s="2" t="s">
        <v>28</v>
      </c>
      <c r="C614" s="3" t="s">
        <v>644</v>
      </c>
      <c r="D614" s="5" t="s">
        <v>17</v>
      </c>
    </row>
    <row r="615" spans="1:4" ht="15" x14ac:dyDescent="0.25">
      <c r="A615" s="2">
        <v>546909</v>
      </c>
      <c r="B615" s="2" t="s">
        <v>28</v>
      </c>
      <c r="C615" s="3" t="s">
        <v>645</v>
      </c>
      <c r="D615" s="5" t="s">
        <v>17</v>
      </c>
    </row>
    <row r="616" spans="1:4" ht="15" x14ac:dyDescent="0.25">
      <c r="A616" s="2">
        <v>546917</v>
      </c>
      <c r="B616" s="2" t="s">
        <v>28</v>
      </c>
      <c r="C616" s="3" t="s">
        <v>646</v>
      </c>
      <c r="D616" s="5" t="s">
        <v>17</v>
      </c>
    </row>
    <row r="617" spans="1:4" ht="15" x14ac:dyDescent="0.25">
      <c r="A617" s="2">
        <v>546925</v>
      </c>
      <c r="B617" s="2" t="s">
        <v>28</v>
      </c>
      <c r="C617" s="3" t="s">
        <v>647</v>
      </c>
      <c r="D617" s="5" t="s">
        <v>17</v>
      </c>
    </row>
    <row r="618" spans="1:4" ht="15" x14ac:dyDescent="0.25">
      <c r="A618" s="2">
        <v>546933</v>
      </c>
      <c r="B618" s="2" t="s">
        <v>28</v>
      </c>
      <c r="C618" s="3" t="s">
        <v>648</v>
      </c>
      <c r="D618" s="5" t="s">
        <v>17</v>
      </c>
    </row>
    <row r="619" spans="1:4" ht="15" x14ac:dyDescent="0.25">
      <c r="A619" s="2">
        <v>546941</v>
      </c>
      <c r="B619" s="2" t="s">
        <v>28</v>
      </c>
      <c r="C619" s="3" t="s">
        <v>649</v>
      </c>
      <c r="D619" s="5" t="s">
        <v>17</v>
      </c>
    </row>
    <row r="620" spans="1:4" ht="15" x14ac:dyDescent="0.25">
      <c r="A620" s="2">
        <v>546968</v>
      </c>
      <c r="B620" s="2" t="s">
        <v>28</v>
      </c>
      <c r="C620" s="3" t="s">
        <v>650</v>
      </c>
      <c r="D620" s="5" t="s">
        <v>17</v>
      </c>
    </row>
    <row r="621" spans="1:4" ht="15" x14ac:dyDescent="0.25">
      <c r="A621" s="2">
        <v>546992</v>
      </c>
      <c r="B621" s="2" t="s">
        <v>28</v>
      </c>
      <c r="C621" s="3" t="s">
        <v>651</v>
      </c>
      <c r="D621" s="5" t="s">
        <v>17</v>
      </c>
    </row>
    <row r="622" spans="1:4" ht="15" x14ac:dyDescent="0.25">
      <c r="A622" s="2">
        <v>546993</v>
      </c>
      <c r="B622" s="2" t="s">
        <v>28</v>
      </c>
      <c r="C622" s="3" t="s">
        <v>652</v>
      </c>
      <c r="D622" s="5" t="s">
        <v>17</v>
      </c>
    </row>
    <row r="623" spans="1:4" ht="15" x14ac:dyDescent="0.25">
      <c r="A623" s="2">
        <v>547093</v>
      </c>
      <c r="B623" s="2" t="s">
        <v>28</v>
      </c>
      <c r="C623" s="3" t="s">
        <v>653</v>
      </c>
      <c r="D623" s="5" t="s">
        <v>17</v>
      </c>
    </row>
    <row r="624" spans="1:4" ht="15" x14ac:dyDescent="0.25">
      <c r="A624" s="2">
        <v>547107</v>
      </c>
      <c r="B624" s="2" t="s">
        <v>28</v>
      </c>
      <c r="C624" s="3" t="s">
        <v>654</v>
      </c>
      <c r="D624" s="5" t="s">
        <v>17</v>
      </c>
    </row>
    <row r="625" spans="1:4" ht="15" x14ac:dyDescent="0.25">
      <c r="A625" s="2">
        <v>547115</v>
      </c>
      <c r="B625" s="2" t="s">
        <v>28</v>
      </c>
      <c r="C625" s="3" t="s">
        <v>655</v>
      </c>
      <c r="D625" s="5" t="s">
        <v>17</v>
      </c>
    </row>
    <row r="626" spans="1:4" ht="15" x14ac:dyDescent="0.25">
      <c r="A626" s="2">
        <v>547118</v>
      </c>
      <c r="B626" s="2" t="s">
        <v>28</v>
      </c>
      <c r="C626" s="3" t="s">
        <v>656</v>
      </c>
      <c r="D626" s="5" t="s">
        <v>17</v>
      </c>
    </row>
    <row r="627" spans="1:4" ht="15" x14ac:dyDescent="0.25">
      <c r="A627" s="2">
        <v>547123</v>
      </c>
      <c r="B627" s="2" t="s">
        <v>28</v>
      </c>
      <c r="C627" s="3" t="s">
        <v>657</v>
      </c>
      <c r="D627" s="5" t="s">
        <v>17</v>
      </c>
    </row>
    <row r="628" spans="1:4" ht="15" x14ac:dyDescent="0.25">
      <c r="A628" s="2">
        <v>547131</v>
      </c>
      <c r="B628" s="2" t="s">
        <v>28</v>
      </c>
      <c r="C628" s="3" t="s">
        <v>658</v>
      </c>
      <c r="D628" s="5" t="s">
        <v>17</v>
      </c>
    </row>
    <row r="629" spans="1:4" ht="15" x14ac:dyDescent="0.25">
      <c r="A629" s="2">
        <v>547140</v>
      </c>
      <c r="B629" s="2" t="s">
        <v>28</v>
      </c>
      <c r="C629" s="3" t="s">
        <v>659</v>
      </c>
      <c r="D629" s="5" t="s">
        <v>17</v>
      </c>
    </row>
    <row r="630" spans="1:4" ht="15" x14ac:dyDescent="0.25">
      <c r="A630" s="2">
        <v>547158</v>
      </c>
      <c r="B630" s="2" t="s">
        <v>28</v>
      </c>
      <c r="C630" s="3" t="s">
        <v>660</v>
      </c>
      <c r="D630" s="5" t="s">
        <v>17</v>
      </c>
    </row>
    <row r="631" spans="1:4" ht="15" x14ac:dyDescent="0.25">
      <c r="A631" s="2">
        <v>547221</v>
      </c>
      <c r="B631" s="2" t="s">
        <v>28</v>
      </c>
      <c r="C631" s="3" t="s">
        <v>661</v>
      </c>
      <c r="D631" s="5" t="s">
        <v>17</v>
      </c>
    </row>
    <row r="632" spans="1:4" ht="15" x14ac:dyDescent="0.25">
      <c r="A632" s="2">
        <v>547247</v>
      </c>
      <c r="B632" s="2" t="s">
        <v>28</v>
      </c>
      <c r="C632" s="3" t="s">
        <v>662</v>
      </c>
      <c r="D632" s="5" t="s">
        <v>17</v>
      </c>
    </row>
    <row r="633" spans="1:4" ht="15" x14ac:dyDescent="0.25">
      <c r="A633" s="2">
        <v>547255</v>
      </c>
      <c r="B633" s="2" t="s">
        <v>28</v>
      </c>
      <c r="C633" s="3" t="s">
        <v>663</v>
      </c>
      <c r="D633" s="5" t="s">
        <v>17</v>
      </c>
    </row>
    <row r="634" spans="1:4" ht="15" x14ac:dyDescent="0.25">
      <c r="A634" s="2">
        <v>547271</v>
      </c>
      <c r="B634" s="2" t="s">
        <v>28</v>
      </c>
      <c r="C634" s="3" t="s">
        <v>664</v>
      </c>
      <c r="D634" s="5" t="s">
        <v>17</v>
      </c>
    </row>
    <row r="635" spans="1:4" ht="15" x14ac:dyDescent="0.25">
      <c r="A635" s="2">
        <v>547299</v>
      </c>
      <c r="B635" s="2" t="s">
        <v>28</v>
      </c>
      <c r="C635" s="3" t="s">
        <v>665</v>
      </c>
      <c r="D635" s="5" t="s">
        <v>17</v>
      </c>
    </row>
    <row r="636" spans="1:4" ht="15" x14ac:dyDescent="0.25">
      <c r="A636" s="2">
        <v>547300</v>
      </c>
      <c r="B636" s="2" t="s">
        <v>28</v>
      </c>
      <c r="C636" s="3" t="s">
        <v>666</v>
      </c>
      <c r="D636" s="5" t="s">
        <v>17</v>
      </c>
    </row>
    <row r="637" spans="1:4" ht="15" x14ac:dyDescent="0.25">
      <c r="A637" s="2">
        <v>547301</v>
      </c>
      <c r="B637" s="2" t="s">
        <v>28</v>
      </c>
      <c r="C637" s="3" t="s">
        <v>667</v>
      </c>
      <c r="D637" s="5" t="s">
        <v>17</v>
      </c>
    </row>
    <row r="638" spans="1:4" ht="15" x14ac:dyDescent="0.25">
      <c r="A638" s="2">
        <v>547302</v>
      </c>
      <c r="B638" s="2" t="s">
        <v>28</v>
      </c>
      <c r="C638" s="3" t="s">
        <v>668</v>
      </c>
      <c r="D638" s="5" t="s">
        <v>17</v>
      </c>
    </row>
    <row r="639" spans="1:4" ht="15" x14ac:dyDescent="0.25">
      <c r="A639" s="2">
        <v>547303</v>
      </c>
      <c r="B639" s="2" t="s">
        <v>28</v>
      </c>
      <c r="C639" s="3" t="s">
        <v>669</v>
      </c>
      <c r="D639" s="5" t="s">
        <v>17</v>
      </c>
    </row>
    <row r="640" spans="1:4" ht="15" x14ac:dyDescent="0.25">
      <c r="A640" s="2">
        <v>547304</v>
      </c>
      <c r="B640" s="2" t="s">
        <v>28</v>
      </c>
      <c r="C640" s="3" t="s">
        <v>670</v>
      </c>
      <c r="D640" s="5" t="s">
        <v>17</v>
      </c>
    </row>
    <row r="641" spans="1:4" ht="15" x14ac:dyDescent="0.25">
      <c r="A641" s="2">
        <v>547310</v>
      </c>
      <c r="B641" s="2" t="s">
        <v>28</v>
      </c>
      <c r="C641" s="3" t="s">
        <v>671</v>
      </c>
      <c r="D641" s="5" t="s">
        <v>17</v>
      </c>
    </row>
    <row r="642" spans="1:4" ht="15" x14ac:dyDescent="0.25">
      <c r="A642" s="2">
        <v>547361</v>
      </c>
      <c r="B642" s="2" t="s">
        <v>28</v>
      </c>
      <c r="C642" s="3" t="s">
        <v>672</v>
      </c>
      <c r="D642" s="5" t="s">
        <v>17</v>
      </c>
    </row>
    <row r="643" spans="1:4" ht="15" x14ac:dyDescent="0.25">
      <c r="A643" s="2">
        <v>547379</v>
      </c>
      <c r="B643" s="2" t="s">
        <v>28</v>
      </c>
      <c r="C643" s="3" t="s">
        <v>673</v>
      </c>
      <c r="D643" s="5" t="s">
        <v>17</v>
      </c>
    </row>
    <row r="644" spans="1:4" ht="15" x14ac:dyDescent="0.25">
      <c r="A644" s="2">
        <v>547387</v>
      </c>
      <c r="B644" s="2" t="s">
        <v>28</v>
      </c>
      <c r="C644" s="3" t="s">
        <v>674</v>
      </c>
      <c r="D644" s="5" t="s">
        <v>17</v>
      </c>
    </row>
    <row r="645" spans="1:4" ht="15" x14ac:dyDescent="0.25">
      <c r="A645" s="2">
        <v>547395</v>
      </c>
      <c r="B645" s="2" t="s">
        <v>28</v>
      </c>
      <c r="C645" s="3" t="s">
        <v>675</v>
      </c>
      <c r="D645" s="5" t="s">
        <v>17</v>
      </c>
    </row>
    <row r="646" spans="1:4" ht="15" x14ac:dyDescent="0.25">
      <c r="A646" s="2">
        <v>547409</v>
      </c>
      <c r="B646" s="2" t="s">
        <v>28</v>
      </c>
      <c r="C646" s="3" t="s">
        <v>676</v>
      </c>
      <c r="D646" s="5" t="s">
        <v>17</v>
      </c>
    </row>
    <row r="647" spans="1:4" ht="15" x14ac:dyDescent="0.25">
      <c r="A647" s="2">
        <v>547417</v>
      </c>
      <c r="B647" s="2" t="s">
        <v>28</v>
      </c>
      <c r="C647" s="3" t="s">
        <v>677</v>
      </c>
      <c r="D647" s="5" t="s">
        <v>17</v>
      </c>
    </row>
    <row r="648" spans="1:4" ht="15" x14ac:dyDescent="0.25">
      <c r="A648" s="2">
        <v>547425</v>
      </c>
      <c r="B648" s="2" t="s">
        <v>28</v>
      </c>
      <c r="C648" s="3" t="s">
        <v>678</v>
      </c>
      <c r="D648" s="5" t="s">
        <v>17</v>
      </c>
    </row>
    <row r="649" spans="1:4" ht="15" x14ac:dyDescent="0.25">
      <c r="A649" s="2">
        <v>547433</v>
      </c>
      <c r="B649" s="2" t="s">
        <v>28</v>
      </c>
      <c r="C649" s="3" t="s">
        <v>679</v>
      </c>
      <c r="D649" s="5" t="s">
        <v>17</v>
      </c>
    </row>
    <row r="650" spans="1:4" ht="15" x14ac:dyDescent="0.25">
      <c r="A650" s="2">
        <v>547450</v>
      </c>
      <c r="B650" s="2" t="s">
        <v>28</v>
      </c>
      <c r="C650" s="3" t="s">
        <v>680</v>
      </c>
      <c r="D650" s="5" t="s">
        <v>17</v>
      </c>
    </row>
    <row r="651" spans="1:4" ht="15" x14ac:dyDescent="0.25">
      <c r="A651" s="2">
        <v>547468</v>
      </c>
      <c r="B651" s="2" t="s">
        <v>28</v>
      </c>
      <c r="C651" s="3" t="s">
        <v>681</v>
      </c>
      <c r="D651" s="5" t="s">
        <v>17</v>
      </c>
    </row>
    <row r="652" spans="1:4" ht="15" x14ac:dyDescent="0.25">
      <c r="A652" s="2">
        <v>547476</v>
      </c>
      <c r="B652" s="2" t="s">
        <v>28</v>
      </c>
      <c r="C652" s="3" t="s">
        <v>682</v>
      </c>
      <c r="D652" s="5" t="s">
        <v>17</v>
      </c>
    </row>
    <row r="653" spans="1:4" ht="15" x14ac:dyDescent="0.25">
      <c r="A653" s="2">
        <v>547484</v>
      </c>
      <c r="B653" s="2" t="s">
        <v>28</v>
      </c>
      <c r="C653" s="3" t="s">
        <v>683</v>
      </c>
      <c r="D653" s="5" t="s">
        <v>17</v>
      </c>
    </row>
    <row r="654" spans="1:4" ht="15" x14ac:dyDescent="0.25">
      <c r="A654" s="2">
        <v>547506</v>
      </c>
      <c r="B654" s="2" t="s">
        <v>28</v>
      </c>
      <c r="C654" s="3" t="s">
        <v>684</v>
      </c>
      <c r="D654" s="5" t="s">
        <v>17</v>
      </c>
    </row>
    <row r="655" spans="1:4" ht="15" x14ac:dyDescent="0.25">
      <c r="A655" s="2">
        <v>547531</v>
      </c>
      <c r="B655" s="2" t="s">
        <v>28</v>
      </c>
      <c r="C655" s="3" t="s">
        <v>685</v>
      </c>
      <c r="D655" s="5" t="s">
        <v>17</v>
      </c>
    </row>
    <row r="656" spans="1:4" ht="15" x14ac:dyDescent="0.25">
      <c r="A656" s="2">
        <v>547557</v>
      </c>
      <c r="B656" s="2" t="s">
        <v>28</v>
      </c>
      <c r="C656" s="3" t="s">
        <v>686</v>
      </c>
      <c r="D656" s="5" t="s">
        <v>17</v>
      </c>
    </row>
    <row r="657" spans="1:4" ht="15" x14ac:dyDescent="0.25">
      <c r="A657" s="2">
        <v>547581</v>
      </c>
      <c r="B657" s="2" t="s">
        <v>28</v>
      </c>
      <c r="C657" s="3" t="s">
        <v>687</v>
      </c>
      <c r="D657" s="5" t="s">
        <v>17</v>
      </c>
    </row>
    <row r="658" spans="1:4" ht="15" x14ac:dyDescent="0.25">
      <c r="A658" s="2">
        <v>547760</v>
      </c>
      <c r="B658" s="2" t="s">
        <v>28</v>
      </c>
      <c r="C658" s="3" t="s">
        <v>688</v>
      </c>
      <c r="D658" s="5" t="s">
        <v>17</v>
      </c>
    </row>
    <row r="659" spans="1:4" ht="15" x14ac:dyDescent="0.25">
      <c r="A659" s="2">
        <v>547786</v>
      </c>
      <c r="B659" s="2" t="s">
        <v>28</v>
      </c>
      <c r="C659" s="3" t="s">
        <v>689</v>
      </c>
      <c r="D659" s="5" t="s">
        <v>17</v>
      </c>
    </row>
    <row r="660" spans="1:4" ht="15" x14ac:dyDescent="0.25">
      <c r="A660" s="2">
        <v>547816</v>
      </c>
      <c r="B660" s="2" t="s">
        <v>28</v>
      </c>
      <c r="C660" s="3" t="s">
        <v>690</v>
      </c>
      <c r="D660" s="5" t="s">
        <v>17</v>
      </c>
    </row>
    <row r="661" spans="1:4" ht="15" x14ac:dyDescent="0.25">
      <c r="A661" s="2">
        <v>547824</v>
      </c>
      <c r="B661" s="2" t="s">
        <v>28</v>
      </c>
      <c r="C661" s="3" t="s">
        <v>691</v>
      </c>
      <c r="D661" s="5" t="s">
        <v>17</v>
      </c>
    </row>
    <row r="662" spans="1:4" ht="15" x14ac:dyDescent="0.25">
      <c r="A662" s="2">
        <v>547832</v>
      </c>
      <c r="B662" s="2" t="s">
        <v>28</v>
      </c>
      <c r="C662" s="3" t="s">
        <v>692</v>
      </c>
      <c r="D662" s="5" t="s">
        <v>17</v>
      </c>
    </row>
    <row r="663" spans="1:4" ht="15" x14ac:dyDescent="0.25">
      <c r="A663" s="2">
        <v>547841</v>
      </c>
      <c r="B663" s="2" t="s">
        <v>28</v>
      </c>
      <c r="C663" s="3" t="s">
        <v>693</v>
      </c>
      <c r="D663" s="5" t="s">
        <v>17</v>
      </c>
    </row>
    <row r="664" spans="1:4" ht="15" x14ac:dyDescent="0.25">
      <c r="A664" s="2">
        <v>547905</v>
      </c>
      <c r="B664" s="2" t="s">
        <v>28</v>
      </c>
      <c r="C664" s="3" t="s">
        <v>694</v>
      </c>
      <c r="D664" s="5" t="s">
        <v>17</v>
      </c>
    </row>
    <row r="665" spans="1:4" ht="15" x14ac:dyDescent="0.25">
      <c r="A665" s="2">
        <v>547956</v>
      </c>
      <c r="B665" s="2" t="s">
        <v>28</v>
      </c>
      <c r="C665" s="3" t="s">
        <v>695</v>
      </c>
      <c r="D665" s="5" t="s">
        <v>17</v>
      </c>
    </row>
    <row r="666" spans="1:4" ht="15" x14ac:dyDescent="0.25">
      <c r="A666" s="2">
        <v>547964</v>
      </c>
      <c r="B666" s="2" t="s">
        <v>28</v>
      </c>
      <c r="C666" s="3" t="s">
        <v>696</v>
      </c>
      <c r="D666" s="5" t="s">
        <v>17</v>
      </c>
    </row>
    <row r="667" spans="1:4" ht="15" x14ac:dyDescent="0.25">
      <c r="A667" s="2">
        <v>547972</v>
      </c>
      <c r="B667" s="2" t="s">
        <v>28</v>
      </c>
      <c r="C667" s="3" t="s">
        <v>697</v>
      </c>
      <c r="D667" s="5" t="s">
        <v>17</v>
      </c>
    </row>
    <row r="668" spans="1:4" ht="15" x14ac:dyDescent="0.25">
      <c r="A668" s="2">
        <v>547981</v>
      </c>
      <c r="B668" s="2" t="s">
        <v>28</v>
      </c>
      <c r="C668" s="3" t="s">
        <v>698</v>
      </c>
      <c r="D668" s="5" t="s">
        <v>17</v>
      </c>
    </row>
    <row r="669" spans="1:4" ht="15" x14ac:dyDescent="0.25">
      <c r="A669" s="2">
        <v>551401</v>
      </c>
      <c r="B669" s="2" t="s">
        <v>28</v>
      </c>
      <c r="C669" s="3" t="s">
        <v>699</v>
      </c>
      <c r="D669" s="5" t="s">
        <v>17</v>
      </c>
    </row>
    <row r="670" spans="1:4" ht="15" x14ac:dyDescent="0.25">
      <c r="A670" s="2">
        <v>551406</v>
      </c>
      <c r="B670" s="2" t="s">
        <v>28</v>
      </c>
      <c r="C670" s="3" t="s">
        <v>700</v>
      </c>
      <c r="D670" s="5" t="s">
        <v>17</v>
      </c>
    </row>
    <row r="671" spans="1:4" ht="15" x14ac:dyDescent="0.25">
      <c r="A671" s="2">
        <v>551414</v>
      </c>
      <c r="B671" s="2" t="s">
        <v>28</v>
      </c>
      <c r="C671" s="3" t="s">
        <v>701</v>
      </c>
      <c r="D671" s="5" t="s">
        <v>17</v>
      </c>
    </row>
    <row r="672" spans="1:4" ht="15" x14ac:dyDescent="0.25">
      <c r="A672" s="2">
        <v>551457</v>
      </c>
      <c r="B672" s="2" t="s">
        <v>28</v>
      </c>
      <c r="C672" s="3" t="s">
        <v>702</v>
      </c>
      <c r="D672" s="5" t="s">
        <v>17</v>
      </c>
    </row>
    <row r="673" spans="1:4" ht="15" x14ac:dyDescent="0.25">
      <c r="A673" s="2">
        <v>551465</v>
      </c>
      <c r="B673" s="2" t="s">
        <v>28</v>
      </c>
      <c r="C673" s="3" t="s">
        <v>703</v>
      </c>
      <c r="D673" s="5" t="s">
        <v>17</v>
      </c>
    </row>
    <row r="674" spans="1:4" ht="15" x14ac:dyDescent="0.25">
      <c r="A674" s="2">
        <v>551490</v>
      </c>
      <c r="B674" s="2" t="s">
        <v>28</v>
      </c>
      <c r="C674" s="3" t="s">
        <v>704</v>
      </c>
      <c r="D674" s="5" t="s">
        <v>17</v>
      </c>
    </row>
    <row r="675" spans="1:4" ht="15" x14ac:dyDescent="0.25">
      <c r="A675" s="2">
        <v>551597</v>
      </c>
      <c r="B675" s="2" t="s">
        <v>28</v>
      </c>
      <c r="C675" s="3" t="s">
        <v>705</v>
      </c>
      <c r="D675" s="5" t="s">
        <v>17</v>
      </c>
    </row>
    <row r="676" spans="1:4" ht="15" x14ac:dyDescent="0.25">
      <c r="A676" s="2">
        <v>551605</v>
      </c>
      <c r="B676" s="2" t="s">
        <v>28</v>
      </c>
      <c r="C676" s="3" t="s">
        <v>706</v>
      </c>
      <c r="D676" s="5" t="s">
        <v>17</v>
      </c>
    </row>
    <row r="677" spans="1:4" ht="15" x14ac:dyDescent="0.25">
      <c r="A677" s="2">
        <v>551660</v>
      </c>
      <c r="B677" s="2" t="s">
        <v>28</v>
      </c>
      <c r="C677" s="3" t="s">
        <v>707</v>
      </c>
      <c r="D677" s="5" t="s">
        <v>17</v>
      </c>
    </row>
    <row r="678" spans="1:4" ht="15" x14ac:dyDescent="0.25">
      <c r="A678" s="2">
        <v>552000</v>
      </c>
      <c r="B678" s="2" t="s">
        <v>28</v>
      </c>
      <c r="C678" s="3" t="s">
        <v>708</v>
      </c>
      <c r="D678" s="5" t="s">
        <v>17</v>
      </c>
    </row>
    <row r="679" spans="1:4" ht="15" x14ac:dyDescent="0.25">
      <c r="A679" s="2">
        <v>552001</v>
      </c>
      <c r="B679" s="2" t="s">
        <v>28</v>
      </c>
      <c r="C679" s="3" t="s">
        <v>709</v>
      </c>
      <c r="D679" s="5" t="s">
        <v>17</v>
      </c>
    </row>
    <row r="680" spans="1:4" ht="15" x14ac:dyDescent="0.25">
      <c r="A680" s="2">
        <v>552002</v>
      </c>
      <c r="B680" s="2" t="s">
        <v>28</v>
      </c>
      <c r="C680" s="3" t="s">
        <v>710</v>
      </c>
      <c r="D680" s="5" t="s">
        <v>17</v>
      </c>
    </row>
    <row r="681" spans="1:4" ht="15" x14ac:dyDescent="0.25">
      <c r="A681" s="2">
        <v>552004</v>
      </c>
      <c r="B681" s="2" t="s">
        <v>28</v>
      </c>
      <c r="C681" s="3" t="s">
        <v>711</v>
      </c>
      <c r="D681" s="5" t="s">
        <v>17</v>
      </c>
    </row>
    <row r="682" spans="1:4" ht="15" x14ac:dyDescent="0.25">
      <c r="A682" s="2">
        <v>552005</v>
      </c>
      <c r="B682" s="2" t="s">
        <v>28</v>
      </c>
      <c r="C682" s="3" t="s">
        <v>712</v>
      </c>
      <c r="D682" s="5" t="s">
        <v>17</v>
      </c>
    </row>
    <row r="683" spans="1:4" ht="15" x14ac:dyDescent="0.25">
      <c r="A683" s="2">
        <v>552006</v>
      </c>
      <c r="B683" s="2" t="s">
        <v>28</v>
      </c>
      <c r="C683" s="3" t="s">
        <v>713</v>
      </c>
      <c r="D683" s="5" t="s">
        <v>17</v>
      </c>
    </row>
    <row r="684" spans="1:4" ht="15" x14ac:dyDescent="0.25">
      <c r="A684" s="2">
        <v>552007</v>
      </c>
      <c r="B684" s="2" t="s">
        <v>28</v>
      </c>
      <c r="C684" s="3" t="s">
        <v>714</v>
      </c>
      <c r="D684" s="5" t="s">
        <v>17</v>
      </c>
    </row>
    <row r="685" spans="1:4" ht="15" x14ac:dyDescent="0.25">
      <c r="A685" s="2">
        <v>552008</v>
      </c>
      <c r="B685" s="2" t="s">
        <v>28</v>
      </c>
      <c r="C685" s="3" t="s">
        <v>715</v>
      </c>
      <c r="D685" s="5" t="s">
        <v>17</v>
      </c>
    </row>
    <row r="686" spans="1:4" ht="15" x14ac:dyDescent="0.25">
      <c r="A686" s="2">
        <v>552009</v>
      </c>
      <c r="B686" s="2" t="s">
        <v>28</v>
      </c>
      <c r="C686" s="3" t="s">
        <v>716</v>
      </c>
      <c r="D686" s="5" t="s">
        <v>17</v>
      </c>
    </row>
    <row r="687" spans="1:4" ht="15" x14ac:dyDescent="0.25">
      <c r="A687" s="2">
        <v>552010</v>
      </c>
      <c r="B687" s="2" t="s">
        <v>28</v>
      </c>
      <c r="C687" s="3" t="s">
        <v>717</v>
      </c>
      <c r="D687" s="5" t="s">
        <v>17</v>
      </c>
    </row>
    <row r="688" spans="1:4" ht="15" x14ac:dyDescent="0.25">
      <c r="A688" s="2">
        <v>552011</v>
      </c>
      <c r="B688" s="2" t="s">
        <v>28</v>
      </c>
      <c r="C688" s="3" t="s">
        <v>718</v>
      </c>
      <c r="D688" s="5" t="s">
        <v>17</v>
      </c>
    </row>
    <row r="689" spans="1:4" ht="15" x14ac:dyDescent="0.25">
      <c r="A689" s="2">
        <v>552012</v>
      </c>
      <c r="B689" s="2" t="s">
        <v>28</v>
      </c>
      <c r="C689" s="3" t="s">
        <v>719</v>
      </c>
      <c r="D689" s="5" t="s">
        <v>17</v>
      </c>
    </row>
    <row r="690" spans="1:4" ht="15" x14ac:dyDescent="0.25">
      <c r="A690" s="2">
        <v>552013</v>
      </c>
      <c r="B690" s="2" t="s">
        <v>28</v>
      </c>
      <c r="C690" s="3" t="s">
        <v>720</v>
      </c>
      <c r="D690" s="5" t="s">
        <v>17</v>
      </c>
    </row>
    <row r="691" spans="1:4" ht="15" x14ac:dyDescent="0.25">
      <c r="A691" s="2">
        <v>552014</v>
      </c>
      <c r="B691" s="2" t="s">
        <v>28</v>
      </c>
      <c r="C691" s="3" t="s">
        <v>721</v>
      </c>
      <c r="D691" s="5" t="s">
        <v>17</v>
      </c>
    </row>
    <row r="692" spans="1:4" ht="15" x14ac:dyDescent="0.25">
      <c r="A692" s="2">
        <v>552015</v>
      </c>
      <c r="B692" s="2" t="s">
        <v>28</v>
      </c>
      <c r="C692" s="3" t="s">
        <v>722</v>
      </c>
      <c r="D692" s="5" t="s">
        <v>17</v>
      </c>
    </row>
    <row r="693" spans="1:4" ht="15" x14ac:dyDescent="0.25">
      <c r="A693" s="2">
        <v>552016</v>
      </c>
      <c r="B693" s="2" t="s">
        <v>28</v>
      </c>
      <c r="C693" s="3" t="s">
        <v>723</v>
      </c>
      <c r="D693" s="5" t="s">
        <v>17</v>
      </c>
    </row>
    <row r="694" spans="1:4" ht="15" x14ac:dyDescent="0.25">
      <c r="A694" s="2">
        <v>552017</v>
      </c>
      <c r="B694" s="2" t="s">
        <v>28</v>
      </c>
      <c r="C694" s="3" t="s">
        <v>724</v>
      </c>
      <c r="D694" s="5" t="s">
        <v>17</v>
      </c>
    </row>
    <row r="695" spans="1:4" ht="15" x14ac:dyDescent="0.25">
      <c r="A695" s="2">
        <v>552019</v>
      </c>
      <c r="B695" s="2" t="s">
        <v>28</v>
      </c>
      <c r="C695" s="3" t="s">
        <v>725</v>
      </c>
      <c r="D695" s="5" t="s">
        <v>17</v>
      </c>
    </row>
    <row r="696" spans="1:4" ht="15" x14ac:dyDescent="0.25">
      <c r="A696" s="2">
        <v>552020</v>
      </c>
      <c r="B696" s="2" t="s">
        <v>28</v>
      </c>
      <c r="C696" s="3" t="s">
        <v>726</v>
      </c>
      <c r="D696" s="5" t="s">
        <v>17</v>
      </c>
    </row>
    <row r="697" spans="1:4" ht="15" x14ac:dyDescent="0.25">
      <c r="A697" s="2">
        <v>552021</v>
      </c>
      <c r="B697" s="2" t="s">
        <v>28</v>
      </c>
      <c r="C697" s="3" t="s">
        <v>727</v>
      </c>
      <c r="D697" s="5" t="s">
        <v>17</v>
      </c>
    </row>
    <row r="698" spans="1:4" ht="15" x14ac:dyDescent="0.25">
      <c r="A698" s="2">
        <v>552022</v>
      </c>
      <c r="B698" s="2" t="s">
        <v>28</v>
      </c>
      <c r="C698" s="3" t="s">
        <v>728</v>
      </c>
      <c r="D698" s="5" t="s">
        <v>17</v>
      </c>
    </row>
    <row r="699" spans="1:4" ht="15" x14ac:dyDescent="0.25">
      <c r="A699" s="2">
        <v>552023</v>
      </c>
      <c r="B699" s="2" t="s">
        <v>28</v>
      </c>
      <c r="C699" s="3" t="s">
        <v>729</v>
      </c>
      <c r="D699" s="5" t="s">
        <v>17</v>
      </c>
    </row>
    <row r="700" spans="1:4" ht="15" x14ac:dyDescent="0.25">
      <c r="A700" s="2">
        <v>552024</v>
      </c>
      <c r="B700" s="2" t="s">
        <v>28</v>
      </c>
      <c r="C700" s="3" t="s">
        <v>730</v>
      </c>
      <c r="D700" s="5" t="s">
        <v>17</v>
      </c>
    </row>
    <row r="701" spans="1:4" ht="15" x14ac:dyDescent="0.25">
      <c r="A701" s="2">
        <v>552025</v>
      </c>
      <c r="B701" s="2" t="s">
        <v>28</v>
      </c>
      <c r="C701" s="3" t="s">
        <v>731</v>
      </c>
      <c r="D701" s="5" t="s">
        <v>17</v>
      </c>
    </row>
    <row r="702" spans="1:4" ht="15" x14ac:dyDescent="0.25">
      <c r="A702" s="2">
        <v>552026</v>
      </c>
      <c r="B702" s="2" t="s">
        <v>28</v>
      </c>
      <c r="C702" s="3" t="s">
        <v>732</v>
      </c>
      <c r="D702" s="5" t="s">
        <v>17</v>
      </c>
    </row>
    <row r="703" spans="1:4" ht="15" x14ac:dyDescent="0.25">
      <c r="A703" s="2">
        <v>552027</v>
      </c>
      <c r="B703" s="2" t="s">
        <v>28</v>
      </c>
      <c r="C703" s="3" t="s">
        <v>733</v>
      </c>
      <c r="D703" s="5" t="s">
        <v>17</v>
      </c>
    </row>
    <row r="704" spans="1:4" ht="15" x14ac:dyDescent="0.25">
      <c r="A704" s="2">
        <v>552028</v>
      </c>
      <c r="B704" s="2" t="s">
        <v>28</v>
      </c>
      <c r="C704" s="3" t="s">
        <v>734</v>
      </c>
      <c r="D704" s="5" t="s">
        <v>17</v>
      </c>
    </row>
    <row r="705" spans="1:4" ht="15" x14ac:dyDescent="0.25">
      <c r="A705" s="2">
        <v>552029</v>
      </c>
      <c r="B705" s="2" t="s">
        <v>28</v>
      </c>
      <c r="C705" s="3" t="s">
        <v>735</v>
      </c>
      <c r="D705" s="5" t="s">
        <v>17</v>
      </c>
    </row>
    <row r="706" spans="1:4" ht="15" x14ac:dyDescent="0.25">
      <c r="A706" s="2">
        <v>552030</v>
      </c>
      <c r="B706" s="2" t="s">
        <v>28</v>
      </c>
      <c r="C706" s="3" t="s">
        <v>736</v>
      </c>
      <c r="D706" s="5" t="s">
        <v>17</v>
      </c>
    </row>
    <row r="707" spans="1:4" ht="15" x14ac:dyDescent="0.25">
      <c r="A707" s="2">
        <v>552031</v>
      </c>
      <c r="B707" s="2" t="s">
        <v>28</v>
      </c>
      <c r="C707" s="3" t="s">
        <v>737</v>
      </c>
      <c r="D707" s="5" t="s">
        <v>17</v>
      </c>
    </row>
    <row r="708" spans="1:4" ht="15" x14ac:dyDescent="0.25">
      <c r="A708" s="2">
        <v>552032</v>
      </c>
      <c r="B708" s="2" t="s">
        <v>28</v>
      </c>
      <c r="C708" s="3" t="s">
        <v>738</v>
      </c>
      <c r="D708" s="5" t="s">
        <v>17</v>
      </c>
    </row>
    <row r="709" spans="1:4" ht="15" x14ac:dyDescent="0.25">
      <c r="A709" s="2">
        <v>552033</v>
      </c>
      <c r="B709" s="2" t="s">
        <v>28</v>
      </c>
      <c r="C709" s="3" t="s">
        <v>739</v>
      </c>
      <c r="D709" s="5" t="s">
        <v>17</v>
      </c>
    </row>
    <row r="710" spans="1:4" ht="15" x14ac:dyDescent="0.25">
      <c r="A710" s="2">
        <v>552035</v>
      </c>
      <c r="B710" s="2" t="s">
        <v>28</v>
      </c>
      <c r="C710" s="3" t="s">
        <v>740</v>
      </c>
      <c r="D710" s="5" t="s">
        <v>17</v>
      </c>
    </row>
    <row r="711" spans="1:4" ht="15" x14ac:dyDescent="0.25">
      <c r="A711" s="2">
        <v>552036</v>
      </c>
      <c r="B711" s="2" t="s">
        <v>28</v>
      </c>
      <c r="C711" s="3" t="s">
        <v>741</v>
      </c>
      <c r="D711" s="5" t="s">
        <v>17</v>
      </c>
    </row>
    <row r="712" spans="1:4" ht="15" x14ac:dyDescent="0.25">
      <c r="A712" s="2">
        <v>552037</v>
      </c>
      <c r="B712" s="2" t="s">
        <v>28</v>
      </c>
      <c r="C712" s="3" t="s">
        <v>742</v>
      </c>
      <c r="D712" s="5" t="s">
        <v>17</v>
      </c>
    </row>
    <row r="713" spans="1:4" ht="15" x14ac:dyDescent="0.25">
      <c r="A713" s="2">
        <v>552038</v>
      </c>
      <c r="B713" s="2" t="s">
        <v>28</v>
      </c>
      <c r="C713" s="3" t="s">
        <v>743</v>
      </c>
      <c r="D713" s="5" t="s">
        <v>17</v>
      </c>
    </row>
    <row r="714" spans="1:4" ht="15" x14ac:dyDescent="0.25">
      <c r="A714" s="2">
        <v>552039</v>
      </c>
      <c r="B714" s="2" t="s">
        <v>28</v>
      </c>
      <c r="C714" s="3" t="s">
        <v>744</v>
      </c>
      <c r="D714" s="5" t="s">
        <v>17</v>
      </c>
    </row>
    <row r="715" spans="1:4" ht="15" x14ac:dyDescent="0.25">
      <c r="A715" s="2">
        <v>552040</v>
      </c>
      <c r="B715" s="2" t="s">
        <v>28</v>
      </c>
      <c r="C715" s="3" t="s">
        <v>745</v>
      </c>
      <c r="D715" s="5" t="s">
        <v>17</v>
      </c>
    </row>
    <row r="716" spans="1:4" ht="15" x14ac:dyDescent="0.25">
      <c r="A716" s="2">
        <v>552041</v>
      </c>
      <c r="B716" s="2" t="s">
        <v>28</v>
      </c>
      <c r="C716" s="3" t="s">
        <v>746</v>
      </c>
      <c r="D716" s="5" t="s">
        <v>17</v>
      </c>
    </row>
    <row r="717" spans="1:4" ht="15" x14ac:dyDescent="0.25">
      <c r="A717" s="2">
        <v>552042</v>
      </c>
      <c r="B717" s="2" t="s">
        <v>28</v>
      </c>
      <c r="C717" s="3" t="s">
        <v>747</v>
      </c>
      <c r="D717" s="5" t="s">
        <v>17</v>
      </c>
    </row>
    <row r="718" spans="1:4" ht="15" x14ac:dyDescent="0.25">
      <c r="A718" s="2">
        <v>552043</v>
      </c>
      <c r="B718" s="2" t="s">
        <v>28</v>
      </c>
      <c r="C718" s="3" t="s">
        <v>748</v>
      </c>
      <c r="D718" s="5" t="s">
        <v>17</v>
      </c>
    </row>
    <row r="719" spans="1:4" ht="15" x14ac:dyDescent="0.25">
      <c r="A719" s="2">
        <v>552045</v>
      </c>
      <c r="B719" s="2" t="s">
        <v>28</v>
      </c>
      <c r="C719" s="3" t="s">
        <v>749</v>
      </c>
      <c r="D719" s="5" t="s">
        <v>17</v>
      </c>
    </row>
    <row r="720" spans="1:4" ht="15" x14ac:dyDescent="0.25">
      <c r="A720" s="2">
        <v>552046</v>
      </c>
      <c r="B720" s="2" t="s">
        <v>28</v>
      </c>
      <c r="C720" s="3" t="s">
        <v>750</v>
      </c>
      <c r="D720" s="5" t="s">
        <v>17</v>
      </c>
    </row>
    <row r="721" spans="1:4" ht="15" x14ac:dyDescent="0.25">
      <c r="A721" s="2">
        <v>552047</v>
      </c>
      <c r="B721" s="2" t="s">
        <v>28</v>
      </c>
      <c r="C721" s="3" t="s">
        <v>751</v>
      </c>
      <c r="D721" s="5" t="s">
        <v>17</v>
      </c>
    </row>
    <row r="722" spans="1:4" ht="15" x14ac:dyDescent="0.25">
      <c r="A722" s="2">
        <v>552048</v>
      </c>
      <c r="B722" s="2" t="s">
        <v>28</v>
      </c>
      <c r="C722" s="3" t="s">
        <v>752</v>
      </c>
      <c r="D722" s="5" t="s">
        <v>17</v>
      </c>
    </row>
    <row r="723" spans="1:4" ht="15" x14ac:dyDescent="0.25">
      <c r="A723" s="2">
        <v>552049</v>
      </c>
      <c r="B723" s="2" t="s">
        <v>28</v>
      </c>
      <c r="C723" s="3" t="s">
        <v>753</v>
      </c>
      <c r="D723" s="5" t="s">
        <v>17</v>
      </c>
    </row>
    <row r="724" spans="1:4" ht="15" x14ac:dyDescent="0.25">
      <c r="A724" s="2">
        <v>552050</v>
      </c>
      <c r="B724" s="2" t="s">
        <v>28</v>
      </c>
      <c r="C724" s="3" t="s">
        <v>754</v>
      </c>
      <c r="D724" s="5" t="s">
        <v>17</v>
      </c>
    </row>
    <row r="725" spans="1:4" ht="15" x14ac:dyDescent="0.25">
      <c r="A725" s="2">
        <v>552052</v>
      </c>
      <c r="B725" s="2" t="s">
        <v>28</v>
      </c>
      <c r="C725" s="3" t="s">
        <v>755</v>
      </c>
      <c r="D725" s="5" t="s">
        <v>17</v>
      </c>
    </row>
    <row r="726" spans="1:4" ht="15" x14ac:dyDescent="0.25">
      <c r="A726" s="2">
        <v>552053</v>
      </c>
      <c r="B726" s="2" t="s">
        <v>28</v>
      </c>
      <c r="C726" s="3" t="s">
        <v>756</v>
      </c>
      <c r="D726" s="5" t="s">
        <v>17</v>
      </c>
    </row>
    <row r="727" spans="1:4" ht="15" x14ac:dyDescent="0.25">
      <c r="A727" s="2">
        <v>552054</v>
      </c>
      <c r="B727" s="2" t="s">
        <v>28</v>
      </c>
      <c r="C727" s="3" t="s">
        <v>757</v>
      </c>
      <c r="D727" s="5" t="s">
        <v>17</v>
      </c>
    </row>
    <row r="728" spans="1:4" ht="15" x14ac:dyDescent="0.25">
      <c r="A728" s="2">
        <v>552055</v>
      </c>
      <c r="B728" s="2" t="s">
        <v>28</v>
      </c>
      <c r="C728" s="3" t="s">
        <v>758</v>
      </c>
      <c r="D728" s="5" t="s">
        <v>17</v>
      </c>
    </row>
    <row r="729" spans="1:4" ht="15" x14ac:dyDescent="0.25">
      <c r="A729" s="2">
        <v>552056</v>
      </c>
      <c r="B729" s="2" t="s">
        <v>28</v>
      </c>
      <c r="C729" s="3" t="s">
        <v>759</v>
      </c>
      <c r="D729" s="5" t="s">
        <v>17</v>
      </c>
    </row>
    <row r="730" spans="1:4" ht="15" x14ac:dyDescent="0.25">
      <c r="A730" s="2">
        <v>552057</v>
      </c>
      <c r="B730" s="2" t="s">
        <v>28</v>
      </c>
      <c r="C730" s="3" t="s">
        <v>760</v>
      </c>
      <c r="D730" s="5" t="s">
        <v>17</v>
      </c>
    </row>
    <row r="731" spans="1:4" ht="15" x14ac:dyDescent="0.25">
      <c r="A731" s="2">
        <v>552058</v>
      </c>
      <c r="B731" s="2" t="s">
        <v>28</v>
      </c>
      <c r="C731" s="3" t="s">
        <v>761</v>
      </c>
      <c r="D731" s="5" t="s">
        <v>17</v>
      </c>
    </row>
    <row r="732" spans="1:4" ht="15" x14ac:dyDescent="0.25">
      <c r="A732" s="2">
        <v>552059</v>
      </c>
      <c r="B732" s="2" t="s">
        <v>28</v>
      </c>
      <c r="C732" s="3" t="s">
        <v>762</v>
      </c>
      <c r="D732" s="5" t="s">
        <v>17</v>
      </c>
    </row>
    <row r="733" spans="1:4" ht="15" x14ac:dyDescent="0.25">
      <c r="A733" s="2">
        <v>552060</v>
      </c>
      <c r="B733" s="2" t="s">
        <v>28</v>
      </c>
      <c r="C733" s="3" t="s">
        <v>763</v>
      </c>
      <c r="D733" s="5" t="s">
        <v>17</v>
      </c>
    </row>
    <row r="734" spans="1:4" ht="15" x14ac:dyDescent="0.25">
      <c r="A734" s="2">
        <v>552061</v>
      </c>
      <c r="B734" s="2" t="s">
        <v>28</v>
      </c>
      <c r="C734" s="3" t="s">
        <v>764</v>
      </c>
      <c r="D734" s="5" t="s">
        <v>17</v>
      </c>
    </row>
    <row r="735" spans="1:4" ht="15" x14ac:dyDescent="0.25">
      <c r="A735" s="2">
        <v>552062</v>
      </c>
      <c r="B735" s="2" t="s">
        <v>28</v>
      </c>
      <c r="C735" s="3" t="s">
        <v>765</v>
      </c>
      <c r="D735" s="5" t="s">
        <v>17</v>
      </c>
    </row>
    <row r="736" spans="1:4" ht="15" x14ac:dyDescent="0.25">
      <c r="A736" s="2">
        <v>552063</v>
      </c>
      <c r="B736" s="2" t="s">
        <v>28</v>
      </c>
      <c r="C736" s="3" t="s">
        <v>766</v>
      </c>
      <c r="D736" s="5" t="s">
        <v>17</v>
      </c>
    </row>
    <row r="737" spans="1:4" ht="15" x14ac:dyDescent="0.25">
      <c r="A737" s="2">
        <v>552064</v>
      </c>
      <c r="B737" s="2" t="s">
        <v>28</v>
      </c>
      <c r="C737" s="3" t="s">
        <v>767</v>
      </c>
      <c r="D737" s="5" t="s">
        <v>17</v>
      </c>
    </row>
    <row r="738" spans="1:4" ht="15" x14ac:dyDescent="0.25">
      <c r="A738" s="2">
        <v>552066</v>
      </c>
      <c r="B738" s="2" t="s">
        <v>28</v>
      </c>
      <c r="C738" s="3" t="s">
        <v>768</v>
      </c>
      <c r="D738" s="5" t="s">
        <v>17</v>
      </c>
    </row>
    <row r="739" spans="1:4" ht="15" x14ac:dyDescent="0.25">
      <c r="A739" s="2">
        <v>552067</v>
      </c>
      <c r="B739" s="2" t="s">
        <v>28</v>
      </c>
      <c r="C739" s="3" t="s">
        <v>769</v>
      </c>
      <c r="D739" s="5" t="s">
        <v>17</v>
      </c>
    </row>
    <row r="740" spans="1:4" ht="15" x14ac:dyDescent="0.25">
      <c r="A740" s="2">
        <v>552069</v>
      </c>
      <c r="B740" s="2" t="s">
        <v>28</v>
      </c>
      <c r="C740" s="3" t="s">
        <v>770</v>
      </c>
      <c r="D740" s="5" t="s">
        <v>17</v>
      </c>
    </row>
    <row r="741" spans="1:4" ht="15" x14ac:dyDescent="0.25">
      <c r="A741" s="2">
        <v>552071</v>
      </c>
      <c r="B741" s="2" t="s">
        <v>28</v>
      </c>
      <c r="C741" s="3" t="s">
        <v>771</v>
      </c>
      <c r="D741" s="5" t="s">
        <v>17</v>
      </c>
    </row>
    <row r="742" spans="1:4" ht="15" x14ac:dyDescent="0.25">
      <c r="A742" s="2">
        <v>552072</v>
      </c>
      <c r="B742" s="2" t="s">
        <v>28</v>
      </c>
      <c r="C742" s="3" t="s">
        <v>772</v>
      </c>
      <c r="D742" s="5" t="s">
        <v>17</v>
      </c>
    </row>
    <row r="743" spans="1:4" ht="15" x14ac:dyDescent="0.25">
      <c r="A743" s="2">
        <v>552073</v>
      </c>
      <c r="B743" s="2" t="s">
        <v>28</v>
      </c>
      <c r="C743" s="3" t="s">
        <v>773</v>
      </c>
      <c r="D743" s="5" t="s">
        <v>17</v>
      </c>
    </row>
    <row r="744" spans="1:4" ht="15" x14ac:dyDescent="0.25">
      <c r="A744" s="2">
        <v>552074</v>
      </c>
      <c r="B744" s="2" t="s">
        <v>28</v>
      </c>
      <c r="C744" s="3" t="s">
        <v>774</v>
      </c>
      <c r="D744" s="5" t="s">
        <v>17</v>
      </c>
    </row>
    <row r="745" spans="1:4" ht="15" x14ac:dyDescent="0.25">
      <c r="A745" s="2">
        <v>552077</v>
      </c>
      <c r="B745" s="2" t="s">
        <v>28</v>
      </c>
      <c r="C745" s="3" t="s">
        <v>775</v>
      </c>
      <c r="D745" s="5" t="s">
        <v>17</v>
      </c>
    </row>
    <row r="746" spans="1:4" ht="15" x14ac:dyDescent="0.25">
      <c r="A746" s="2">
        <v>552078</v>
      </c>
      <c r="B746" s="2" t="s">
        <v>28</v>
      </c>
      <c r="C746" s="3" t="s">
        <v>776</v>
      </c>
      <c r="D746" s="5" t="s">
        <v>17</v>
      </c>
    </row>
    <row r="747" spans="1:4" ht="15" x14ac:dyDescent="0.25">
      <c r="A747" s="2">
        <v>552079</v>
      </c>
      <c r="B747" s="2" t="s">
        <v>28</v>
      </c>
      <c r="C747" s="3" t="s">
        <v>777</v>
      </c>
      <c r="D747" s="5" t="s">
        <v>17</v>
      </c>
    </row>
    <row r="748" spans="1:4" ht="15" x14ac:dyDescent="0.25">
      <c r="A748" s="2">
        <v>552080</v>
      </c>
      <c r="B748" s="2" t="s">
        <v>28</v>
      </c>
      <c r="C748" s="3" t="s">
        <v>778</v>
      </c>
      <c r="D748" s="5" t="s">
        <v>17</v>
      </c>
    </row>
    <row r="749" spans="1:4" ht="15" x14ac:dyDescent="0.25">
      <c r="A749" s="2">
        <v>552081</v>
      </c>
      <c r="B749" s="2" t="s">
        <v>28</v>
      </c>
      <c r="C749" s="3" t="s">
        <v>779</v>
      </c>
      <c r="D749" s="5" t="s">
        <v>17</v>
      </c>
    </row>
    <row r="750" spans="1:4" ht="15" x14ac:dyDescent="0.25">
      <c r="A750" s="2">
        <v>552082</v>
      </c>
      <c r="B750" s="2" t="s">
        <v>28</v>
      </c>
      <c r="C750" s="3" t="s">
        <v>780</v>
      </c>
      <c r="D750" s="5" t="s">
        <v>17</v>
      </c>
    </row>
    <row r="751" spans="1:4" ht="15" x14ac:dyDescent="0.25">
      <c r="A751" s="2">
        <v>552083</v>
      </c>
      <c r="B751" s="2" t="s">
        <v>28</v>
      </c>
      <c r="C751" s="3" t="s">
        <v>781</v>
      </c>
      <c r="D751" s="5" t="s">
        <v>17</v>
      </c>
    </row>
    <row r="752" spans="1:4" ht="15" x14ac:dyDescent="0.25">
      <c r="A752" s="2">
        <v>552084</v>
      </c>
      <c r="B752" s="2" t="s">
        <v>28</v>
      </c>
      <c r="C752" s="3" t="s">
        <v>782</v>
      </c>
      <c r="D752" s="5" t="s">
        <v>17</v>
      </c>
    </row>
    <row r="753" spans="1:4" ht="15" x14ac:dyDescent="0.25">
      <c r="A753" s="2">
        <v>552085</v>
      </c>
      <c r="B753" s="2" t="s">
        <v>28</v>
      </c>
      <c r="C753" s="3" t="s">
        <v>783</v>
      </c>
      <c r="D753" s="5" t="s">
        <v>17</v>
      </c>
    </row>
    <row r="754" spans="1:4" ht="15" x14ac:dyDescent="0.25">
      <c r="A754" s="2">
        <v>552086</v>
      </c>
      <c r="B754" s="2" t="s">
        <v>28</v>
      </c>
      <c r="C754" s="3" t="s">
        <v>784</v>
      </c>
      <c r="D754" s="5" t="s">
        <v>17</v>
      </c>
    </row>
    <row r="755" spans="1:4" ht="15" x14ac:dyDescent="0.25">
      <c r="A755" s="2">
        <v>552087</v>
      </c>
      <c r="B755" s="2" t="s">
        <v>28</v>
      </c>
      <c r="C755" s="3" t="s">
        <v>785</v>
      </c>
      <c r="D755" s="5" t="s">
        <v>17</v>
      </c>
    </row>
    <row r="756" spans="1:4" ht="15" x14ac:dyDescent="0.25">
      <c r="A756" s="2">
        <v>552088</v>
      </c>
      <c r="B756" s="2" t="s">
        <v>28</v>
      </c>
      <c r="C756" s="3" t="s">
        <v>786</v>
      </c>
      <c r="D756" s="5" t="s">
        <v>17</v>
      </c>
    </row>
    <row r="757" spans="1:4" ht="15" x14ac:dyDescent="0.25">
      <c r="A757" s="2">
        <v>552089</v>
      </c>
      <c r="B757" s="2" t="s">
        <v>28</v>
      </c>
      <c r="C757" s="3" t="s">
        <v>787</v>
      </c>
      <c r="D757" s="5" t="s">
        <v>17</v>
      </c>
    </row>
    <row r="758" spans="1:4" ht="15" x14ac:dyDescent="0.25">
      <c r="A758" s="2">
        <v>552090</v>
      </c>
      <c r="B758" s="2" t="s">
        <v>28</v>
      </c>
      <c r="C758" s="3" t="s">
        <v>788</v>
      </c>
      <c r="D758" s="5" t="s">
        <v>17</v>
      </c>
    </row>
    <row r="759" spans="1:4" ht="15" x14ac:dyDescent="0.25">
      <c r="A759" s="2">
        <v>552091</v>
      </c>
      <c r="B759" s="2" t="s">
        <v>28</v>
      </c>
      <c r="C759" s="3" t="s">
        <v>789</v>
      </c>
      <c r="D759" s="5" t="s">
        <v>17</v>
      </c>
    </row>
    <row r="760" spans="1:4" ht="15" x14ac:dyDescent="0.25">
      <c r="A760" s="2">
        <v>552093</v>
      </c>
      <c r="B760" s="2" t="s">
        <v>28</v>
      </c>
      <c r="C760" s="3" t="s">
        <v>790</v>
      </c>
      <c r="D760" s="5" t="s">
        <v>17</v>
      </c>
    </row>
    <row r="761" spans="1:4" ht="15" x14ac:dyDescent="0.25">
      <c r="A761" s="2">
        <v>552094</v>
      </c>
      <c r="B761" s="2" t="s">
        <v>28</v>
      </c>
      <c r="C761" s="3" t="s">
        <v>791</v>
      </c>
      <c r="D761" s="5" t="s">
        <v>17</v>
      </c>
    </row>
    <row r="762" spans="1:4" ht="15" x14ac:dyDescent="0.25">
      <c r="A762" s="2">
        <v>552095</v>
      </c>
      <c r="B762" s="2" t="s">
        <v>28</v>
      </c>
      <c r="C762" s="3" t="s">
        <v>792</v>
      </c>
      <c r="D762" s="5" t="s">
        <v>17</v>
      </c>
    </row>
    <row r="763" spans="1:4" ht="15" x14ac:dyDescent="0.25">
      <c r="A763" s="2">
        <v>552096</v>
      </c>
      <c r="B763" s="2" t="s">
        <v>28</v>
      </c>
      <c r="C763" s="3" t="s">
        <v>793</v>
      </c>
      <c r="D763" s="5" t="s">
        <v>17</v>
      </c>
    </row>
    <row r="764" spans="1:4" ht="15" x14ac:dyDescent="0.25">
      <c r="A764" s="2">
        <v>552097</v>
      </c>
      <c r="B764" s="2" t="s">
        <v>28</v>
      </c>
      <c r="C764" s="3" t="s">
        <v>794</v>
      </c>
      <c r="D764" s="5" t="s">
        <v>17</v>
      </c>
    </row>
    <row r="765" spans="1:4" ht="15" x14ac:dyDescent="0.25">
      <c r="A765" s="2">
        <v>552098</v>
      </c>
      <c r="B765" s="2" t="s">
        <v>28</v>
      </c>
      <c r="C765" s="3" t="s">
        <v>795</v>
      </c>
      <c r="D765" s="5" t="s">
        <v>17</v>
      </c>
    </row>
    <row r="766" spans="1:4" ht="15" x14ac:dyDescent="0.25">
      <c r="A766" s="2">
        <v>552099</v>
      </c>
      <c r="B766" s="2" t="s">
        <v>28</v>
      </c>
      <c r="C766" s="3" t="s">
        <v>796</v>
      </c>
      <c r="D766" s="5" t="s">
        <v>17</v>
      </c>
    </row>
    <row r="767" spans="1:4" ht="15" x14ac:dyDescent="0.25">
      <c r="A767" s="2">
        <v>552101</v>
      </c>
      <c r="B767" s="2" t="s">
        <v>28</v>
      </c>
      <c r="C767" s="3" t="s">
        <v>797</v>
      </c>
      <c r="D767" s="5" t="s">
        <v>17</v>
      </c>
    </row>
    <row r="768" spans="1:4" ht="15" x14ac:dyDescent="0.25">
      <c r="A768" s="2">
        <v>570109</v>
      </c>
      <c r="B768" s="2" t="s">
        <v>28</v>
      </c>
      <c r="C768" s="3" t="s">
        <v>798</v>
      </c>
      <c r="D768" s="5" t="s">
        <v>17</v>
      </c>
    </row>
    <row r="769" spans="1:4" ht="15" x14ac:dyDescent="0.25">
      <c r="A769" s="2">
        <v>570206</v>
      </c>
      <c r="B769" s="2" t="s">
        <v>28</v>
      </c>
      <c r="C769" s="3" t="s">
        <v>799</v>
      </c>
      <c r="D769" s="5" t="s">
        <v>17</v>
      </c>
    </row>
    <row r="770" spans="1:4" ht="15" x14ac:dyDescent="0.25">
      <c r="A770" s="2">
        <v>570516</v>
      </c>
      <c r="B770" s="2" t="s">
        <v>28</v>
      </c>
      <c r="C770" s="3" t="s">
        <v>800</v>
      </c>
      <c r="D770" s="5" t="s">
        <v>17</v>
      </c>
    </row>
    <row r="771" spans="1:4" ht="15" x14ac:dyDescent="0.25">
      <c r="A771" s="2">
        <v>571920</v>
      </c>
      <c r="B771" s="2" t="s">
        <v>28</v>
      </c>
      <c r="C771" s="3" t="s">
        <v>801</v>
      </c>
      <c r="D771" s="5" t="s">
        <v>17</v>
      </c>
    </row>
    <row r="772" spans="1:4" ht="15" x14ac:dyDescent="0.25">
      <c r="A772" s="2">
        <v>571938</v>
      </c>
      <c r="B772" s="2" t="s">
        <v>28</v>
      </c>
      <c r="C772" s="3" t="s">
        <v>802</v>
      </c>
      <c r="D772" s="5" t="s">
        <v>17</v>
      </c>
    </row>
    <row r="773" spans="1:4" ht="15" x14ac:dyDescent="0.25">
      <c r="A773" s="2">
        <v>600423</v>
      </c>
      <c r="B773" s="2" t="s">
        <v>28</v>
      </c>
      <c r="C773" s="3" t="s">
        <v>803</v>
      </c>
      <c r="D773" s="5" t="s">
        <v>17</v>
      </c>
    </row>
    <row r="774" spans="1:4" ht="15" x14ac:dyDescent="0.25">
      <c r="A774" s="2">
        <v>601012</v>
      </c>
      <c r="B774" s="2" t="s">
        <v>28</v>
      </c>
      <c r="C774" s="3" t="s">
        <v>804</v>
      </c>
      <c r="D774" s="5" t="s">
        <v>17</v>
      </c>
    </row>
    <row r="775" spans="1:4" ht="15" x14ac:dyDescent="0.25">
      <c r="A775" s="2">
        <v>601101</v>
      </c>
      <c r="B775" s="2" t="s">
        <v>28</v>
      </c>
      <c r="C775" s="3" t="s">
        <v>805</v>
      </c>
      <c r="D775" s="5" t="s">
        <v>17</v>
      </c>
    </row>
    <row r="776" spans="1:4" ht="15" x14ac:dyDescent="0.25">
      <c r="A776" s="2">
        <v>601110</v>
      </c>
      <c r="B776" s="2" t="s">
        <v>28</v>
      </c>
      <c r="C776" s="3" t="s">
        <v>806</v>
      </c>
      <c r="D776" s="5" t="s">
        <v>17</v>
      </c>
    </row>
    <row r="777" spans="1:4" ht="15" x14ac:dyDescent="0.25">
      <c r="A777" s="2">
        <v>601853</v>
      </c>
      <c r="B777" s="2" t="s">
        <v>28</v>
      </c>
      <c r="C777" s="3" t="s">
        <v>807</v>
      </c>
      <c r="D777" s="5" t="s">
        <v>17</v>
      </c>
    </row>
    <row r="778" spans="1:4" ht="15" x14ac:dyDescent="0.25">
      <c r="A778" s="2">
        <v>602442</v>
      </c>
      <c r="B778" s="2" t="s">
        <v>28</v>
      </c>
      <c r="C778" s="3" t="s">
        <v>808</v>
      </c>
      <c r="D778" s="5" t="s">
        <v>17</v>
      </c>
    </row>
    <row r="779" spans="1:4" ht="15" x14ac:dyDescent="0.25">
      <c r="A779" s="2">
        <v>602451</v>
      </c>
      <c r="B779" s="2" t="s">
        <v>28</v>
      </c>
      <c r="C779" s="3" t="s">
        <v>809</v>
      </c>
      <c r="D779" s="5" t="s">
        <v>17</v>
      </c>
    </row>
    <row r="780" spans="1:4" ht="15" x14ac:dyDescent="0.25">
      <c r="A780" s="2">
        <v>602710</v>
      </c>
      <c r="B780" s="2" t="s">
        <v>28</v>
      </c>
      <c r="C780" s="3" t="s">
        <v>810</v>
      </c>
      <c r="D780" s="5" t="s">
        <v>17</v>
      </c>
    </row>
    <row r="781" spans="1:4" ht="15" x14ac:dyDescent="0.25">
      <c r="A781" s="2">
        <v>602906</v>
      </c>
      <c r="B781" s="2" t="s">
        <v>28</v>
      </c>
      <c r="C781" s="3" t="s">
        <v>811</v>
      </c>
      <c r="D781" s="5" t="s">
        <v>17</v>
      </c>
    </row>
    <row r="782" spans="1:4" ht="15" x14ac:dyDescent="0.25">
      <c r="A782" s="2">
        <v>603007</v>
      </c>
      <c r="B782" s="2" t="s">
        <v>28</v>
      </c>
      <c r="C782" s="3" t="s">
        <v>812</v>
      </c>
      <c r="D782" s="5" t="s">
        <v>17</v>
      </c>
    </row>
    <row r="783" spans="1:4" ht="15" x14ac:dyDescent="0.25">
      <c r="A783" s="2">
        <v>603031</v>
      </c>
      <c r="B783" s="2" t="s">
        <v>28</v>
      </c>
      <c r="C783" s="3" t="s">
        <v>813</v>
      </c>
      <c r="D783" s="5" t="s">
        <v>17</v>
      </c>
    </row>
    <row r="784" spans="1:4" ht="15" x14ac:dyDescent="0.25">
      <c r="A784" s="2">
        <v>603228</v>
      </c>
      <c r="B784" s="2" t="s">
        <v>28</v>
      </c>
      <c r="C784" s="3" t="s">
        <v>814</v>
      </c>
      <c r="D784" s="5" t="s">
        <v>17</v>
      </c>
    </row>
    <row r="785" spans="1:4" ht="15" x14ac:dyDescent="0.25">
      <c r="A785" s="2">
        <v>603236</v>
      </c>
      <c r="B785" s="2" t="s">
        <v>28</v>
      </c>
      <c r="C785" s="3" t="s">
        <v>815</v>
      </c>
      <c r="D785" s="5" t="s">
        <v>17</v>
      </c>
    </row>
    <row r="786" spans="1:4" ht="15" x14ac:dyDescent="0.25">
      <c r="A786" s="2">
        <v>603350</v>
      </c>
      <c r="B786" s="2" t="s">
        <v>28</v>
      </c>
      <c r="C786" s="3" t="s">
        <v>816</v>
      </c>
      <c r="D786" s="5" t="s">
        <v>17</v>
      </c>
    </row>
    <row r="787" spans="1:4" ht="15" x14ac:dyDescent="0.25">
      <c r="A787" s="2">
        <v>603422</v>
      </c>
      <c r="B787" s="2" t="s">
        <v>28</v>
      </c>
      <c r="C787" s="3" t="s">
        <v>817</v>
      </c>
      <c r="D787" s="5" t="s">
        <v>17</v>
      </c>
    </row>
    <row r="788" spans="1:4" ht="15" x14ac:dyDescent="0.25">
      <c r="A788" s="2">
        <v>603431</v>
      </c>
      <c r="B788" s="2" t="s">
        <v>28</v>
      </c>
      <c r="C788" s="3" t="s">
        <v>818</v>
      </c>
      <c r="D788" s="5" t="s">
        <v>17</v>
      </c>
    </row>
    <row r="789" spans="1:4" ht="15" x14ac:dyDescent="0.25">
      <c r="A789" s="2">
        <v>603449</v>
      </c>
      <c r="B789" s="2" t="s">
        <v>28</v>
      </c>
      <c r="C789" s="3" t="s">
        <v>819</v>
      </c>
      <c r="D789" s="5" t="s">
        <v>17</v>
      </c>
    </row>
    <row r="790" spans="1:4" ht="15" x14ac:dyDescent="0.25">
      <c r="A790" s="2">
        <v>603490</v>
      </c>
      <c r="B790" s="2" t="s">
        <v>28</v>
      </c>
      <c r="C790" s="3" t="s">
        <v>820</v>
      </c>
      <c r="D790" s="5" t="s">
        <v>17</v>
      </c>
    </row>
    <row r="791" spans="1:4" ht="15" x14ac:dyDescent="0.25">
      <c r="A791" s="2">
        <v>603503</v>
      </c>
      <c r="B791" s="2" t="s">
        <v>28</v>
      </c>
      <c r="C791" s="3" t="s">
        <v>821</v>
      </c>
      <c r="D791" s="5" t="s">
        <v>17</v>
      </c>
    </row>
    <row r="792" spans="1:4" ht="15" x14ac:dyDescent="0.25">
      <c r="A792" s="2">
        <v>603571</v>
      </c>
      <c r="B792" s="2" t="s">
        <v>28</v>
      </c>
      <c r="C792" s="3" t="s">
        <v>822</v>
      </c>
      <c r="D792" s="5" t="s">
        <v>17</v>
      </c>
    </row>
    <row r="793" spans="1:4" ht="15" x14ac:dyDescent="0.25">
      <c r="A793" s="2">
        <v>603589</v>
      </c>
      <c r="B793" s="2" t="s">
        <v>28</v>
      </c>
      <c r="C793" s="3" t="s">
        <v>823</v>
      </c>
      <c r="D793" s="5" t="s">
        <v>17</v>
      </c>
    </row>
    <row r="794" spans="1:4" ht="15" x14ac:dyDescent="0.25">
      <c r="A794" s="2">
        <v>603601</v>
      </c>
      <c r="B794" s="2" t="s">
        <v>28</v>
      </c>
      <c r="C794" s="3" t="s">
        <v>824</v>
      </c>
      <c r="D794" s="5" t="s">
        <v>17</v>
      </c>
    </row>
    <row r="795" spans="1:4" ht="15" x14ac:dyDescent="0.25">
      <c r="A795" s="2">
        <v>603619</v>
      </c>
      <c r="B795" s="2" t="s">
        <v>28</v>
      </c>
      <c r="C795" s="3" t="s">
        <v>825</v>
      </c>
      <c r="D795" s="5" t="s">
        <v>17</v>
      </c>
    </row>
    <row r="796" spans="1:4" ht="15" x14ac:dyDescent="0.25">
      <c r="A796" s="2">
        <v>730025</v>
      </c>
      <c r="B796" s="2" t="s">
        <v>28</v>
      </c>
      <c r="C796" s="3" t="s">
        <v>826</v>
      </c>
      <c r="D796" s="5" t="s">
        <v>17</v>
      </c>
    </row>
    <row r="797" spans="1:4" ht="15" x14ac:dyDescent="0.25">
      <c r="A797" s="2">
        <v>740012</v>
      </c>
      <c r="B797" s="2" t="s">
        <v>28</v>
      </c>
      <c r="C797" s="3" t="s">
        <v>827</v>
      </c>
      <c r="D797" s="5" t="s">
        <v>17</v>
      </c>
    </row>
    <row r="798" spans="1:4" ht="15" x14ac:dyDescent="0.25">
      <c r="A798" s="2">
        <v>751883</v>
      </c>
      <c r="B798" s="2" t="s">
        <v>28</v>
      </c>
      <c r="C798" s="3" t="s">
        <v>828</v>
      </c>
      <c r="D798" s="5" t="s">
        <v>17</v>
      </c>
    </row>
    <row r="799" spans="1:4" ht="15" x14ac:dyDescent="0.25">
      <c r="A799" s="2">
        <v>820024</v>
      </c>
      <c r="B799" s="2" t="s">
        <v>28</v>
      </c>
      <c r="C799" s="3" t="s">
        <v>829</v>
      </c>
      <c r="D799" s="5" t="s">
        <v>17</v>
      </c>
    </row>
    <row r="800" spans="1:4" ht="15" x14ac:dyDescent="0.25">
      <c r="A800" s="2">
        <v>820032</v>
      </c>
      <c r="B800" s="2" t="s">
        <v>28</v>
      </c>
      <c r="C800" s="3" t="s">
        <v>830</v>
      </c>
      <c r="D800" s="5" t="s">
        <v>17</v>
      </c>
    </row>
    <row r="801" spans="1:4" ht="15" x14ac:dyDescent="0.25">
      <c r="A801" s="2">
        <v>820059</v>
      </c>
      <c r="B801" s="2" t="s">
        <v>28</v>
      </c>
      <c r="C801" s="3" t="s">
        <v>831</v>
      </c>
      <c r="D801" s="5" t="s">
        <v>17</v>
      </c>
    </row>
    <row r="802" spans="1:4" ht="15" x14ac:dyDescent="0.25">
      <c r="A802" s="2">
        <v>820067</v>
      </c>
      <c r="B802" s="2" t="s">
        <v>28</v>
      </c>
      <c r="C802" s="3" t="s">
        <v>832</v>
      </c>
      <c r="D802" s="5" t="s">
        <v>17</v>
      </c>
    </row>
    <row r="803" spans="1:4" ht="15" x14ac:dyDescent="0.25">
      <c r="A803" s="2">
        <v>820075</v>
      </c>
      <c r="B803" s="2" t="s">
        <v>28</v>
      </c>
      <c r="C803" s="3" t="s">
        <v>833</v>
      </c>
      <c r="D803" s="5" t="s">
        <v>17</v>
      </c>
    </row>
    <row r="804" spans="1:4" ht="15" x14ac:dyDescent="0.25">
      <c r="A804" s="2">
        <v>820113</v>
      </c>
      <c r="B804" s="2" t="s">
        <v>28</v>
      </c>
      <c r="C804" s="3" t="s">
        <v>834</v>
      </c>
      <c r="D804" s="5" t="s">
        <v>17</v>
      </c>
    </row>
    <row r="805" spans="1:4" ht="15" x14ac:dyDescent="0.25">
      <c r="A805" s="2">
        <v>820121</v>
      </c>
      <c r="B805" s="2" t="s">
        <v>28</v>
      </c>
      <c r="C805" s="3" t="s">
        <v>835</v>
      </c>
      <c r="D805" s="5" t="s">
        <v>17</v>
      </c>
    </row>
    <row r="806" spans="1:4" ht="15" x14ac:dyDescent="0.25">
      <c r="A806" s="2">
        <v>820130</v>
      </c>
      <c r="B806" s="2" t="s">
        <v>28</v>
      </c>
      <c r="C806" s="3" t="s">
        <v>836</v>
      </c>
      <c r="D806" s="5" t="s">
        <v>17</v>
      </c>
    </row>
    <row r="807" spans="1:4" ht="15" x14ac:dyDescent="0.25">
      <c r="A807" s="2">
        <v>820148</v>
      </c>
      <c r="B807" s="2" t="s">
        <v>28</v>
      </c>
      <c r="C807" s="3" t="s">
        <v>837</v>
      </c>
      <c r="D807" s="5" t="s">
        <v>17</v>
      </c>
    </row>
    <row r="808" spans="1:4" ht="15" x14ac:dyDescent="0.25">
      <c r="A808" s="2">
        <v>820156</v>
      </c>
      <c r="B808" s="2" t="s">
        <v>28</v>
      </c>
      <c r="C808" s="3" t="s">
        <v>838</v>
      </c>
      <c r="D808" s="5" t="s">
        <v>17</v>
      </c>
    </row>
    <row r="809" spans="1:4" ht="15" x14ac:dyDescent="0.25">
      <c r="A809" s="2">
        <v>820164</v>
      </c>
      <c r="B809" s="2" t="s">
        <v>28</v>
      </c>
      <c r="C809" s="3" t="s">
        <v>839</v>
      </c>
      <c r="D809" s="5" t="s">
        <v>17</v>
      </c>
    </row>
    <row r="810" spans="1:4" ht="15" x14ac:dyDescent="0.25">
      <c r="A810" s="2">
        <v>820172</v>
      </c>
      <c r="B810" s="2" t="s">
        <v>28</v>
      </c>
      <c r="C810" s="3" t="s">
        <v>840</v>
      </c>
      <c r="D810" s="5" t="s">
        <v>17</v>
      </c>
    </row>
    <row r="811" spans="1:4" ht="15" x14ac:dyDescent="0.25">
      <c r="A811" s="2">
        <v>834321</v>
      </c>
      <c r="B811" s="2" t="s">
        <v>28</v>
      </c>
      <c r="C811" s="3" t="s">
        <v>841</v>
      </c>
      <c r="D811" s="5" t="s">
        <v>17</v>
      </c>
    </row>
    <row r="812" spans="1:4" ht="15" x14ac:dyDescent="0.25">
      <c r="A812" s="2">
        <v>999997</v>
      </c>
      <c r="B812" s="2" t="s">
        <v>28</v>
      </c>
      <c r="C812" s="3" t="s">
        <v>842</v>
      </c>
      <c r="D812" s="5" t="s">
        <v>17</v>
      </c>
    </row>
    <row r="813" spans="1:4" ht="15" x14ac:dyDescent="0.25">
      <c r="A813" s="2">
        <v>999998</v>
      </c>
      <c r="B813" s="2" t="s">
        <v>28</v>
      </c>
      <c r="C813" s="3" t="s">
        <v>843</v>
      </c>
      <c r="D813" s="5" t="s">
        <v>17</v>
      </c>
    </row>
    <row r="814" spans="1:4" ht="15" x14ac:dyDescent="0.25">
      <c r="A814" s="2">
        <v>999999</v>
      </c>
      <c r="B814" s="2" t="s">
        <v>28</v>
      </c>
      <c r="C814" s="3" t="s">
        <v>844</v>
      </c>
      <c r="D814" s="5" t="s">
        <v>17</v>
      </c>
    </row>
    <row r="815" spans="1:4" ht="15" x14ac:dyDescent="0.25">
      <c r="A815" s="2">
        <v>50030562</v>
      </c>
      <c r="B815" s="2" t="s">
        <v>28</v>
      </c>
      <c r="C815" s="3" t="s">
        <v>845</v>
      </c>
      <c r="D815" s="5" t="s">
        <v>17</v>
      </c>
    </row>
    <row r="816" spans="1:4" ht="15" x14ac:dyDescent="0.25">
      <c r="A816" s="2">
        <v>50031071</v>
      </c>
      <c r="B816" s="2" t="s">
        <v>28</v>
      </c>
      <c r="C816" s="3" t="s">
        <v>846</v>
      </c>
      <c r="D816" s="5" t="s">
        <v>17</v>
      </c>
    </row>
    <row r="817" spans="1:4" ht="15" x14ac:dyDescent="0.25">
      <c r="A817" s="2">
        <v>50310712</v>
      </c>
      <c r="B817" s="2" t="s">
        <v>28</v>
      </c>
      <c r="C817" s="3" t="s">
        <v>847</v>
      </c>
      <c r="D817" s="5" t="s">
        <v>17</v>
      </c>
    </row>
    <row r="818" spans="1:4" ht="15" x14ac:dyDescent="0.25">
      <c r="A818" s="2">
        <v>50552003</v>
      </c>
      <c r="B818" s="2" t="s">
        <v>28</v>
      </c>
      <c r="C818" s="3" t="s">
        <v>848</v>
      </c>
      <c r="D818" s="5" t="s">
        <v>17</v>
      </c>
    </row>
    <row r="819" spans="1:4" ht="15" x14ac:dyDescent="0.25">
      <c r="A819" s="2">
        <v>50552071</v>
      </c>
      <c r="B819" s="2" t="s">
        <v>28</v>
      </c>
      <c r="C819" s="3" t="s">
        <v>849</v>
      </c>
      <c r="D819" s="5" t="s">
        <v>17</v>
      </c>
    </row>
    <row r="820" spans="1:4" ht="15" x14ac:dyDescent="0.25">
      <c r="A820" s="2">
        <v>50821047</v>
      </c>
      <c r="B820" s="2" t="s">
        <v>28</v>
      </c>
      <c r="C820" s="3" t="s">
        <v>850</v>
      </c>
      <c r="D820" s="5" t="s">
        <v>17</v>
      </c>
    </row>
    <row r="821" spans="1:4" ht="15" x14ac:dyDescent="0.25">
      <c r="A821" s="2">
        <v>58031071</v>
      </c>
      <c r="B821" s="2" t="s">
        <v>28</v>
      </c>
      <c r="C821" s="3" t="s">
        <v>851</v>
      </c>
      <c r="D821" s="5" t="s">
        <v>17</v>
      </c>
    </row>
    <row r="822" spans="1:4" ht="15" x14ac:dyDescent="0.25">
      <c r="A822" s="2">
        <v>59031071</v>
      </c>
      <c r="B822" s="2" t="s">
        <v>28</v>
      </c>
      <c r="C822" s="3" t="s">
        <v>852</v>
      </c>
      <c r="D822" s="5" t="s">
        <v>17</v>
      </c>
    </row>
    <row r="823" spans="1:4" ht="15" x14ac:dyDescent="0.25">
      <c r="A823" s="2">
        <v>99480576</v>
      </c>
      <c r="B823" s="2" t="s">
        <v>28</v>
      </c>
      <c r="C823" s="3" t="s">
        <v>853</v>
      </c>
      <c r="D823" s="5" t="s">
        <v>17</v>
      </c>
    </row>
    <row r="824" spans="1:4" ht="15" x14ac:dyDescent="0.25">
      <c r="A824" s="2">
        <v>99500534</v>
      </c>
      <c r="B824" s="2" t="s">
        <v>28</v>
      </c>
      <c r="C824" s="3" t="s">
        <v>160</v>
      </c>
      <c r="D824" s="5" t="s">
        <v>17</v>
      </c>
    </row>
    <row r="825" spans="1:4" ht="15" x14ac:dyDescent="0.25">
      <c r="A825" s="2">
        <v>99500640</v>
      </c>
      <c r="B825" s="2" t="s">
        <v>28</v>
      </c>
      <c r="C825" s="3" t="s">
        <v>165</v>
      </c>
      <c r="D825" s="5" t="s">
        <v>17</v>
      </c>
    </row>
    <row r="826" spans="1:4" ht="15" x14ac:dyDescent="0.25">
      <c r="A826" s="2">
        <v>99500658</v>
      </c>
      <c r="B826" s="2" t="s">
        <v>28</v>
      </c>
      <c r="C826" s="3" t="s">
        <v>166</v>
      </c>
      <c r="D826" s="5" t="s">
        <v>17</v>
      </c>
    </row>
    <row r="827" spans="1:4" ht="15" x14ac:dyDescent="0.25">
      <c r="A827" s="2">
        <v>99500755</v>
      </c>
      <c r="B827" s="2" t="s">
        <v>28</v>
      </c>
      <c r="C827" s="3" t="s">
        <v>168</v>
      </c>
      <c r="D827" s="5" t="s">
        <v>17</v>
      </c>
    </row>
    <row r="828" spans="1:4" ht="15" x14ac:dyDescent="0.25">
      <c r="A828" s="2">
        <v>99500763</v>
      </c>
      <c r="B828" s="2" t="s">
        <v>28</v>
      </c>
      <c r="C828" s="3" t="s">
        <v>169</v>
      </c>
      <c r="D828" s="5" t="s">
        <v>17</v>
      </c>
    </row>
    <row r="829" spans="1:4" ht="15" x14ac:dyDescent="0.25">
      <c r="A829" s="2">
        <v>99500941</v>
      </c>
      <c r="B829" s="2" t="s">
        <v>28</v>
      </c>
      <c r="C829" s="3" t="s">
        <v>179</v>
      </c>
      <c r="D829" s="5" t="s">
        <v>17</v>
      </c>
    </row>
    <row r="830" spans="1:4" ht="15" x14ac:dyDescent="0.25">
      <c r="A830" s="2">
        <v>99531758</v>
      </c>
      <c r="B830" s="2" t="s">
        <v>28</v>
      </c>
      <c r="C830" s="3" t="s">
        <v>854</v>
      </c>
      <c r="D830" s="5" t="s">
        <v>17</v>
      </c>
    </row>
    <row r="831" spans="1:4" ht="15" x14ac:dyDescent="0.25">
      <c r="A831" s="2">
        <v>99531839</v>
      </c>
      <c r="B831" s="2" t="s">
        <v>28</v>
      </c>
      <c r="C831" s="3" t="s">
        <v>855</v>
      </c>
      <c r="D831" s="5" t="s">
        <v>17</v>
      </c>
    </row>
    <row r="832" spans="1:4" ht="15" x14ac:dyDescent="0.25">
      <c r="A832" s="2">
        <v>99532193</v>
      </c>
      <c r="B832" s="2" t="s">
        <v>28</v>
      </c>
      <c r="C832" s="3" t="s">
        <v>379</v>
      </c>
      <c r="D832" s="5" t="s">
        <v>17</v>
      </c>
    </row>
    <row r="833" spans="1:4" ht="15" x14ac:dyDescent="0.25">
      <c r="A833" s="2">
        <v>99532371</v>
      </c>
      <c r="B833" s="2" t="s">
        <v>28</v>
      </c>
      <c r="C833" s="3" t="s">
        <v>395</v>
      </c>
      <c r="D833" s="5" t="s">
        <v>17</v>
      </c>
    </row>
    <row r="834" spans="1:4" ht="15" x14ac:dyDescent="0.25">
      <c r="A834" s="2">
        <v>99532373</v>
      </c>
      <c r="B834" s="2" t="s">
        <v>28</v>
      </c>
      <c r="C834" s="3" t="s">
        <v>395</v>
      </c>
      <c r="D834" s="5" t="s">
        <v>17</v>
      </c>
    </row>
    <row r="835" spans="1:4" ht="15" x14ac:dyDescent="0.25">
      <c r="A835" s="2">
        <v>99532975</v>
      </c>
      <c r="B835" s="2" t="s">
        <v>28</v>
      </c>
      <c r="C835" s="3" t="s">
        <v>406</v>
      </c>
      <c r="D835" s="5" t="s">
        <v>17</v>
      </c>
    </row>
    <row r="836" spans="1:4" ht="15" x14ac:dyDescent="0.25">
      <c r="A836" s="2">
        <v>99533726</v>
      </c>
      <c r="B836" s="2" t="s">
        <v>28</v>
      </c>
      <c r="C836" s="3" t="s">
        <v>856</v>
      </c>
      <c r="D836" s="5" t="s">
        <v>17</v>
      </c>
    </row>
    <row r="837" spans="1:4" ht="15" x14ac:dyDescent="0.25">
      <c r="A837" s="2">
        <v>99535460</v>
      </c>
      <c r="B837" s="2" t="s">
        <v>28</v>
      </c>
      <c r="C837" s="3" t="s">
        <v>448</v>
      </c>
      <c r="D837" s="5" t="s">
        <v>17</v>
      </c>
    </row>
    <row r="838" spans="1:4" ht="15" x14ac:dyDescent="0.25">
      <c r="A838" s="2">
        <v>99536342</v>
      </c>
      <c r="B838" s="2" t="s">
        <v>28</v>
      </c>
      <c r="C838" s="3" t="s">
        <v>493</v>
      </c>
      <c r="D838" s="5" t="s">
        <v>17</v>
      </c>
    </row>
    <row r="839" spans="1:4" ht="15" x14ac:dyDescent="0.25">
      <c r="A839" s="2">
        <v>99536493</v>
      </c>
      <c r="B839" s="2" t="s">
        <v>28</v>
      </c>
      <c r="C839" s="3" t="s">
        <v>518</v>
      </c>
      <c r="D839" s="5" t="s">
        <v>17</v>
      </c>
    </row>
    <row r="840" spans="1:4" ht="15" x14ac:dyDescent="0.25">
      <c r="A840" s="2">
        <v>99536514</v>
      </c>
      <c r="B840" s="2" t="s">
        <v>28</v>
      </c>
      <c r="C840" s="3" t="s">
        <v>524</v>
      </c>
      <c r="D840" s="5" t="s">
        <v>17</v>
      </c>
    </row>
    <row r="841" spans="1:4" ht="15" x14ac:dyDescent="0.25">
      <c r="A841" s="2">
        <v>99544566</v>
      </c>
      <c r="B841" s="2" t="s">
        <v>28</v>
      </c>
      <c r="C841" s="3" t="s">
        <v>582</v>
      </c>
      <c r="D841" s="5" t="s">
        <v>17</v>
      </c>
    </row>
    <row r="842" spans="1:4" ht="15" x14ac:dyDescent="0.25">
      <c r="A842" s="2">
        <v>99545538</v>
      </c>
      <c r="B842" s="2" t="s">
        <v>28</v>
      </c>
      <c r="C842" s="3" t="s">
        <v>589</v>
      </c>
      <c r="D842" s="5" t="s">
        <v>17</v>
      </c>
    </row>
    <row r="843" spans="1:4" ht="15" x14ac:dyDescent="0.25">
      <c r="A843" s="2">
        <v>99545589</v>
      </c>
      <c r="B843" s="2" t="s">
        <v>28</v>
      </c>
      <c r="C843" s="3" t="s">
        <v>594</v>
      </c>
      <c r="D843" s="5" t="s">
        <v>17</v>
      </c>
    </row>
    <row r="844" spans="1:4" ht="15" x14ac:dyDescent="0.25">
      <c r="A844" s="2">
        <v>99546453</v>
      </c>
      <c r="B844" s="2" t="s">
        <v>28</v>
      </c>
      <c r="C844" s="3" t="s">
        <v>615</v>
      </c>
      <c r="D844" s="5" t="s">
        <v>17</v>
      </c>
    </row>
    <row r="845" spans="1:4" ht="15" x14ac:dyDescent="0.25">
      <c r="A845" s="2">
        <v>99546798</v>
      </c>
      <c r="B845" s="2" t="s">
        <v>28</v>
      </c>
      <c r="C845" s="3" t="s">
        <v>638</v>
      </c>
      <c r="D845" s="5" t="s">
        <v>17</v>
      </c>
    </row>
    <row r="846" spans="1:4" ht="15" x14ac:dyDescent="0.25">
      <c r="A846" s="2">
        <v>99552045</v>
      </c>
      <c r="B846" s="2" t="s">
        <v>28</v>
      </c>
      <c r="C846" s="3" t="s">
        <v>749</v>
      </c>
      <c r="D846" s="5" t="s">
        <v>17</v>
      </c>
    </row>
    <row r="847" spans="1:4" ht="15" x14ac:dyDescent="0.25">
      <c r="A847" s="2">
        <v>99552046</v>
      </c>
      <c r="B847" s="2" t="s">
        <v>28</v>
      </c>
      <c r="C847" s="3" t="s">
        <v>750</v>
      </c>
      <c r="D847" s="5" t="s">
        <v>17</v>
      </c>
    </row>
    <row r="848" spans="1:4" ht="15" x14ac:dyDescent="0.25">
      <c r="A848" s="2">
        <v>99552047</v>
      </c>
      <c r="B848" s="2" t="s">
        <v>28</v>
      </c>
      <c r="C848" s="3" t="s">
        <v>751</v>
      </c>
      <c r="D848" s="5" t="s">
        <v>17</v>
      </c>
    </row>
    <row r="849" spans="1:4" ht="15" x14ac:dyDescent="0.25">
      <c r="A849" s="2">
        <v>99552048</v>
      </c>
      <c r="B849" s="2" t="s">
        <v>28</v>
      </c>
      <c r="C849" s="3" t="s">
        <v>752</v>
      </c>
      <c r="D849" s="5" t="s">
        <v>17</v>
      </c>
    </row>
    <row r="850" spans="1:4" ht="15" x14ac:dyDescent="0.25">
      <c r="A850" s="2">
        <v>99552055</v>
      </c>
      <c r="B850" s="2" t="s">
        <v>28</v>
      </c>
      <c r="C850" s="3" t="s">
        <v>758</v>
      </c>
      <c r="D850" s="5" t="s">
        <v>17</v>
      </c>
    </row>
    <row r="851" spans="1:4" ht="15" x14ac:dyDescent="0.25">
      <c r="A851" s="2">
        <v>99820024</v>
      </c>
      <c r="B851" s="2" t="s">
        <v>28</v>
      </c>
      <c r="C851" s="3" t="s">
        <v>829</v>
      </c>
      <c r="D851" s="5" t="s">
        <v>17</v>
      </c>
    </row>
    <row r="852" spans="1:4" ht="15" x14ac:dyDescent="0.25">
      <c r="A852" s="2">
        <v>99820032</v>
      </c>
      <c r="B852" s="2" t="s">
        <v>28</v>
      </c>
      <c r="C852" s="3" t="s">
        <v>830</v>
      </c>
      <c r="D852" s="5" t="s">
        <v>17</v>
      </c>
    </row>
    <row r="853" spans="1:4" ht="15" x14ac:dyDescent="0.25">
      <c r="A853" s="2">
        <v>99820059</v>
      </c>
      <c r="B853" s="2" t="s">
        <v>28</v>
      </c>
      <c r="C853" s="3" t="s">
        <v>831</v>
      </c>
      <c r="D853" s="5" t="s">
        <v>17</v>
      </c>
    </row>
    <row r="854" spans="1:4" ht="15" x14ac:dyDescent="0.25">
      <c r="A854" s="2">
        <v>99820067</v>
      </c>
      <c r="B854" s="2" t="s">
        <v>28</v>
      </c>
      <c r="C854" s="3" t="s">
        <v>832</v>
      </c>
      <c r="D854" s="5" t="s">
        <v>17</v>
      </c>
    </row>
    <row r="855" spans="1:4" ht="15" x14ac:dyDescent="0.25">
      <c r="A855" s="2">
        <v>99820113</v>
      </c>
      <c r="B855" s="2" t="s">
        <v>28</v>
      </c>
      <c r="C855" s="3" t="s">
        <v>857</v>
      </c>
      <c r="D855" s="5" t="s">
        <v>17</v>
      </c>
    </row>
    <row r="856" spans="1:4" ht="15" x14ac:dyDescent="0.25">
      <c r="A856" s="2">
        <v>99820121</v>
      </c>
      <c r="B856" s="2" t="s">
        <v>28</v>
      </c>
      <c r="C856" s="3" t="s">
        <v>858</v>
      </c>
      <c r="D856" s="5" t="s">
        <v>17</v>
      </c>
    </row>
    <row r="857" spans="1:4" ht="15" x14ac:dyDescent="0.25">
      <c r="A857" s="2">
        <v>99820130</v>
      </c>
      <c r="B857" s="2" t="s">
        <v>28</v>
      </c>
      <c r="C857" s="3" t="s">
        <v>836</v>
      </c>
      <c r="D857" s="5" t="s">
        <v>17</v>
      </c>
    </row>
    <row r="858" spans="1:4" ht="15" x14ac:dyDescent="0.25">
      <c r="A858" s="2">
        <v>99820148</v>
      </c>
      <c r="B858" s="2" t="s">
        <v>28</v>
      </c>
      <c r="C858" s="3" t="s">
        <v>837</v>
      </c>
      <c r="D858" s="5" t="s">
        <v>17</v>
      </c>
    </row>
    <row r="859" spans="1:4" ht="15" x14ac:dyDescent="0.25">
      <c r="A859" s="2">
        <v>99820156</v>
      </c>
      <c r="B859" s="2" t="s">
        <v>28</v>
      </c>
      <c r="C859" s="3" t="s">
        <v>838</v>
      </c>
      <c r="D859" s="5" t="s">
        <v>17</v>
      </c>
    </row>
    <row r="860" spans="1:4" ht="15" x14ac:dyDescent="0.25">
      <c r="A860" s="2">
        <v>99820164</v>
      </c>
      <c r="B860" s="2" t="s">
        <v>28</v>
      </c>
      <c r="C860" s="3" t="s">
        <v>839</v>
      </c>
      <c r="D860" s="5" t="s">
        <v>17</v>
      </c>
    </row>
    <row r="861" spans="1:4" ht="15" x14ac:dyDescent="0.25">
      <c r="A861" s="2">
        <v>99820172</v>
      </c>
      <c r="B861" s="2" t="s">
        <v>28</v>
      </c>
      <c r="C861" s="3" t="s">
        <v>840</v>
      </c>
      <c r="D861" s="5" t="s">
        <v>17</v>
      </c>
    </row>
    <row r="862" spans="1:4" ht="15" x14ac:dyDescent="0.25">
      <c r="A862" s="2">
        <v>99991996</v>
      </c>
      <c r="B862" s="2" t="s">
        <v>28</v>
      </c>
      <c r="C862" s="3" t="s">
        <v>859</v>
      </c>
      <c r="D862" s="5" t="s">
        <v>17</v>
      </c>
    </row>
  </sheetData>
  <sheetProtection algorithmName="SHA-512" hashValue="uxlQvYB2/s/RB4slsHFv31WbvrPuoRMb15KNE40RxdQ/MPQMQL2ozHl0bcfbqu6E8mmilb+Rtb5OH5oC4m+y2w==" saltValue="41AXVigp6nBdYx+cE1H9Yw==" spinCount="100000"/>
  <autoFilter ref="A1:D1" xr:uid="{00000000-0009-0000-0000-000001000000}"/>
  <conditionalFormatting sqref="A1:A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9"/>
  <sheetViews>
    <sheetView workbookViewId="0">
      <selection sqref="A1:XFD1048576"/>
    </sheetView>
  </sheetViews>
  <sheetFormatPr baseColWidth="10" defaultColWidth="11.42578125" defaultRowHeight="12.75" x14ac:dyDescent="0.2"/>
  <sheetData>
    <row r="1" spans="1:10" ht="15" x14ac:dyDescent="0.2">
      <c r="A1" s="24" t="s">
        <v>38</v>
      </c>
      <c r="B1" s="19" t="s">
        <v>21</v>
      </c>
      <c r="C1" s="20" t="s">
        <v>860</v>
      </c>
      <c r="D1" s="20" t="s">
        <v>861</v>
      </c>
      <c r="E1" s="20" t="s">
        <v>40</v>
      </c>
      <c r="F1" s="20" t="s">
        <v>862</v>
      </c>
      <c r="G1" s="22"/>
      <c r="H1" s="22"/>
      <c r="I1" s="22"/>
      <c r="J1" s="22"/>
    </row>
    <row r="2" spans="1:10" x14ac:dyDescent="0.2">
      <c r="A2">
        <v>16501</v>
      </c>
      <c r="B2" t="s">
        <v>21</v>
      </c>
      <c r="C2">
        <v>0</v>
      </c>
      <c r="D2" t="s">
        <v>863</v>
      </c>
      <c r="E2" t="s">
        <v>864</v>
      </c>
      <c r="F2" t="s">
        <v>865</v>
      </c>
      <c r="G2" s="21" t="s">
        <v>866</v>
      </c>
      <c r="H2" s="21" t="s">
        <v>866</v>
      </c>
      <c r="I2" s="23" t="s">
        <v>866</v>
      </c>
      <c r="J2" s="21" t="s">
        <v>866</v>
      </c>
    </row>
    <row r="3" spans="1:10" x14ac:dyDescent="0.2">
      <c r="A3">
        <v>165018</v>
      </c>
      <c r="B3" t="s">
        <v>21</v>
      </c>
      <c r="C3">
        <v>0</v>
      </c>
      <c r="D3" t="s">
        <v>863</v>
      </c>
      <c r="E3" t="s">
        <v>867</v>
      </c>
      <c r="F3" t="s">
        <v>865</v>
      </c>
      <c r="G3" s="21" t="s">
        <v>866</v>
      </c>
      <c r="H3" s="21" t="s">
        <v>866</v>
      </c>
      <c r="I3" s="23" t="s">
        <v>866</v>
      </c>
      <c r="J3" s="21" t="s">
        <v>866</v>
      </c>
    </row>
    <row r="4" spans="1:10" x14ac:dyDescent="0.2">
      <c r="A4">
        <v>165026</v>
      </c>
      <c r="B4" t="s">
        <v>21</v>
      </c>
      <c r="C4">
        <v>0</v>
      </c>
      <c r="D4" t="s">
        <v>863</v>
      </c>
      <c r="E4" t="s">
        <v>868</v>
      </c>
      <c r="F4" t="s">
        <v>865</v>
      </c>
      <c r="G4" s="21" t="s">
        <v>866</v>
      </c>
      <c r="H4" s="21" t="s">
        <v>866</v>
      </c>
      <c r="I4" s="23" t="s">
        <v>866</v>
      </c>
      <c r="J4" s="21" t="s">
        <v>866</v>
      </c>
    </row>
    <row r="5" spans="1:10" x14ac:dyDescent="0.2">
      <c r="A5">
        <v>165034</v>
      </c>
      <c r="B5" t="s">
        <v>21</v>
      </c>
      <c r="C5">
        <v>0</v>
      </c>
      <c r="D5" t="s">
        <v>863</v>
      </c>
      <c r="E5" t="s">
        <v>869</v>
      </c>
      <c r="F5" t="s">
        <v>865</v>
      </c>
      <c r="G5" s="21" t="s">
        <v>866</v>
      </c>
      <c r="H5" s="21" t="s">
        <v>866</v>
      </c>
      <c r="I5" s="23" t="s">
        <v>866</v>
      </c>
      <c r="J5" s="21" t="s">
        <v>866</v>
      </c>
    </row>
    <row r="6" spans="1:10" x14ac:dyDescent="0.2">
      <c r="A6">
        <v>165042</v>
      </c>
      <c r="B6" t="s">
        <v>21</v>
      </c>
      <c r="C6">
        <v>0</v>
      </c>
      <c r="D6" t="s">
        <v>863</v>
      </c>
      <c r="E6" t="s">
        <v>870</v>
      </c>
      <c r="F6" t="s">
        <v>865</v>
      </c>
      <c r="G6" s="21" t="s">
        <v>866</v>
      </c>
      <c r="H6" s="21" t="s">
        <v>866</v>
      </c>
      <c r="I6" s="23" t="s">
        <v>866</v>
      </c>
      <c r="J6" s="21" t="s">
        <v>866</v>
      </c>
    </row>
    <row r="7" spans="1:10" x14ac:dyDescent="0.2">
      <c r="A7">
        <v>165051</v>
      </c>
      <c r="B7" t="s">
        <v>21</v>
      </c>
      <c r="C7">
        <v>0</v>
      </c>
      <c r="D7" t="s">
        <v>863</v>
      </c>
      <c r="E7" t="s">
        <v>871</v>
      </c>
      <c r="F7" t="s">
        <v>865</v>
      </c>
      <c r="G7" s="21" t="s">
        <v>866</v>
      </c>
      <c r="H7" s="21" t="s">
        <v>866</v>
      </c>
      <c r="I7" s="23" t="s">
        <v>866</v>
      </c>
      <c r="J7" s="21" t="s">
        <v>866</v>
      </c>
    </row>
    <row r="8" spans="1:10" x14ac:dyDescent="0.2">
      <c r="A8">
        <v>165069</v>
      </c>
      <c r="B8" t="s">
        <v>21</v>
      </c>
      <c r="C8">
        <v>0</v>
      </c>
      <c r="D8" t="s">
        <v>863</v>
      </c>
      <c r="E8" t="s">
        <v>872</v>
      </c>
      <c r="F8" t="s">
        <v>865</v>
      </c>
      <c r="G8" s="21" t="s">
        <v>866</v>
      </c>
      <c r="H8" s="21" t="s">
        <v>866</v>
      </c>
      <c r="I8" s="23" t="s">
        <v>866</v>
      </c>
      <c r="J8" s="21" t="s">
        <v>866</v>
      </c>
    </row>
    <row r="9" spans="1:10" x14ac:dyDescent="0.2">
      <c r="A9">
        <v>165077</v>
      </c>
      <c r="B9" t="s">
        <v>21</v>
      </c>
      <c r="C9">
        <v>0</v>
      </c>
      <c r="D9" t="s">
        <v>863</v>
      </c>
      <c r="E9" t="s">
        <v>873</v>
      </c>
      <c r="F9" t="s">
        <v>865</v>
      </c>
      <c r="G9" s="21" t="s">
        <v>866</v>
      </c>
      <c r="H9" s="21" t="s">
        <v>866</v>
      </c>
      <c r="I9" s="23" t="s">
        <v>866</v>
      </c>
      <c r="J9" s="21" t="s">
        <v>866</v>
      </c>
    </row>
    <row r="10" spans="1:10" x14ac:dyDescent="0.2">
      <c r="A10">
        <v>165085</v>
      </c>
      <c r="B10" t="s">
        <v>21</v>
      </c>
      <c r="C10">
        <v>0</v>
      </c>
      <c r="D10" t="s">
        <v>863</v>
      </c>
      <c r="E10" t="s">
        <v>874</v>
      </c>
      <c r="F10" t="s">
        <v>865</v>
      </c>
      <c r="G10" s="21" t="s">
        <v>866</v>
      </c>
      <c r="H10" s="21" t="s">
        <v>866</v>
      </c>
      <c r="I10" s="23" t="s">
        <v>866</v>
      </c>
      <c r="J10" s="21" t="s">
        <v>866</v>
      </c>
    </row>
    <row r="11" spans="1:10" x14ac:dyDescent="0.2">
      <c r="A11">
        <v>165093</v>
      </c>
      <c r="B11" t="s">
        <v>21</v>
      </c>
      <c r="C11">
        <v>0</v>
      </c>
      <c r="D11" t="s">
        <v>863</v>
      </c>
      <c r="E11" t="s">
        <v>875</v>
      </c>
      <c r="F11" t="s">
        <v>865</v>
      </c>
      <c r="G11" s="21" t="s">
        <v>866</v>
      </c>
      <c r="H11" s="21" t="s">
        <v>866</v>
      </c>
      <c r="I11" s="23" t="s">
        <v>866</v>
      </c>
      <c r="J11" s="21" t="s">
        <v>866</v>
      </c>
    </row>
    <row r="12" spans="1:10" x14ac:dyDescent="0.2">
      <c r="A12">
        <v>165107</v>
      </c>
      <c r="B12" t="s">
        <v>21</v>
      </c>
      <c r="C12">
        <v>0</v>
      </c>
      <c r="D12" t="s">
        <v>863</v>
      </c>
      <c r="E12" t="s">
        <v>876</v>
      </c>
      <c r="F12" t="s">
        <v>865</v>
      </c>
      <c r="G12" s="21" t="s">
        <v>866</v>
      </c>
      <c r="H12" s="21" t="s">
        <v>866</v>
      </c>
      <c r="I12" s="23" t="s">
        <v>866</v>
      </c>
      <c r="J12" s="21" t="s">
        <v>866</v>
      </c>
    </row>
    <row r="13" spans="1:10" x14ac:dyDescent="0.2">
      <c r="A13">
        <v>166006</v>
      </c>
      <c r="B13" t="s">
        <v>21</v>
      </c>
      <c r="C13">
        <v>0</v>
      </c>
      <c r="D13" t="s">
        <v>863</v>
      </c>
      <c r="E13" t="s">
        <v>877</v>
      </c>
      <c r="F13" t="s">
        <v>865</v>
      </c>
      <c r="G13" s="21" t="s">
        <v>866</v>
      </c>
      <c r="H13" s="21" t="s">
        <v>866</v>
      </c>
      <c r="I13" s="23" t="s">
        <v>866</v>
      </c>
      <c r="J13" s="21" t="s">
        <v>866</v>
      </c>
    </row>
    <row r="14" spans="1:10" x14ac:dyDescent="0.2">
      <c r="A14">
        <v>999998</v>
      </c>
      <c r="B14" t="s">
        <v>21</v>
      </c>
      <c r="C14">
        <v>0</v>
      </c>
      <c r="D14" t="s">
        <v>863</v>
      </c>
      <c r="E14" t="s">
        <v>878</v>
      </c>
      <c r="F14" t="s">
        <v>865</v>
      </c>
      <c r="G14" s="21" t="s">
        <v>866</v>
      </c>
      <c r="H14" s="21" t="s">
        <v>866</v>
      </c>
      <c r="I14" s="23" t="s">
        <v>866</v>
      </c>
      <c r="J14" s="21" t="s">
        <v>866</v>
      </c>
    </row>
    <row r="15" spans="1:10" x14ac:dyDescent="0.2">
      <c r="A15">
        <v>16004</v>
      </c>
      <c r="B15" t="s">
        <v>21</v>
      </c>
      <c r="C15">
        <v>0</v>
      </c>
      <c r="D15" t="s">
        <v>879</v>
      </c>
      <c r="E15" t="s">
        <v>880</v>
      </c>
      <c r="F15" t="s">
        <v>865</v>
      </c>
      <c r="G15" s="21" t="s">
        <v>866</v>
      </c>
      <c r="H15" s="21" t="s">
        <v>866</v>
      </c>
      <c r="I15" s="23" t="s">
        <v>866</v>
      </c>
      <c r="J15" s="21" t="s">
        <v>866</v>
      </c>
    </row>
    <row r="16" spans="1:10" x14ac:dyDescent="0.2">
      <c r="A16">
        <v>160024</v>
      </c>
      <c r="B16" t="s">
        <v>21</v>
      </c>
      <c r="C16">
        <v>0</v>
      </c>
      <c r="D16" t="s">
        <v>879</v>
      </c>
      <c r="E16" t="s">
        <v>881</v>
      </c>
      <c r="F16" t="s">
        <v>865</v>
      </c>
      <c r="G16" s="21" t="s">
        <v>866</v>
      </c>
      <c r="H16" s="21" t="s">
        <v>866</v>
      </c>
      <c r="I16" s="23" t="s">
        <v>866</v>
      </c>
      <c r="J16" s="21" t="s">
        <v>866</v>
      </c>
    </row>
    <row r="17" spans="1:10" x14ac:dyDescent="0.2">
      <c r="A17">
        <v>160172</v>
      </c>
      <c r="B17" t="s">
        <v>21</v>
      </c>
      <c r="C17">
        <v>0</v>
      </c>
      <c r="D17" t="s">
        <v>879</v>
      </c>
      <c r="E17" t="s">
        <v>882</v>
      </c>
      <c r="F17" t="s">
        <v>865</v>
      </c>
      <c r="G17" s="21" t="s">
        <v>866</v>
      </c>
      <c r="H17" s="21" t="s">
        <v>866</v>
      </c>
      <c r="I17" s="23" t="s">
        <v>866</v>
      </c>
      <c r="J17" s="21" t="s">
        <v>866</v>
      </c>
    </row>
    <row r="18" spans="1:10" x14ac:dyDescent="0.2">
      <c r="A18">
        <v>160181</v>
      </c>
      <c r="B18" t="s">
        <v>21</v>
      </c>
      <c r="C18">
        <v>0</v>
      </c>
      <c r="D18" t="s">
        <v>879</v>
      </c>
      <c r="E18" t="s">
        <v>883</v>
      </c>
      <c r="F18" t="s">
        <v>865</v>
      </c>
      <c r="G18" s="21" t="s">
        <v>866</v>
      </c>
      <c r="H18" s="21" t="s">
        <v>866</v>
      </c>
      <c r="I18" s="23" t="s">
        <v>866</v>
      </c>
      <c r="J18" s="21" t="s">
        <v>866</v>
      </c>
    </row>
    <row r="19" spans="1:10" x14ac:dyDescent="0.2">
      <c r="A19">
        <v>160199</v>
      </c>
      <c r="B19" t="s">
        <v>21</v>
      </c>
      <c r="C19">
        <v>0</v>
      </c>
      <c r="D19" t="s">
        <v>879</v>
      </c>
      <c r="E19" t="s">
        <v>884</v>
      </c>
      <c r="F19" t="s">
        <v>865</v>
      </c>
      <c r="G19" s="21" t="s">
        <v>866</v>
      </c>
      <c r="H19" s="21" t="s">
        <v>866</v>
      </c>
      <c r="I19" s="23" t="s">
        <v>866</v>
      </c>
      <c r="J19" s="21" t="s">
        <v>866</v>
      </c>
    </row>
    <row r="20" spans="1:10" x14ac:dyDescent="0.2">
      <c r="A20">
        <v>160245</v>
      </c>
      <c r="B20" t="s">
        <v>21</v>
      </c>
      <c r="C20">
        <v>0</v>
      </c>
      <c r="D20" t="s">
        <v>879</v>
      </c>
      <c r="E20" t="s">
        <v>885</v>
      </c>
      <c r="F20" t="s">
        <v>865</v>
      </c>
      <c r="G20" s="21" t="s">
        <v>866</v>
      </c>
      <c r="H20" s="21" t="s">
        <v>866</v>
      </c>
      <c r="I20" s="23" t="s">
        <v>866</v>
      </c>
      <c r="J20" s="21" t="s">
        <v>866</v>
      </c>
    </row>
    <row r="21" spans="1:10" x14ac:dyDescent="0.2">
      <c r="A21">
        <v>160253</v>
      </c>
      <c r="B21" t="s">
        <v>21</v>
      </c>
      <c r="C21">
        <v>0</v>
      </c>
      <c r="D21" t="s">
        <v>879</v>
      </c>
      <c r="E21" t="s">
        <v>886</v>
      </c>
      <c r="F21" t="s">
        <v>865</v>
      </c>
      <c r="G21" s="21" t="s">
        <v>866</v>
      </c>
      <c r="H21" s="21" t="s">
        <v>866</v>
      </c>
      <c r="I21" s="23" t="s">
        <v>866</v>
      </c>
      <c r="J21" s="21" t="s">
        <v>866</v>
      </c>
    </row>
    <row r="22" spans="1:10" x14ac:dyDescent="0.2">
      <c r="A22">
        <v>160261</v>
      </c>
      <c r="B22" t="s">
        <v>21</v>
      </c>
      <c r="C22">
        <v>0</v>
      </c>
      <c r="D22" t="s">
        <v>879</v>
      </c>
      <c r="E22" t="s">
        <v>887</v>
      </c>
      <c r="F22" t="s">
        <v>865</v>
      </c>
      <c r="G22" s="21" t="s">
        <v>866</v>
      </c>
      <c r="H22" s="21" t="s">
        <v>866</v>
      </c>
      <c r="I22" s="23" t="s">
        <v>866</v>
      </c>
      <c r="J22" s="21" t="s">
        <v>866</v>
      </c>
    </row>
    <row r="23" spans="1:10" x14ac:dyDescent="0.2">
      <c r="A23">
        <v>160270</v>
      </c>
      <c r="B23" t="s">
        <v>21</v>
      </c>
      <c r="C23">
        <v>0</v>
      </c>
      <c r="D23" t="s">
        <v>879</v>
      </c>
      <c r="E23" t="s">
        <v>888</v>
      </c>
      <c r="F23" t="s">
        <v>865</v>
      </c>
      <c r="G23" s="21" t="s">
        <v>866</v>
      </c>
      <c r="H23" s="21" t="s">
        <v>866</v>
      </c>
      <c r="I23" s="23" t="s">
        <v>866</v>
      </c>
      <c r="J23" s="21" t="s">
        <v>866</v>
      </c>
    </row>
    <row r="24" spans="1:10" x14ac:dyDescent="0.2">
      <c r="A24">
        <v>160288</v>
      </c>
      <c r="B24" t="s">
        <v>21</v>
      </c>
      <c r="C24">
        <v>0</v>
      </c>
      <c r="D24" t="s">
        <v>879</v>
      </c>
      <c r="E24" t="s">
        <v>889</v>
      </c>
      <c r="F24" t="s">
        <v>865</v>
      </c>
      <c r="G24" s="21" t="s">
        <v>866</v>
      </c>
      <c r="H24" s="21" t="s">
        <v>866</v>
      </c>
      <c r="I24" s="23" t="s">
        <v>866</v>
      </c>
      <c r="J24" s="21" t="s">
        <v>866</v>
      </c>
    </row>
    <row r="25" spans="1:10" x14ac:dyDescent="0.2">
      <c r="A25">
        <v>160300</v>
      </c>
      <c r="B25" t="s">
        <v>21</v>
      </c>
      <c r="C25">
        <v>0</v>
      </c>
      <c r="D25" t="s">
        <v>879</v>
      </c>
      <c r="E25" t="s">
        <v>890</v>
      </c>
      <c r="F25" t="s">
        <v>865</v>
      </c>
      <c r="G25" s="21" t="s">
        <v>866</v>
      </c>
      <c r="H25" s="21" t="s">
        <v>866</v>
      </c>
      <c r="I25" s="23" t="s">
        <v>866</v>
      </c>
      <c r="J25" s="21" t="s">
        <v>866</v>
      </c>
    </row>
    <row r="26" spans="1:10" x14ac:dyDescent="0.2">
      <c r="A26">
        <v>160318</v>
      </c>
      <c r="B26" t="s">
        <v>21</v>
      </c>
      <c r="C26">
        <v>0</v>
      </c>
      <c r="D26" t="s">
        <v>879</v>
      </c>
      <c r="E26" t="s">
        <v>891</v>
      </c>
      <c r="F26" t="s">
        <v>865</v>
      </c>
      <c r="G26" s="21" t="s">
        <v>866</v>
      </c>
      <c r="H26" s="21" t="s">
        <v>866</v>
      </c>
      <c r="I26" s="23" t="s">
        <v>866</v>
      </c>
      <c r="J26" s="21" t="s">
        <v>866</v>
      </c>
    </row>
    <row r="27" spans="1:10" x14ac:dyDescent="0.2">
      <c r="A27">
        <v>160326</v>
      </c>
      <c r="B27" t="s">
        <v>21</v>
      </c>
      <c r="C27">
        <v>0</v>
      </c>
      <c r="D27" t="s">
        <v>879</v>
      </c>
      <c r="E27" t="s">
        <v>892</v>
      </c>
      <c r="F27" t="s">
        <v>865</v>
      </c>
      <c r="G27" s="21" t="s">
        <v>866</v>
      </c>
      <c r="H27" s="21" t="s">
        <v>866</v>
      </c>
      <c r="I27" s="23" t="s">
        <v>866</v>
      </c>
      <c r="J27" s="21" t="s">
        <v>866</v>
      </c>
    </row>
    <row r="28" spans="1:10" x14ac:dyDescent="0.2">
      <c r="A28">
        <v>160334</v>
      </c>
      <c r="B28" t="s">
        <v>21</v>
      </c>
      <c r="C28">
        <v>0</v>
      </c>
      <c r="D28" t="s">
        <v>879</v>
      </c>
      <c r="E28" t="s">
        <v>893</v>
      </c>
      <c r="F28" t="s">
        <v>865</v>
      </c>
      <c r="G28" s="21" t="s">
        <v>866</v>
      </c>
      <c r="H28" s="21" t="s">
        <v>866</v>
      </c>
      <c r="I28" s="23" t="s">
        <v>866</v>
      </c>
      <c r="J28" s="21" t="s">
        <v>866</v>
      </c>
    </row>
    <row r="29" spans="1:10" x14ac:dyDescent="0.2">
      <c r="A29">
        <v>160342</v>
      </c>
      <c r="B29" t="s">
        <v>21</v>
      </c>
      <c r="C29">
        <v>0</v>
      </c>
      <c r="D29" t="s">
        <v>879</v>
      </c>
      <c r="E29" t="s">
        <v>894</v>
      </c>
      <c r="F29" t="s">
        <v>865</v>
      </c>
      <c r="G29" s="21" t="s">
        <v>866</v>
      </c>
      <c r="H29" s="21" t="s">
        <v>866</v>
      </c>
      <c r="I29" s="23" t="s">
        <v>866</v>
      </c>
      <c r="J29" s="21" t="s">
        <v>866</v>
      </c>
    </row>
    <row r="30" spans="1:10" x14ac:dyDescent="0.2">
      <c r="A30">
        <v>160351</v>
      </c>
      <c r="B30" t="s">
        <v>21</v>
      </c>
      <c r="C30">
        <v>0</v>
      </c>
      <c r="D30" t="s">
        <v>879</v>
      </c>
      <c r="E30" t="s">
        <v>895</v>
      </c>
      <c r="F30" t="s">
        <v>865</v>
      </c>
      <c r="G30" s="21" t="s">
        <v>866</v>
      </c>
      <c r="H30" s="21" t="s">
        <v>866</v>
      </c>
      <c r="I30" s="23" t="s">
        <v>866</v>
      </c>
      <c r="J30" s="21" t="s">
        <v>866</v>
      </c>
    </row>
    <row r="31" spans="1:10" x14ac:dyDescent="0.2">
      <c r="A31">
        <v>160369</v>
      </c>
      <c r="B31" t="s">
        <v>21</v>
      </c>
      <c r="C31">
        <v>0</v>
      </c>
      <c r="D31" t="s">
        <v>879</v>
      </c>
      <c r="E31" t="s">
        <v>896</v>
      </c>
      <c r="F31" t="s">
        <v>865</v>
      </c>
      <c r="G31" s="21" t="s">
        <v>866</v>
      </c>
      <c r="H31" s="21" t="s">
        <v>866</v>
      </c>
      <c r="I31" s="23" t="s">
        <v>866</v>
      </c>
      <c r="J31" s="21" t="s">
        <v>866</v>
      </c>
    </row>
    <row r="32" spans="1:10" x14ac:dyDescent="0.2">
      <c r="A32">
        <v>999997</v>
      </c>
      <c r="B32" t="s">
        <v>21</v>
      </c>
      <c r="C32">
        <v>0</v>
      </c>
      <c r="D32" t="s">
        <v>879</v>
      </c>
      <c r="E32" t="s">
        <v>878</v>
      </c>
      <c r="F32" t="s">
        <v>865</v>
      </c>
      <c r="G32" s="21" t="s">
        <v>866</v>
      </c>
      <c r="H32" s="21" t="s">
        <v>866</v>
      </c>
      <c r="I32" s="23" t="s">
        <v>866</v>
      </c>
      <c r="J32" s="21" t="s">
        <v>866</v>
      </c>
    </row>
    <row r="33" spans="1:10" x14ac:dyDescent="0.2">
      <c r="A33">
        <v>82104</v>
      </c>
      <c r="B33" t="s">
        <v>21</v>
      </c>
      <c r="C33">
        <v>0</v>
      </c>
      <c r="D33" t="s">
        <v>897</v>
      </c>
      <c r="E33" t="s">
        <v>898</v>
      </c>
      <c r="F33" t="s">
        <v>865</v>
      </c>
      <c r="G33" s="21" t="s">
        <v>866</v>
      </c>
      <c r="H33" s="21" t="s">
        <v>866</v>
      </c>
      <c r="I33" s="23" t="s">
        <v>866</v>
      </c>
      <c r="J33" s="21" t="s">
        <v>866</v>
      </c>
    </row>
    <row r="34" spans="1:10" x14ac:dyDescent="0.2">
      <c r="A34">
        <v>84107</v>
      </c>
      <c r="B34" t="s">
        <v>21</v>
      </c>
      <c r="C34">
        <v>0</v>
      </c>
      <c r="D34" t="s">
        <v>897</v>
      </c>
      <c r="E34" t="s">
        <v>899</v>
      </c>
      <c r="F34" t="s">
        <v>865</v>
      </c>
      <c r="G34" s="21" t="s">
        <v>866</v>
      </c>
      <c r="H34" s="21" t="s">
        <v>866</v>
      </c>
      <c r="I34" s="23" t="s">
        <v>866</v>
      </c>
      <c r="J34" s="21" t="s">
        <v>866</v>
      </c>
    </row>
    <row r="35" spans="1:10" x14ac:dyDescent="0.2">
      <c r="A35">
        <v>85103</v>
      </c>
      <c r="B35" t="s">
        <v>21</v>
      </c>
      <c r="C35">
        <v>0</v>
      </c>
      <c r="D35" t="s">
        <v>897</v>
      </c>
      <c r="E35" t="s">
        <v>900</v>
      </c>
      <c r="F35" t="s">
        <v>865</v>
      </c>
      <c r="G35" s="21" t="s">
        <v>866</v>
      </c>
      <c r="H35" s="21" t="s">
        <v>866</v>
      </c>
      <c r="I35" s="23" t="s">
        <v>866</v>
      </c>
      <c r="J35" s="21" t="s">
        <v>866</v>
      </c>
    </row>
    <row r="36" spans="1:10" x14ac:dyDescent="0.2">
      <c r="A36">
        <v>90107</v>
      </c>
      <c r="B36" t="s">
        <v>21</v>
      </c>
      <c r="C36">
        <v>0</v>
      </c>
      <c r="D36" t="s">
        <v>897</v>
      </c>
      <c r="E36" t="s">
        <v>901</v>
      </c>
      <c r="F36" t="s">
        <v>865</v>
      </c>
      <c r="G36" s="21" t="s">
        <v>866</v>
      </c>
      <c r="H36" s="21" t="s">
        <v>866</v>
      </c>
      <c r="I36" s="23" t="s">
        <v>866</v>
      </c>
      <c r="J36" s="21" t="s">
        <v>866</v>
      </c>
    </row>
    <row r="37" spans="1:10" x14ac:dyDescent="0.2">
      <c r="A37">
        <v>790061</v>
      </c>
      <c r="B37" t="s">
        <v>21</v>
      </c>
      <c r="C37">
        <v>0</v>
      </c>
      <c r="D37" t="s">
        <v>897</v>
      </c>
      <c r="E37" t="s">
        <v>902</v>
      </c>
      <c r="F37" t="s">
        <v>865</v>
      </c>
      <c r="G37" s="21" t="s">
        <v>866</v>
      </c>
      <c r="H37" s="21" t="s">
        <v>866</v>
      </c>
      <c r="I37" s="23" t="s">
        <v>866</v>
      </c>
      <c r="J37" s="21" t="s">
        <v>866</v>
      </c>
    </row>
    <row r="38" spans="1:10" x14ac:dyDescent="0.2">
      <c r="A38">
        <v>820059</v>
      </c>
      <c r="B38" t="s">
        <v>21</v>
      </c>
      <c r="C38">
        <v>0</v>
      </c>
      <c r="D38" t="s">
        <v>897</v>
      </c>
      <c r="E38" t="s">
        <v>903</v>
      </c>
      <c r="F38" t="s">
        <v>865</v>
      </c>
      <c r="G38" s="21" t="s">
        <v>866</v>
      </c>
      <c r="H38" s="21" t="s">
        <v>866</v>
      </c>
      <c r="I38" s="23" t="s">
        <v>866</v>
      </c>
      <c r="J38" s="21" t="s">
        <v>866</v>
      </c>
    </row>
    <row r="39" spans="1:10" x14ac:dyDescent="0.2">
      <c r="A39">
        <v>820067</v>
      </c>
      <c r="B39" t="s">
        <v>21</v>
      </c>
      <c r="C39">
        <v>0</v>
      </c>
      <c r="D39" t="s">
        <v>897</v>
      </c>
      <c r="E39" t="s">
        <v>904</v>
      </c>
      <c r="F39" t="s">
        <v>865</v>
      </c>
      <c r="G39" s="21" t="s">
        <v>866</v>
      </c>
      <c r="H39" s="21" t="s">
        <v>866</v>
      </c>
      <c r="I39" s="23" t="s">
        <v>866</v>
      </c>
      <c r="J39" s="21" t="s">
        <v>866</v>
      </c>
    </row>
    <row r="40" spans="1:10" x14ac:dyDescent="0.2">
      <c r="A40">
        <v>820075</v>
      </c>
      <c r="B40" t="s">
        <v>21</v>
      </c>
      <c r="C40">
        <v>0</v>
      </c>
      <c r="D40" t="s">
        <v>897</v>
      </c>
      <c r="E40" t="s">
        <v>905</v>
      </c>
      <c r="F40" t="s">
        <v>865</v>
      </c>
      <c r="G40" s="21" t="s">
        <v>866</v>
      </c>
      <c r="H40" s="21" t="s">
        <v>866</v>
      </c>
      <c r="I40" s="23" t="s">
        <v>866</v>
      </c>
      <c r="J40" s="21" t="s">
        <v>866</v>
      </c>
    </row>
    <row r="41" spans="1:10" x14ac:dyDescent="0.2">
      <c r="A41">
        <v>820148</v>
      </c>
      <c r="B41" t="s">
        <v>21</v>
      </c>
      <c r="C41">
        <v>0</v>
      </c>
      <c r="D41" t="s">
        <v>897</v>
      </c>
      <c r="E41" t="s">
        <v>906</v>
      </c>
      <c r="F41" t="s">
        <v>865</v>
      </c>
      <c r="G41" s="21" t="s">
        <v>866</v>
      </c>
      <c r="H41" s="21" t="s">
        <v>866</v>
      </c>
      <c r="I41" s="23" t="s">
        <v>866</v>
      </c>
      <c r="J41" s="21" t="s">
        <v>866</v>
      </c>
    </row>
    <row r="42" spans="1:10" x14ac:dyDescent="0.2">
      <c r="A42">
        <v>820156</v>
      </c>
      <c r="B42" t="s">
        <v>21</v>
      </c>
      <c r="C42">
        <v>0</v>
      </c>
      <c r="D42" t="s">
        <v>897</v>
      </c>
      <c r="E42" t="s">
        <v>907</v>
      </c>
      <c r="F42" t="s">
        <v>865</v>
      </c>
      <c r="G42" s="21" t="s">
        <v>866</v>
      </c>
      <c r="H42" s="21" t="s">
        <v>866</v>
      </c>
      <c r="I42" s="23" t="s">
        <v>866</v>
      </c>
      <c r="J42" s="21" t="s">
        <v>866</v>
      </c>
    </row>
    <row r="43" spans="1:10" x14ac:dyDescent="0.2">
      <c r="A43">
        <v>820164</v>
      </c>
      <c r="B43" t="s">
        <v>21</v>
      </c>
      <c r="C43">
        <v>0</v>
      </c>
      <c r="D43" t="s">
        <v>897</v>
      </c>
      <c r="E43" t="s">
        <v>908</v>
      </c>
      <c r="F43" t="s">
        <v>865</v>
      </c>
      <c r="G43" s="21" t="s">
        <v>866</v>
      </c>
      <c r="H43" s="21" t="s">
        <v>866</v>
      </c>
      <c r="I43" s="23" t="s">
        <v>866</v>
      </c>
      <c r="J43" s="21" t="s">
        <v>866</v>
      </c>
    </row>
    <row r="44" spans="1:10" x14ac:dyDescent="0.2">
      <c r="A44">
        <v>820211</v>
      </c>
      <c r="B44" t="s">
        <v>21</v>
      </c>
      <c r="C44">
        <v>0</v>
      </c>
      <c r="D44" t="s">
        <v>897</v>
      </c>
      <c r="E44" t="s">
        <v>909</v>
      </c>
      <c r="F44" t="s">
        <v>865</v>
      </c>
      <c r="G44" s="21" t="s">
        <v>866</v>
      </c>
      <c r="H44" s="21" t="s">
        <v>866</v>
      </c>
      <c r="I44" s="23" t="s">
        <v>866</v>
      </c>
      <c r="J44" s="21" t="s">
        <v>866</v>
      </c>
    </row>
    <row r="45" spans="1:10" x14ac:dyDescent="0.2">
      <c r="A45">
        <v>830020</v>
      </c>
      <c r="B45" t="s">
        <v>21</v>
      </c>
      <c r="C45">
        <v>0</v>
      </c>
      <c r="D45" t="s">
        <v>897</v>
      </c>
      <c r="E45" t="s">
        <v>910</v>
      </c>
      <c r="F45" t="s">
        <v>865</v>
      </c>
      <c r="G45" s="21" t="s">
        <v>866</v>
      </c>
      <c r="H45" s="21" t="s">
        <v>866</v>
      </c>
      <c r="I45" s="23" t="s">
        <v>866</v>
      </c>
      <c r="J45" s="21" t="s">
        <v>866</v>
      </c>
    </row>
    <row r="46" spans="1:10" x14ac:dyDescent="0.2">
      <c r="A46">
        <v>840033</v>
      </c>
      <c r="B46" t="s">
        <v>21</v>
      </c>
      <c r="C46">
        <v>0</v>
      </c>
      <c r="D46" t="s">
        <v>897</v>
      </c>
      <c r="E46" t="s">
        <v>911</v>
      </c>
      <c r="F46" t="s">
        <v>865</v>
      </c>
      <c r="G46" s="21" t="s">
        <v>866</v>
      </c>
      <c r="H46" s="21" t="s">
        <v>866</v>
      </c>
      <c r="I46" s="23" t="s">
        <v>866</v>
      </c>
      <c r="J46" s="21" t="s">
        <v>866</v>
      </c>
    </row>
    <row r="47" spans="1:10" x14ac:dyDescent="0.2">
      <c r="A47">
        <v>840068</v>
      </c>
      <c r="B47" t="s">
        <v>21</v>
      </c>
      <c r="C47">
        <v>0</v>
      </c>
      <c r="D47" t="s">
        <v>897</v>
      </c>
      <c r="E47" t="s">
        <v>912</v>
      </c>
      <c r="F47" t="s">
        <v>865</v>
      </c>
      <c r="G47" s="21" t="s">
        <v>866</v>
      </c>
      <c r="H47" s="21" t="s">
        <v>866</v>
      </c>
      <c r="I47" s="23" t="s">
        <v>866</v>
      </c>
      <c r="J47" s="21" t="s">
        <v>866</v>
      </c>
    </row>
    <row r="48" spans="1:10" x14ac:dyDescent="0.2">
      <c r="A48">
        <v>840084</v>
      </c>
      <c r="B48" t="s">
        <v>21</v>
      </c>
      <c r="C48">
        <v>0</v>
      </c>
      <c r="D48" t="s">
        <v>897</v>
      </c>
      <c r="E48" t="s">
        <v>913</v>
      </c>
      <c r="F48" t="s">
        <v>865</v>
      </c>
      <c r="G48" s="21" t="s">
        <v>866</v>
      </c>
      <c r="H48" s="21" t="s">
        <v>866</v>
      </c>
      <c r="I48" s="23" t="s">
        <v>866</v>
      </c>
      <c r="J48" s="21" t="s">
        <v>866</v>
      </c>
    </row>
    <row r="49" spans="1:10" x14ac:dyDescent="0.2">
      <c r="A49">
        <v>840106</v>
      </c>
      <c r="B49" t="s">
        <v>21</v>
      </c>
      <c r="C49">
        <v>0</v>
      </c>
      <c r="D49" t="s">
        <v>897</v>
      </c>
      <c r="E49" t="s">
        <v>914</v>
      </c>
      <c r="F49" t="s">
        <v>865</v>
      </c>
      <c r="G49" s="21" t="s">
        <v>866</v>
      </c>
      <c r="H49" s="21" t="s">
        <v>866</v>
      </c>
      <c r="I49" s="23" t="s">
        <v>866</v>
      </c>
      <c r="J49" s="21" t="s">
        <v>866</v>
      </c>
    </row>
    <row r="50" spans="1:10" x14ac:dyDescent="0.2">
      <c r="A50">
        <v>840122</v>
      </c>
      <c r="B50" t="s">
        <v>21</v>
      </c>
      <c r="C50">
        <v>0</v>
      </c>
      <c r="D50" t="s">
        <v>897</v>
      </c>
      <c r="E50" t="s">
        <v>915</v>
      </c>
      <c r="F50" t="s">
        <v>865</v>
      </c>
      <c r="G50" s="21" t="s">
        <v>866</v>
      </c>
      <c r="H50" s="21" t="s">
        <v>866</v>
      </c>
      <c r="I50" s="23" t="s">
        <v>866</v>
      </c>
      <c r="J50" s="21" t="s">
        <v>866</v>
      </c>
    </row>
    <row r="51" spans="1:10" x14ac:dyDescent="0.2">
      <c r="A51">
        <v>840149</v>
      </c>
      <c r="B51" t="s">
        <v>21</v>
      </c>
      <c r="C51">
        <v>0</v>
      </c>
      <c r="D51" t="s">
        <v>897</v>
      </c>
      <c r="E51" t="s">
        <v>916</v>
      </c>
      <c r="F51" t="s">
        <v>865</v>
      </c>
      <c r="G51" s="21" t="s">
        <v>866</v>
      </c>
      <c r="H51" s="21" t="s">
        <v>866</v>
      </c>
      <c r="I51" s="23" t="s">
        <v>866</v>
      </c>
      <c r="J51" s="21" t="s">
        <v>866</v>
      </c>
    </row>
    <row r="52" spans="1:10" x14ac:dyDescent="0.2">
      <c r="A52">
        <v>840181</v>
      </c>
      <c r="B52" t="s">
        <v>21</v>
      </c>
      <c r="C52">
        <v>0</v>
      </c>
      <c r="D52" t="s">
        <v>897</v>
      </c>
      <c r="E52" t="s">
        <v>917</v>
      </c>
      <c r="F52" t="s">
        <v>865</v>
      </c>
      <c r="G52" s="21" t="s">
        <v>866</v>
      </c>
      <c r="H52" s="21" t="s">
        <v>866</v>
      </c>
      <c r="I52" s="23" t="s">
        <v>866</v>
      </c>
      <c r="J52" s="21" t="s">
        <v>866</v>
      </c>
    </row>
    <row r="53" spans="1:10" x14ac:dyDescent="0.2">
      <c r="A53">
        <v>840289</v>
      </c>
      <c r="B53" t="s">
        <v>21</v>
      </c>
      <c r="C53">
        <v>0</v>
      </c>
      <c r="D53" t="s">
        <v>897</v>
      </c>
      <c r="E53" t="s">
        <v>918</v>
      </c>
      <c r="F53" t="s">
        <v>865</v>
      </c>
      <c r="G53" s="21" t="s">
        <v>866</v>
      </c>
      <c r="H53" s="21" t="s">
        <v>866</v>
      </c>
      <c r="I53" s="23" t="s">
        <v>866</v>
      </c>
      <c r="J53" s="21" t="s">
        <v>866</v>
      </c>
    </row>
    <row r="54" spans="1:10" x14ac:dyDescent="0.2">
      <c r="A54">
        <v>840297</v>
      </c>
      <c r="B54" t="s">
        <v>21</v>
      </c>
      <c r="C54">
        <v>0</v>
      </c>
      <c r="D54" t="s">
        <v>897</v>
      </c>
      <c r="E54" t="s">
        <v>919</v>
      </c>
      <c r="F54" t="s">
        <v>865</v>
      </c>
      <c r="G54" s="21" t="s">
        <v>866</v>
      </c>
      <c r="H54" s="21" t="s">
        <v>866</v>
      </c>
      <c r="I54" s="23" t="s">
        <v>866</v>
      </c>
      <c r="J54" s="21" t="s">
        <v>866</v>
      </c>
    </row>
    <row r="55" spans="1:10" x14ac:dyDescent="0.2">
      <c r="A55">
        <v>840319</v>
      </c>
      <c r="B55" t="s">
        <v>21</v>
      </c>
      <c r="C55">
        <v>0</v>
      </c>
      <c r="D55" t="s">
        <v>897</v>
      </c>
      <c r="E55" t="s">
        <v>920</v>
      </c>
      <c r="F55" t="s">
        <v>865</v>
      </c>
      <c r="G55" s="21" t="s">
        <v>866</v>
      </c>
      <c r="H55" s="21" t="s">
        <v>866</v>
      </c>
      <c r="I55" s="23" t="s">
        <v>866</v>
      </c>
      <c r="J55" s="21" t="s">
        <v>866</v>
      </c>
    </row>
    <row r="56" spans="1:10" x14ac:dyDescent="0.2">
      <c r="A56">
        <v>840483</v>
      </c>
      <c r="B56" t="s">
        <v>21</v>
      </c>
      <c r="C56">
        <v>0</v>
      </c>
      <c r="D56" t="s">
        <v>897</v>
      </c>
      <c r="E56" t="s">
        <v>921</v>
      </c>
      <c r="F56" t="s">
        <v>865</v>
      </c>
      <c r="G56" s="21" t="s">
        <v>866</v>
      </c>
      <c r="H56" s="21" t="s">
        <v>866</v>
      </c>
      <c r="I56" s="23" t="s">
        <v>866</v>
      </c>
      <c r="J56" s="21" t="s">
        <v>866</v>
      </c>
    </row>
    <row r="57" spans="1:10" x14ac:dyDescent="0.2">
      <c r="A57">
        <v>840491</v>
      </c>
      <c r="B57" t="s">
        <v>21</v>
      </c>
      <c r="C57">
        <v>0</v>
      </c>
      <c r="D57" t="s">
        <v>897</v>
      </c>
      <c r="E57" t="s">
        <v>922</v>
      </c>
      <c r="F57" t="s">
        <v>865</v>
      </c>
      <c r="G57" s="21" t="s">
        <v>866</v>
      </c>
      <c r="H57" s="21" t="s">
        <v>866</v>
      </c>
      <c r="I57" s="23" t="s">
        <v>866</v>
      </c>
      <c r="J57" s="21" t="s">
        <v>866</v>
      </c>
    </row>
    <row r="58" spans="1:10" x14ac:dyDescent="0.2">
      <c r="A58">
        <v>840505</v>
      </c>
      <c r="B58" t="s">
        <v>21</v>
      </c>
      <c r="C58">
        <v>0</v>
      </c>
      <c r="D58" t="s">
        <v>897</v>
      </c>
      <c r="E58" t="s">
        <v>923</v>
      </c>
      <c r="F58" t="s">
        <v>865</v>
      </c>
      <c r="G58" s="21" t="s">
        <v>866</v>
      </c>
      <c r="H58" s="21" t="s">
        <v>866</v>
      </c>
      <c r="I58" s="23" t="s">
        <v>866</v>
      </c>
      <c r="J58" s="21" t="s">
        <v>866</v>
      </c>
    </row>
    <row r="59" spans="1:10" x14ac:dyDescent="0.2">
      <c r="A59">
        <v>840611</v>
      </c>
      <c r="B59" t="s">
        <v>21</v>
      </c>
      <c r="C59">
        <v>0</v>
      </c>
      <c r="D59" t="s">
        <v>897</v>
      </c>
      <c r="E59" t="s">
        <v>924</v>
      </c>
      <c r="F59" t="s">
        <v>865</v>
      </c>
      <c r="G59" s="21" t="s">
        <v>866</v>
      </c>
      <c r="H59" s="21" t="s">
        <v>866</v>
      </c>
      <c r="I59" s="23" t="s">
        <v>866</v>
      </c>
      <c r="J59" s="21" t="s">
        <v>866</v>
      </c>
    </row>
    <row r="60" spans="1:10" x14ac:dyDescent="0.2">
      <c r="A60">
        <v>840700</v>
      </c>
      <c r="B60" t="s">
        <v>21</v>
      </c>
      <c r="C60">
        <v>0</v>
      </c>
      <c r="D60" t="s">
        <v>897</v>
      </c>
      <c r="E60" t="s">
        <v>925</v>
      </c>
      <c r="F60" t="s">
        <v>865</v>
      </c>
      <c r="G60" s="21" t="s">
        <v>866</v>
      </c>
      <c r="H60" s="21" t="s">
        <v>866</v>
      </c>
      <c r="I60" s="23" t="s">
        <v>866</v>
      </c>
      <c r="J60" s="21" t="s">
        <v>866</v>
      </c>
    </row>
    <row r="61" spans="1:10" x14ac:dyDescent="0.2">
      <c r="A61">
        <v>840742</v>
      </c>
      <c r="B61" t="s">
        <v>21</v>
      </c>
      <c r="C61">
        <v>0</v>
      </c>
      <c r="D61" t="s">
        <v>897</v>
      </c>
      <c r="E61" t="s">
        <v>926</v>
      </c>
      <c r="F61" t="s">
        <v>865</v>
      </c>
      <c r="G61" s="21" t="s">
        <v>866</v>
      </c>
      <c r="H61" s="21" t="s">
        <v>866</v>
      </c>
      <c r="I61" s="23" t="s">
        <v>866</v>
      </c>
      <c r="J61" s="21" t="s">
        <v>866</v>
      </c>
    </row>
    <row r="62" spans="1:10" x14ac:dyDescent="0.2">
      <c r="A62">
        <v>840751</v>
      </c>
      <c r="B62" t="s">
        <v>21</v>
      </c>
      <c r="C62">
        <v>0</v>
      </c>
      <c r="D62" t="s">
        <v>897</v>
      </c>
      <c r="E62" t="s">
        <v>927</v>
      </c>
      <c r="F62" t="s">
        <v>865</v>
      </c>
      <c r="G62" s="21" t="s">
        <v>866</v>
      </c>
      <c r="H62" s="21" t="s">
        <v>866</v>
      </c>
      <c r="I62" s="23" t="s">
        <v>866</v>
      </c>
      <c r="J62" s="21" t="s">
        <v>866</v>
      </c>
    </row>
    <row r="63" spans="1:10" x14ac:dyDescent="0.2">
      <c r="A63">
        <v>840831</v>
      </c>
      <c r="B63" t="s">
        <v>21</v>
      </c>
      <c r="C63">
        <v>0</v>
      </c>
      <c r="D63" t="s">
        <v>897</v>
      </c>
      <c r="E63" t="s">
        <v>928</v>
      </c>
      <c r="F63" t="s">
        <v>865</v>
      </c>
      <c r="G63" s="21" t="s">
        <v>866</v>
      </c>
      <c r="H63" s="21" t="s">
        <v>866</v>
      </c>
      <c r="I63" s="23" t="s">
        <v>866</v>
      </c>
      <c r="J63" s="21" t="s">
        <v>866</v>
      </c>
    </row>
    <row r="64" spans="1:10" x14ac:dyDescent="0.2">
      <c r="A64">
        <v>840858</v>
      </c>
      <c r="B64" t="s">
        <v>21</v>
      </c>
      <c r="C64">
        <v>0</v>
      </c>
      <c r="D64" t="s">
        <v>897</v>
      </c>
      <c r="E64" t="s">
        <v>929</v>
      </c>
      <c r="F64" t="s">
        <v>865</v>
      </c>
      <c r="G64" s="21" t="s">
        <v>866</v>
      </c>
      <c r="H64" s="21" t="s">
        <v>866</v>
      </c>
      <c r="I64" s="23" t="s">
        <v>866</v>
      </c>
      <c r="J64" s="21" t="s">
        <v>866</v>
      </c>
    </row>
    <row r="65" spans="1:10" x14ac:dyDescent="0.2">
      <c r="A65">
        <v>840874</v>
      </c>
      <c r="B65" t="s">
        <v>21</v>
      </c>
      <c r="C65">
        <v>0</v>
      </c>
      <c r="D65" t="s">
        <v>897</v>
      </c>
      <c r="E65" t="s">
        <v>930</v>
      </c>
      <c r="F65" t="s">
        <v>865</v>
      </c>
      <c r="G65" s="21" t="s">
        <v>866</v>
      </c>
      <c r="H65" s="21" t="s">
        <v>866</v>
      </c>
      <c r="I65" s="23" t="s">
        <v>866</v>
      </c>
      <c r="J65" s="21" t="s">
        <v>866</v>
      </c>
    </row>
    <row r="66" spans="1:10" x14ac:dyDescent="0.2">
      <c r="A66">
        <v>841048</v>
      </c>
      <c r="B66" t="s">
        <v>21</v>
      </c>
      <c r="C66">
        <v>0</v>
      </c>
      <c r="D66" t="s">
        <v>897</v>
      </c>
      <c r="E66" t="s">
        <v>931</v>
      </c>
      <c r="F66" t="s">
        <v>865</v>
      </c>
      <c r="G66" s="21" t="s">
        <v>866</v>
      </c>
      <c r="H66" s="21" t="s">
        <v>866</v>
      </c>
      <c r="I66" s="23" t="s">
        <v>866</v>
      </c>
      <c r="J66" s="21" t="s">
        <v>866</v>
      </c>
    </row>
    <row r="67" spans="1:10" x14ac:dyDescent="0.2">
      <c r="A67">
        <v>841102</v>
      </c>
      <c r="B67" t="s">
        <v>21</v>
      </c>
      <c r="C67">
        <v>0</v>
      </c>
      <c r="D67" t="s">
        <v>897</v>
      </c>
      <c r="E67" t="s">
        <v>932</v>
      </c>
      <c r="F67" t="s">
        <v>865</v>
      </c>
      <c r="G67" s="21" t="s">
        <v>866</v>
      </c>
      <c r="H67" s="21" t="s">
        <v>866</v>
      </c>
      <c r="I67" s="23" t="s">
        <v>866</v>
      </c>
      <c r="J67" s="21" t="s">
        <v>866</v>
      </c>
    </row>
    <row r="68" spans="1:10" x14ac:dyDescent="0.2">
      <c r="A68">
        <v>841218</v>
      </c>
      <c r="B68" t="s">
        <v>21</v>
      </c>
      <c r="C68">
        <v>0</v>
      </c>
      <c r="D68" t="s">
        <v>897</v>
      </c>
      <c r="E68" t="s">
        <v>933</v>
      </c>
      <c r="F68" t="s">
        <v>865</v>
      </c>
      <c r="G68" s="21" t="s">
        <v>866</v>
      </c>
      <c r="H68" s="21" t="s">
        <v>866</v>
      </c>
      <c r="I68" s="23" t="s">
        <v>866</v>
      </c>
      <c r="J68" s="21" t="s">
        <v>866</v>
      </c>
    </row>
    <row r="69" spans="1:10" x14ac:dyDescent="0.2">
      <c r="A69">
        <v>841234</v>
      </c>
      <c r="B69" t="s">
        <v>21</v>
      </c>
      <c r="C69">
        <v>0</v>
      </c>
      <c r="D69" t="s">
        <v>897</v>
      </c>
      <c r="E69" t="s">
        <v>934</v>
      </c>
      <c r="F69" t="s">
        <v>865</v>
      </c>
      <c r="G69" s="21" t="s">
        <v>866</v>
      </c>
      <c r="H69" s="21" t="s">
        <v>866</v>
      </c>
      <c r="I69" s="23" t="s">
        <v>866</v>
      </c>
      <c r="J69" s="21" t="s">
        <v>866</v>
      </c>
    </row>
    <row r="70" spans="1:10" x14ac:dyDescent="0.2">
      <c r="A70">
        <v>841277</v>
      </c>
      <c r="B70" t="s">
        <v>21</v>
      </c>
      <c r="C70">
        <v>0</v>
      </c>
      <c r="D70" t="s">
        <v>897</v>
      </c>
      <c r="E70" t="s">
        <v>935</v>
      </c>
      <c r="F70" t="s">
        <v>865</v>
      </c>
      <c r="G70" s="21" t="s">
        <v>866</v>
      </c>
      <c r="H70" s="21" t="s">
        <v>866</v>
      </c>
      <c r="I70" s="23" t="s">
        <v>866</v>
      </c>
      <c r="J70" s="21" t="s">
        <v>866</v>
      </c>
    </row>
    <row r="71" spans="1:10" x14ac:dyDescent="0.2">
      <c r="A71">
        <v>841293</v>
      </c>
      <c r="B71" t="s">
        <v>21</v>
      </c>
      <c r="C71">
        <v>0</v>
      </c>
      <c r="D71" t="s">
        <v>897</v>
      </c>
      <c r="E71" t="s">
        <v>936</v>
      </c>
      <c r="F71" t="s">
        <v>865</v>
      </c>
      <c r="G71" s="21" t="s">
        <v>866</v>
      </c>
      <c r="H71" s="21" t="s">
        <v>866</v>
      </c>
      <c r="I71" s="23" t="s">
        <v>866</v>
      </c>
      <c r="J71" s="21" t="s">
        <v>866</v>
      </c>
    </row>
    <row r="72" spans="1:10" x14ac:dyDescent="0.2">
      <c r="A72">
        <v>841307</v>
      </c>
      <c r="B72" t="s">
        <v>21</v>
      </c>
      <c r="C72">
        <v>0</v>
      </c>
      <c r="D72" t="s">
        <v>897</v>
      </c>
      <c r="E72" t="s">
        <v>937</v>
      </c>
      <c r="F72" t="s">
        <v>865</v>
      </c>
      <c r="G72" s="21" t="s">
        <v>866</v>
      </c>
      <c r="H72" s="21" t="s">
        <v>866</v>
      </c>
      <c r="I72" s="23" t="s">
        <v>866</v>
      </c>
      <c r="J72" s="21" t="s">
        <v>866</v>
      </c>
    </row>
    <row r="73" spans="1:10" x14ac:dyDescent="0.2">
      <c r="A73">
        <v>841315</v>
      </c>
      <c r="B73" t="s">
        <v>21</v>
      </c>
      <c r="C73">
        <v>0</v>
      </c>
      <c r="D73" t="s">
        <v>897</v>
      </c>
      <c r="E73" t="s">
        <v>938</v>
      </c>
      <c r="F73" t="s">
        <v>865</v>
      </c>
      <c r="G73" s="21" t="s">
        <v>866</v>
      </c>
      <c r="H73" s="21" t="s">
        <v>866</v>
      </c>
      <c r="I73" s="23" t="s">
        <v>866</v>
      </c>
      <c r="J73" s="21" t="s">
        <v>866</v>
      </c>
    </row>
    <row r="74" spans="1:10" x14ac:dyDescent="0.2">
      <c r="A74">
        <v>841323</v>
      </c>
      <c r="B74" t="s">
        <v>21</v>
      </c>
      <c r="C74">
        <v>0</v>
      </c>
      <c r="D74" t="s">
        <v>897</v>
      </c>
      <c r="E74" t="s">
        <v>939</v>
      </c>
      <c r="F74" t="s">
        <v>865</v>
      </c>
      <c r="G74" s="21" t="s">
        <v>866</v>
      </c>
      <c r="H74" s="21" t="s">
        <v>866</v>
      </c>
      <c r="I74" s="23" t="s">
        <v>866</v>
      </c>
      <c r="J74" s="21" t="s">
        <v>866</v>
      </c>
    </row>
    <row r="75" spans="1:10" x14ac:dyDescent="0.2">
      <c r="A75">
        <v>841331</v>
      </c>
      <c r="B75" t="s">
        <v>21</v>
      </c>
      <c r="C75">
        <v>0</v>
      </c>
      <c r="D75" t="s">
        <v>897</v>
      </c>
      <c r="E75" t="s">
        <v>940</v>
      </c>
      <c r="F75" t="s">
        <v>865</v>
      </c>
      <c r="G75" s="21" t="s">
        <v>866</v>
      </c>
      <c r="H75" s="21" t="s">
        <v>866</v>
      </c>
      <c r="I75" s="23" t="s">
        <v>866</v>
      </c>
      <c r="J75" s="21" t="s">
        <v>866</v>
      </c>
    </row>
    <row r="76" spans="1:10" x14ac:dyDescent="0.2">
      <c r="A76">
        <v>841340</v>
      </c>
      <c r="B76" t="s">
        <v>21</v>
      </c>
      <c r="C76">
        <v>0</v>
      </c>
      <c r="D76" t="s">
        <v>897</v>
      </c>
      <c r="E76" t="s">
        <v>941</v>
      </c>
      <c r="F76" t="s">
        <v>865</v>
      </c>
      <c r="G76" s="21" t="s">
        <v>866</v>
      </c>
      <c r="H76" s="21" t="s">
        <v>866</v>
      </c>
      <c r="I76" s="23" t="s">
        <v>866</v>
      </c>
      <c r="J76" s="21" t="s">
        <v>866</v>
      </c>
    </row>
    <row r="77" spans="1:10" x14ac:dyDescent="0.2">
      <c r="A77">
        <v>841358</v>
      </c>
      <c r="B77" t="s">
        <v>21</v>
      </c>
      <c r="C77">
        <v>0</v>
      </c>
      <c r="D77" t="s">
        <v>897</v>
      </c>
      <c r="E77" t="s">
        <v>942</v>
      </c>
      <c r="F77" t="s">
        <v>865</v>
      </c>
      <c r="G77" s="21" t="s">
        <v>866</v>
      </c>
      <c r="H77" s="21" t="s">
        <v>866</v>
      </c>
      <c r="I77" s="23" t="s">
        <v>866</v>
      </c>
      <c r="J77" s="21" t="s">
        <v>866</v>
      </c>
    </row>
    <row r="78" spans="1:10" x14ac:dyDescent="0.2">
      <c r="A78">
        <v>841382</v>
      </c>
      <c r="B78" t="s">
        <v>21</v>
      </c>
      <c r="C78">
        <v>0</v>
      </c>
      <c r="D78" t="s">
        <v>897</v>
      </c>
      <c r="E78" t="s">
        <v>943</v>
      </c>
      <c r="F78" t="s">
        <v>865</v>
      </c>
      <c r="G78" s="21" t="s">
        <v>866</v>
      </c>
      <c r="H78" s="21" t="s">
        <v>866</v>
      </c>
      <c r="I78" s="23" t="s">
        <v>866</v>
      </c>
      <c r="J78" s="21" t="s">
        <v>866</v>
      </c>
    </row>
    <row r="79" spans="1:10" x14ac:dyDescent="0.2">
      <c r="A79">
        <v>842044</v>
      </c>
      <c r="B79" t="s">
        <v>21</v>
      </c>
      <c r="C79">
        <v>0</v>
      </c>
      <c r="D79" t="s">
        <v>897</v>
      </c>
      <c r="E79" t="s">
        <v>944</v>
      </c>
      <c r="F79" t="s">
        <v>865</v>
      </c>
      <c r="G79" s="21" t="s">
        <v>866</v>
      </c>
      <c r="H79" s="21" t="s">
        <v>866</v>
      </c>
      <c r="I79" s="23" t="s">
        <v>866</v>
      </c>
      <c r="J79" s="21" t="s">
        <v>866</v>
      </c>
    </row>
    <row r="80" spans="1:10" x14ac:dyDescent="0.2">
      <c r="A80">
        <v>842087</v>
      </c>
      <c r="B80" t="s">
        <v>21</v>
      </c>
      <c r="C80">
        <v>0</v>
      </c>
      <c r="D80" t="s">
        <v>897</v>
      </c>
      <c r="E80" t="s">
        <v>945</v>
      </c>
      <c r="F80" t="s">
        <v>865</v>
      </c>
      <c r="G80" s="21" t="s">
        <v>866</v>
      </c>
      <c r="H80" s="21" t="s">
        <v>866</v>
      </c>
      <c r="I80" s="23" t="s">
        <v>866</v>
      </c>
      <c r="J80" s="21" t="s">
        <v>866</v>
      </c>
    </row>
    <row r="81" spans="1:10" x14ac:dyDescent="0.2">
      <c r="A81">
        <v>850021</v>
      </c>
      <c r="B81" t="s">
        <v>21</v>
      </c>
      <c r="C81">
        <v>0</v>
      </c>
      <c r="D81" t="s">
        <v>897</v>
      </c>
      <c r="E81" t="s">
        <v>946</v>
      </c>
      <c r="F81" t="s">
        <v>865</v>
      </c>
      <c r="G81" s="21" t="s">
        <v>866</v>
      </c>
      <c r="H81" s="21" t="s">
        <v>866</v>
      </c>
      <c r="I81" s="23" t="s">
        <v>866</v>
      </c>
      <c r="J81" s="21" t="s">
        <v>866</v>
      </c>
    </row>
    <row r="82" spans="1:10" x14ac:dyDescent="0.2">
      <c r="A82">
        <v>850055</v>
      </c>
      <c r="B82" t="s">
        <v>21</v>
      </c>
      <c r="C82">
        <v>0</v>
      </c>
      <c r="D82" t="s">
        <v>897</v>
      </c>
      <c r="E82" t="s">
        <v>947</v>
      </c>
      <c r="F82" t="s">
        <v>865</v>
      </c>
      <c r="G82" s="21" t="s">
        <v>866</v>
      </c>
      <c r="H82" s="21" t="s">
        <v>866</v>
      </c>
      <c r="I82" s="23" t="s">
        <v>866</v>
      </c>
      <c r="J82" s="21" t="s">
        <v>866</v>
      </c>
    </row>
    <row r="83" spans="1:10" x14ac:dyDescent="0.2">
      <c r="A83">
        <v>850071</v>
      </c>
      <c r="B83" t="s">
        <v>21</v>
      </c>
      <c r="C83">
        <v>0</v>
      </c>
      <c r="D83" t="s">
        <v>897</v>
      </c>
      <c r="E83" t="s">
        <v>948</v>
      </c>
      <c r="F83" t="s">
        <v>865</v>
      </c>
      <c r="G83" s="21" t="s">
        <v>866</v>
      </c>
      <c r="H83" s="21" t="s">
        <v>866</v>
      </c>
      <c r="I83" s="23" t="s">
        <v>866</v>
      </c>
      <c r="J83" s="21" t="s">
        <v>866</v>
      </c>
    </row>
    <row r="84" spans="1:10" x14ac:dyDescent="0.2">
      <c r="A84">
        <v>850098</v>
      </c>
      <c r="B84" t="s">
        <v>21</v>
      </c>
      <c r="C84">
        <v>0</v>
      </c>
      <c r="D84" t="s">
        <v>897</v>
      </c>
      <c r="E84" t="s">
        <v>949</v>
      </c>
      <c r="F84" t="s">
        <v>865</v>
      </c>
      <c r="G84" s="21" t="s">
        <v>866</v>
      </c>
      <c r="H84" s="21" t="s">
        <v>866</v>
      </c>
      <c r="I84" s="23" t="s">
        <v>866</v>
      </c>
      <c r="J84" s="21" t="s">
        <v>866</v>
      </c>
    </row>
    <row r="85" spans="1:10" x14ac:dyDescent="0.2">
      <c r="A85">
        <v>850110</v>
      </c>
      <c r="B85" t="s">
        <v>21</v>
      </c>
      <c r="C85">
        <v>0</v>
      </c>
      <c r="D85" t="s">
        <v>897</v>
      </c>
      <c r="E85" t="s">
        <v>950</v>
      </c>
      <c r="F85" t="s">
        <v>865</v>
      </c>
      <c r="G85" s="21" t="s">
        <v>866</v>
      </c>
      <c r="H85" s="21" t="s">
        <v>866</v>
      </c>
      <c r="I85" s="23" t="s">
        <v>866</v>
      </c>
      <c r="J85" s="21" t="s">
        <v>866</v>
      </c>
    </row>
    <row r="86" spans="1:10" x14ac:dyDescent="0.2">
      <c r="A86">
        <v>850136</v>
      </c>
      <c r="B86" t="s">
        <v>21</v>
      </c>
      <c r="C86">
        <v>0</v>
      </c>
      <c r="D86" t="s">
        <v>897</v>
      </c>
      <c r="E86" t="s">
        <v>951</v>
      </c>
      <c r="F86" t="s">
        <v>865</v>
      </c>
      <c r="G86" s="21" t="s">
        <v>866</v>
      </c>
      <c r="H86" s="21" t="s">
        <v>866</v>
      </c>
      <c r="I86" s="23" t="s">
        <v>866</v>
      </c>
      <c r="J86" s="21" t="s">
        <v>866</v>
      </c>
    </row>
    <row r="87" spans="1:10" x14ac:dyDescent="0.2">
      <c r="A87">
        <v>850152</v>
      </c>
      <c r="B87" t="s">
        <v>21</v>
      </c>
      <c r="C87">
        <v>0</v>
      </c>
      <c r="D87" t="s">
        <v>897</v>
      </c>
      <c r="E87" t="s">
        <v>952</v>
      </c>
      <c r="F87" t="s">
        <v>865</v>
      </c>
      <c r="G87" s="21" t="s">
        <v>866</v>
      </c>
      <c r="H87" s="21" t="s">
        <v>866</v>
      </c>
      <c r="I87" s="23" t="s">
        <v>866</v>
      </c>
      <c r="J87" s="21" t="s">
        <v>866</v>
      </c>
    </row>
    <row r="88" spans="1:10" x14ac:dyDescent="0.2">
      <c r="A88">
        <v>850322</v>
      </c>
      <c r="B88" t="s">
        <v>21</v>
      </c>
      <c r="C88">
        <v>0</v>
      </c>
      <c r="D88" t="s">
        <v>897</v>
      </c>
      <c r="E88" t="s">
        <v>953</v>
      </c>
      <c r="F88" t="s">
        <v>865</v>
      </c>
      <c r="G88" s="21" t="s">
        <v>866</v>
      </c>
      <c r="H88" s="21" t="s">
        <v>866</v>
      </c>
      <c r="I88" s="23" t="s">
        <v>866</v>
      </c>
      <c r="J88" s="21" t="s">
        <v>866</v>
      </c>
    </row>
    <row r="89" spans="1:10" x14ac:dyDescent="0.2">
      <c r="A89">
        <v>850446</v>
      </c>
      <c r="B89" t="s">
        <v>21</v>
      </c>
      <c r="C89">
        <v>0</v>
      </c>
      <c r="D89" t="s">
        <v>897</v>
      </c>
      <c r="E89" t="s">
        <v>954</v>
      </c>
      <c r="F89" t="s">
        <v>865</v>
      </c>
      <c r="G89" s="21" t="s">
        <v>866</v>
      </c>
      <c r="H89" s="21" t="s">
        <v>866</v>
      </c>
      <c r="I89" s="23" t="s">
        <v>866</v>
      </c>
      <c r="J89" s="21" t="s">
        <v>866</v>
      </c>
    </row>
    <row r="90" spans="1:10" x14ac:dyDescent="0.2">
      <c r="A90">
        <v>850454</v>
      </c>
      <c r="B90" t="s">
        <v>21</v>
      </c>
      <c r="C90">
        <v>0</v>
      </c>
      <c r="D90" t="s">
        <v>897</v>
      </c>
      <c r="E90" t="s">
        <v>955</v>
      </c>
      <c r="F90" t="s">
        <v>865</v>
      </c>
      <c r="G90" s="21" t="s">
        <v>866</v>
      </c>
      <c r="H90" s="21" t="s">
        <v>866</v>
      </c>
      <c r="I90" s="23" t="s">
        <v>866</v>
      </c>
      <c r="J90" s="21" t="s">
        <v>866</v>
      </c>
    </row>
    <row r="91" spans="1:10" x14ac:dyDescent="0.2">
      <c r="A91">
        <v>850462</v>
      </c>
      <c r="B91" t="s">
        <v>21</v>
      </c>
      <c r="C91">
        <v>0</v>
      </c>
      <c r="D91" t="s">
        <v>897</v>
      </c>
      <c r="E91" t="s">
        <v>956</v>
      </c>
      <c r="F91" t="s">
        <v>865</v>
      </c>
      <c r="G91" s="21" t="s">
        <v>866</v>
      </c>
      <c r="H91" s="21" t="s">
        <v>866</v>
      </c>
      <c r="I91" s="23" t="s">
        <v>866</v>
      </c>
      <c r="J91" s="21" t="s">
        <v>866</v>
      </c>
    </row>
    <row r="92" spans="1:10" x14ac:dyDescent="0.2">
      <c r="A92">
        <v>850471</v>
      </c>
      <c r="B92" t="s">
        <v>21</v>
      </c>
      <c r="C92">
        <v>0</v>
      </c>
      <c r="D92" t="s">
        <v>897</v>
      </c>
      <c r="E92" t="s">
        <v>957</v>
      </c>
      <c r="F92" t="s">
        <v>865</v>
      </c>
      <c r="G92" s="21" t="s">
        <v>866</v>
      </c>
      <c r="H92" s="21" t="s">
        <v>866</v>
      </c>
      <c r="I92" s="23" t="s">
        <v>866</v>
      </c>
      <c r="J92" s="21" t="s">
        <v>866</v>
      </c>
    </row>
    <row r="93" spans="1:10" x14ac:dyDescent="0.2">
      <c r="A93">
        <v>850489</v>
      </c>
      <c r="B93" t="s">
        <v>21</v>
      </c>
      <c r="C93">
        <v>0</v>
      </c>
      <c r="D93" t="s">
        <v>897</v>
      </c>
      <c r="E93" t="s">
        <v>958</v>
      </c>
      <c r="F93" t="s">
        <v>865</v>
      </c>
      <c r="G93" s="21" t="s">
        <v>866</v>
      </c>
      <c r="H93" s="21" t="s">
        <v>866</v>
      </c>
      <c r="I93" s="23" t="s">
        <v>866</v>
      </c>
      <c r="J93" s="21" t="s">
        <v>866</v>
      </c>
    </row>
    <row r="94" spans="1:10" x14ac:dyDescent="0.2">
      <c r="A94">
        <v>850497</v>
      </c>
      <c r="B94" t="s">
        <v>21</v>
      </c>
      <c r="C94">
        <v>0</v>
      </c>
      <c r="D94" t="s">
        <v>897</v>
      </c>
      <c r="E94" t="s">
        <v>959</v>
      </c>
      <c r="F94" t="s">
        <v>865</v>
      </c>
      <c r="G94" s="21" t="s">
        <v>866</v>
      </c>
      <c r="H94" s="21" t="s">
        <v>866</v>
      </c>
      <c r="I94" s="23" t="s">
        <v>866</v>
      </c>
      <c r="J94" s="21" t="s">
        <v>866</v>
      </c>
    </row>
    <row r="95" spans="1:10" x14ac:dyDescent="0.2">
      <c r="A95">
        <v>850632</v>
      </c>
      <c r="B95" t="s">
        <v>21</v>
      </c>
      <c r="C95">
        <v>0</v>
      </c>
      <c r="D95" t="s">
        <v>897</v>
      </c>
      <c r="E95" t="s">
        <v>960</v>
      </c>
      <c r="F95" t="s">
        <v>865</v>
      </c>
      <c r="G95" s="21" t="s">
        <v>866</v>
      </c>
      <c r="H95" s="21" t="s">
        <v>866</v>
      </c>
      <c r="I95" s="23" t="s">
        <v>866</v>
      </c>
      <c r="J95" s="21" t="s">
        <v>866</v>
      </c>
    </row>
    <row r="96" spans="1:10" x14ac:dyDescent="0.2">
      <c r="A96">
        <v>850659</v>
      </c>
      <c r="B96" t="s">
        <v>21</v>
      </c>
      <c r="C96">
        <v>0</v>
      </c>
      <c r="D96" t="s">
        <v>897</v>
      </c>
      <c r="E96" t="s">
        <v>961</v>
      </c>
      <c r="F96" t="s">
        <v>865</v>
      </c>
      <c r="G96" s="21" t="s">
        <v>866</v>
      </c>
      <c r="H96" s="21" t="s">
        <v>866</v>
      </c>
      <c r="I96" s="23" t="s">
        <v>866</v>
      </c>
      <c r="J96" s="21" t="s">
        <v>866</v>
      </c>
    </row>
    <row r="97" spans="1:10" x14ac:dyDescent="0.2">
      <c r="A97">
        <v>850705</v>
      </c>
      <c r="B97" t="s">
        <v>21</v>
      </c>
      <c r="C97">
        <v>0</v>
      </c>
      <c r="D97" t="s">
        <v>897</v>
      </c>
      <c r="E97" t="s">
        <v>962</v>
      </c>
      <c r="F97" t="s">
        <v>865</v>
      </c>
      <c r="G97" s="21" t="s">
        <v>866</v>
      </c>
      <c r="H97" s="21" t="s">
        <v>866</v>
      </c>
      <c r="I97" s="23" t="s">
        <v>866</v>
      </c>
      <c r="J97" s="21" t="s">
        <v>866</v>
      </c>
    </row>
    <row r="98" spans="1:10" x14ac:dyDescent="0.2">
      <c r="A98">
        <v>850730</v>
      </c>
      <c r="B98" t="s">
        <v>21</v>
      </c>
      <c r="C98">
        <v>0</v>
      </c>
      <c r="D98" t="s">
        <v>897</v>
      </c>
      <c r="E98" t="s">
        <v>963</v>
      </c>
      <c r="F98" t="s">
        <v>865</v>
      </c>
      <c r="G98" s="21" t="s">
        <v>866</v>
      </c>
      <c r="H98" s="21" t="s">
        <v>866</v>
      </c>
      <c r="I98" s="23" t="s">
        <v>866</v>
      </c>
      <c r="J98" s="21" t="s">
        <v>866</v>
      </c>
    </row>
    <row r="99" spans="1:10" x14ac:dyDescent="0.2">
      <c r="A99">
        <v>860069</v>
      </c>
      <c r="B99" t="s">
        <v>21</v>
      </c>
      <c r="C99">
        <v>0</v>
      </c>
      <c r="D99" t="s">
        <v>897</v>
      </c>
      <c r="E99" t="s">
        <v>964</v>
      </c>
      <c r="F99" t="s">
        <v>865</v>
      </c>
      <c r="G99" s="21" t="s">
        <v>866</v>
      </c>
      <c r="H99" s="21" t="s">
        <v>866</v>
      </c>
      <c r="I99" s="23" t="s">
        <v>866</v>
      </c>
      <c r="J99" s="21" t="s">
        <v>866</v>
      </c>
    </row>
    <row r="100" spans="1:10" x14ac:dyDescent="0.2">
      <c r="A100">
        <v>860140</v>
      </c>
      <c r="B100" t="s">
        <v>21</v>
      </c>
      <c r="C100">
        <v>0</v>
      </c>
      <c r="D100" t="s">
        <v>897</v>
      </c>
      <c r="E100" t="s">
        <v>965</v>
      </c>
      <c r="F100" t="s">
        <v>865</v>
      </c>
      <c r="G100" s="21" t="s">
        <v>866</v>
      </c>
      <c r="H100" s="21" t="s">
        <v>866</v>
      </c>
      <c r="I100" s="23" t="s">
        <v>866</v>
      </c>
      <c r="J100" s="21" t="s">
        <v>866</v>
      </c>
    </row>
    <row r="101" spans="1:10" x14ac:dyDescent="0.2">
      <c r="A101">
        <v>861006</v>
      </c>
      <c r="B101" t="s">
        <v>21</v>
      </c>
      <c r="C101">
        <v>0</v>
      </c>
      <c r="D101" t="s">
        <v>897</v>
      </c>
      <c r="E101" t="s">
        <v>966</v>
      </c>
      <c r="F101" t="s">
        <v>865</v>
      </c>
      <c r="G101" s="21" t="s">
        <v>866</v>
      </c>
      <c r="H101" s="21" t="s">
        <v>866</v>
      </c>
      <c r="I101" s="23" t="s">
        <v>866</v>
      </c>
      <c r="J101" s="21" t="s">
        <v>866</v>
      </c>
    </row>
    <row r="102" spans="1:10" x14ac:dyDescent="0.2">
      <c r="A102">
        <v>870021</v>
      </c>
      <c r="B102" t="s">
        <v>21</v>
      </c>
      <c r="C102">
        <v>0</v>
      </c>
      <c r="D102" t="s">
        <v>897</v>
      </c>
      <c r="E102" t="s">
        <v>967</v>
      </c>
      <c r="F102" t="s">
        <v>865</v>
      </c>
      <c r="G102" s="21" t="s">
        <v>866</v>
      </c>
      <c r="H102" s="21" t="s">
        <v>866</v>
      </c>
      <c r="I102" s="23" t="s">
        <v>866</v>
      </c>
      <c r="J102" s="21" t="s">
        <v>866</v>
      </c>
    </row>
    <row r="103" spans="1:10" x14ac:dyDescent="0.2">
      <c r="A103">
        <v>888796</v>
      </c>
      <c r="B103" t="s">
        <v>21</v>
      </c>
      <c r="C103">
        <v>0</v>
      </c>
      <c r="D103" t="s">
        <v>897</v>
      </c>
      <c r="E103" t="s">
        <v>968</v>
      </c>
      <c r="F103" t="s">
        <v>865</v>
      </c>
      <c r="G103" s="21" t="s">
        <v>866</v>
      </c>
      <c r="H103" s="21" t="s">
        <v>866</v>
      </c>
      <c r="I103" s="23" t="s">
        <v>866</v>
      </c>
      <c r="J103" s="21" t="s">
        <v>866</v>
      </c>
    </row>
    <row r="104" spans="1:10" x14ac:dyDescent="0.2">
      <c r="A104">
        <v>911135</v>
      </c>
      <c r="B104" t="s">
        <v>21</v>
      </c>
      <c r="C104">
        <v>0</v>
      </c>
      <c r="D104" t="s">
        <v>897</v>
      </c>
      <c r="E104" t="s">
        <v>969</v>
      </c>
      <c r="F104" t="s">
        <v>865</v>
      </c>
      <c r="G104" s="21" t="s">
        <v>866</v>
      </c>
      <c r="H104" s="21" t="s">
        <v>866</v>
      </c>
      <c r="I104" s="23" t="s">
        <v>866</v>
      </c>
      <c r="J104" s="21" t="s">
        <v>866</v>
      </c>
    </row>
    <row r="105" spans="1:10" x14ac:dyDescent="0.2">
      <c r="A105">
        <v>999996</v>
      </c>
      <c r="B105" t="s">
        <v>21</v>
      </c>
      <c r="C105">
        <v>0</v>
      </c>
      <c r="D105" t="s">
        <v>897</v>
      </c>
      <c r="E105" t="s">
        <v>878</v>
      </c>
      <c r="F105" t="s">
        <v>865</v>
      </c>
      <c r="G105" s="21" t="s">
        <v>866</v>
      </c>
      <c r="H105" s="21" t="s">
        <v>866</v>
      </c>
      <c r="I105" s="23" t="s">
        <v>866</v>
      </c>
      <c r="J105" s="21" t="s">
        <v>866</v>
      </c>
    </row>
    <row r="106" spans="1:10" x14ac:dyDescent="0.2">
      <c r="A106">
        <v>82007</v>
      </c>
      <c r="B106" t="s">
        <v>21</v>
      </c>
      <c r="C106">
        <v>0</v>
      </c>
      <c r="D106" t="s">
        <v>34</v>
      </c>
      <c r="E106" t="s">
        <v>970</v>
      </c>
      <c r="F106" t="s">
        <v>865</v>
      </c>
      <c r="G106" s="21" t="s">
        <v>866</v>
      </c>
      <c r="H106" s="21" t="s">
        <v>866</v>
      </c>
      <c r="I106" s="23" t="s">
        <v>866</v>
      </c>
      <c r="J106" s="21" t="s">
        <v>866</v>
      </c>
    </row>
    <row r="107" spans="1:10" x14ac:dyDescent="0.2">
      <c r="A107">
        <v>84000</v>
      </c>
      <c r="B107" t="s">
        <v>21</v>
      </c>
      <c r="C107">
        <v>0</v>
      </c>
      <c r="D107" t="s">
        <v>34</v>
      </c>
      <c r="E107" t="s">
        <v>971</v>
      </c>
      <c r="F107" t="s">
        <v>865</v>
      </c>
      <c r="G107" s="21" t="s">
        <v>866</v>
      </c>
      <c r="H107" s="21" t="s">
        <v>866</v>
      </c>
      <c r="I107" s="23" t="s">
        <v>866</v>
      </c>
      <c r="J107" s="21" t="s">
        <v>866</v>
      </c>
    </row>
    <row r="108" spans="1:10" x14ac:dyDescent="0.2">
      <c r="A108">
        <v>85006</v>
      </c>
      <c r="B108" t="s">
        <v>21</v>
      </c>
      <c r="C108">
        <v>0</v>
      </c>
      <c r="D108" t="s">
        <v>34</v>
      </c>
      <c r="E108" t="s">
        <v>972</v>
      </c>
      <c r="F108" t="s">
        <v>865</v>
      </c>
      <c r="G108" s="21" t="s">
        <v>866</v>
      </c>
      <c r="H108" s="21" t="s">
        <v>866</v>
      </c>
      <c r="I108" s="23" t="s">
        <v>866</v>
      </c>
      <c r="J108" s="21" t="s">
        <v>866</v>
      </c>
    </row>
    <row r="109" spans="1:10" x14ac:dyDescent="0.2">
      <c r="A109">
        <v>88013</v>
      </c>
      <c r="B109" t="s">
        <v>21</v>
      </c>
      <c r="C109">
        <v>0</v>
      </c>
      <c r="D109" t="s">
        <v>34</v>
      </c>
      <c r="E109" t="s">
        <v>973</v>
      </c>
      <c r="F109" t="s">
        <v>865</v>
      </c>
      <c r="G109" s="21" t="s">
        <v>866</v>
      </c>
      <c r="H109" s="21" t="s">
        <v>866</v>
      </c>
      <c r="I109" s="23" t="s">
        <v>866</v>
      </c>
      <c r="J109" s="21" t="s">
        <v>866</v>
      </c>
    </row>
    <row r="110" spans="1:10" x14ac:dyDescent="0.2">
      <c r="A110">
        <v>88021</v>
      </c>
      <c r="B110" t="s">
        <v>21</v>
      </c>
      <c r="C110">
        <v>0</v>
      </c>
      <c r="D110" t="s">
        <v>34</v>
      </c>
      <c r="E110" t="s">
        <v>974</v>
      </c>
      <c r="F110" t="s">
        <v>865</v>
      </c>
      <c r="G110" s="21" t="s">
        <v>866</v>
      </c>
      <c r="H110" s="21" t="s">
        <v>866</v>
      </c>
      <c r="I110" s="23" t="s">
        <v>866</v>
      </c>
      <c r="J110" s="21" t="s">
        <v>866</v>
      </c>
    </row>
    <row r="111" spans="1:10" x14ac:dyDescent="0.2">
      <c r="A111">
        <v>90000</v>
      </c>
      <c r="B111" t="s">
        <v>21</v>
      </c>
      <c r="C111">
        <v>0</v>
      </c>
      <c r="D111" t="s">
        <v>34</v>
      </c>
      <c r="E111" t="s">
        <v>975</v>
      </c>
      <c r="F111" t="s">
        <v>865</v>
      </c>
      <c r="G111" s="21" t="s">
        <v>866</v>
      </c>
      <c r="H111" s="21" t="s">
        <v>866</v>
      </c>
      <c r="I111" s="23" t="s">
        <v>866</v>
      </c>
      <c r="J111" s="21" t="s">
        <v>866</v>
      </c>
    </row>
    <row r="112" spans="1:10" x14ac:dyDescent="0.2">
      <c r="A112">
        <v>90204</v>
      </c>
      <c r="B112" t="s">
        <v>21</v>
      </c>
      <c r="C112">
        <v>0</v>
      </c>
      <c r="D112" t="s">
        <v>34</v>
      </c>
      <c r="E112" t="s">
        <v>976</v>
      </c>
      <c r="F112" t="s">
        <v>865</v>
      </c>
      <c r="G112" s="21" t="s">
        <v>866</v>
      </c>
      <c r="H112" s="21" t="s">
        <v>866</v>
      </c>
      <c r="I112" s="23" t="s">
        <v>866</v>
      </c>
      <c r="J112" s="21" t="s">
        <v>866</v>
      </c>
    </row>
    <row r="113" spans="1:10" x14ac:dyDescent="0.2">
      <c r="A113">
        <v>90301</v>
      </c>
      <c r="B113" t="s">
        <v>21</v>
      </c>
      <c r="C113">
        <v>0</v>
      </c>
      <c r="D113" t="s">
        <v>34</v>
      </c>
      <c r="E113" t="s">
        <v>977</v>
      </c>
      <c r="F113" t="s">
        <v>865</v>
      </c>
      <c r="G113" s="21" t="s">
        <v>866</v>
      </c>
      <c r="H113" s="21" t="s">
        <v>866</v>
      </c>
      <c r="I113" s="23" t="s">
        <v>866</v>
      </c>
      <c r="J113" s="21" t="s">
        <v>866</v>
      </c>
    </row>
    <row r="114" spans="1:10" x14ac:dyDescent="0.2">
      <c r="A114">
        <v>160016</v>
      </c>
      <c r="B114" t="s">
        <v>21</v>
      </c>
      <c r="C114">
        <v>0</v>
      </c>
      <c r="D114" t="s">
        <v>34</v>
      </c>
      <c r="E114" t="s">
        <v>978</v>
      </c>
      <c r="F114" t="s">
        <v>865</v>
      </c>
      <c r="G114" s="21" t="s">
        <v>866</v>
      </c>
      <c r="H114" s="21" t="s">
        <v>866</v>
      </c>
      <c r="I114" s="23" t="s">
        <v>866</v>
      </c>
      <c r="J114" s="21" t="s">
        <v>866</v>
      </c>
    </row>
    <row r="115" spans="1:10" x14ac:dyDescent="0.2">
      <c r="A115">
        <v>160041</v>
      </c>
      <c r="B115" t="s">
        <v>21</v>
      </c>
      <c r="C115">
        <v>0</v>
      </c>
      <c r="D115" t="s">
        <v>34</v>
      </c>
      <c r="E115" t="s">
        <v>979</v>
      </c>
      <c r="F115" t="s">
        <v>865</v>
      </c>
      <c r="G115" s="21" t="s">
        <v>866</v>
      </c>
      <c r="H115" s="21" t="s">
        <v>866</v>
      </c>
      <c r="I115" s="23" t="s">
        <v>866</v>
      </c>
      <c r="J115" s="21" t="s">
        <v>866</v>
      </c>
    </row>
    <row r="116" spans="1:10" x14ac:dyDescent="0.2">
      <c r="A116">
        <v>160059</v>
      </c>
      <c r="B116" t="s">
        <v>21</v>
      </c>
      <c r="C116">
        <v>0</v>
      </c>
      <c r="D116" t="s">
        <v>34</v>
      </c>
      <c r="E116" t="s">
        <v>980</v>
      </c>
      <c r="F116" t="s">
        <v>865</v>
      </c>
      <c r="G116" s="21" t="s">
        <v>866</v>
      </c>
      <c r="H116" s="21" t="s">
        <v>866</v>
      </c>
      <c r="I116" s="23" t="s">
        <v>866</v>
      </c>
      <c r="J116" s="21" t="s">
        <v>866</v>
      </c>
    </row>
    <row r="117" spans="1:10" x14ac:dyDescent="0.2">
      <c r="A117">
        <v>160083</v>
      </c>
      <c r="B117" t="s">
        <v>21</v>
      </c>
      <c r="C117">
        <v>0</v>
      </c>
      <c r="D117" t="s">
        <v>34</v>
      </c>
      <c r="E117" t="s">
        <v>981</v>
      </c>
      <c r="F117" t="s">
        <v>865</v>
      </c>
      <c r="G117" s="21" t="s">
        <v>866</v>
      </c>
      <c r="H117" s="21" t="s">
        <v>866</v>
      </c>
      <c r="I117" s="23" t="s">
        <v>866</v>
      </c>
      <c r="J117" s="21" t="s">
        <v>866</v>
      </c>
    </row>
    <row r="118" spans="1:10" x14ac:dyDescent="0.2">
      <c r="A118">
        <v>160091</v>
      </c>
      <c r="B118" t="s">
        <v>21</v>
      </c>
      <c r="C118">
        <v>0</v>
      </c>
      <c r="D118" t="s">
        <v>34</v>
      </c>
      <c r="E118" t="s">
        <v>982</v>
      </c>
      <c r="F118" t="s">
        <v>865</v>
      </c>
      <c r="G118" s="21" t="s">
        <v>866</v>
      </c>
      <c r="H118" s="21" t="s">
        <v>866</v>
      </c>
      <c r="I118" s="23" t="s">
        <v>866</v>
      </c>
      <c r="J118" s="21" t="s">
        <v>866</v>
      </c>
    </row>
    <row r="119" spans="1:10" x14ac:dyDescent="0.2">
      <c r="A119">
        <v>160105</v>
      </c>
      <c r="B119" t="s">
        <v>21</v>
      </c>
      <c r="C119">
        <v>0</v>
      </c>
      <c r="D119" t="s">
        <v>34</v>
      </c>
      <c r="E119" t="s">
        <v>983</v>
      </c>
      <c r="F119" t="s">
        <v>865</v>
      </c>
      <c r="G119" s="21" t="s">
        <v>866</v>
      </c>
      <c r="H119" s="21" t="s">
        <v>866</v>
      </c>
      <c r="I119" s="23" t="s">
        <v>866</v>
      </c>
      <c r="J119" s="21" t="s">
        <v>866</v>
      </c>
    </row>
    <row r="120" spans="1:10" x14ac:dyDescent="0.2">
      <c r="A120">
        <v>160113</v>
      </c>
      <c r="B120" t="s">
        <v>21</v>
      </c>
      <c r="C120">
        <v>0</v>
      </c>
      <c r="D120" t="s">
        <v>34</v>
      </c>
      <c r="E120" t="s">
        <v>984</v>
      </c>
      <c r="F120" t="s">
        <v>865</v>
      </c>
      <c r="G120" s="21" t="s">
        <v>866</v>
      </c>
      <c r="H120" s="21" t="s">
        <v>866</v>
      </c>
      <c r="I120" s="23" t="s">
        <v>866</v>
      </c>
      <c r="J120" s="21" t="s">
        <v>866</v>
      </c>
    </row>
    <row r="121" spans="1:10" x14ac:dyDescent="0.2">
      <c r="A121">
        <v>160130</v>
      </c>
      <c r="B121" t="s">
        <v>21</v>
      </c>
      <c r="C121">
        <v>0</v>
      </c>
      <c r="D121" t="s">
        <v>34</v>
      </c>
      <c r="E121" t="s">
        <v>985</v>
      </c>
      <c r="F121" t="s">
        <v>865</v>
      </c>
      <c r="G121" s="21" t="s">
        <v>866</v>
      </c>
      <c r="H121" s="21" t="s">
        <v>866</v>
      </c>
      <c r="I121" s="23" t="s">
        <v>866</v>
      </c>
      <c r="J121" s="21" t="s">
        <v>866</v>
      </c>
    </row>
    <row r="122" spans="1:10" x14ac:dyDescent="0.2">
      <c r="A122">
        <v>160296</v>
      </c>
      <c r="B122" t="s">
        <v>21</v>
      </c>
      <c r="C122">
        <v>0</v>
      </c>
      <c r="D122" t="s">
        <v>34</v>
      </c>
      <c r="E122" t="s">
        <v>986</v>
      </c>
      <c r="F122" t="s">
        <v>865</v>
      </c>
      <c r="G122" s="21" t="s">
        <v>866</v>
      </c>
      <c r="H122" s="21" t="s">
        <v>866</v>
      </c>
      <c r="I122" s="23" t="s">
        <v>866</v>
      </c>
      <c r="J122" s="21" t="s">
        <v>866</v>
      </c>
    </row>
    <row r="123" spans="1:10" x14ac:dyDescent="0.2">
      <c r="A123">
        <v>720453</v>
      </c>
      <c r="B123" t="s">
        <v>21</v>
      </c>
      <c r="C123">
        <v>0</v>
      </c>
      <c r="D123" t="s">
        <v>34</v>
      </c>
      <c r="E123" t="s">
        <v>987</v>
      </c>
      <c r="F123" t="s">
        <v>865</v>
      </c>
      <c r="G123" s="21" t="s">
        <v>866</v>
      </c>
      <c r="H123" s="21" t="s">
        <v>866</v>
      </c>
      <c r="I123" s="23" t="s">
        <v>866</v>
      </c>
      <c r="J123" s="21" t="s">
        <v>866</v>
      </c>
    </row>
    <row r="124" spans="1:10" x14ac:dyDescent="0.2">
      <c r="A124">
        <v>790010</v>
      </c>
      <c r="B124" t="s">
        <v>21</v>
      </c>
      <c r="C124">
        <v>0</v>
      </c>
      <c r="D124" t="s">
        <v>34</v>
      </c>
      <c r="E124" t="s">
        <v>988</v>
      </c>
      <c r="F124" t="s">
        <v>865</v>
      </c>
      <c r="G124" s="21" t="s">
        <v>866</v>
      </c>
      <c r="H124" s="21" t="s">
        <v>866</v>
      </c>
      <c r="I124" s="23" t="s">
        <v>866</v>
      </c>
      <c r="J124" s="21" t="s">
        <v>866</v>
      </c>
    </row>
    <row r="125" spans="1:10" x14ac:dyDescent="0.2">
      <c r="A125">
        <v>790028</v>
      </c>
      <c r="B125" t="s">
        <v>21</v>
      </c>
      <c r="C125">
        <v>0</v>
      </c>
      <c r="D125" t="s">
        <v>34</v>
      </c>
      <c r="E125" t="s">
        <v>989</v>
      </c>
      <c r="F125" t="s">
        <v>865</v>
      </c>
      <c r="G125" s="21" t="s">
        <v>866</v>
      </c>
      <c r="H125" s="21" t="s">
        <v>866</v>
      </c>
      <c r="I125" s="23" t="s">
        <v>866</v>
      </c>
      <c r="J125" s="21" t="s">
        <v>866</v>
      </c>
    </row>
    <row r="126" spans="1:10" x14ac:dyDescent="0.2">
      <c r="A126">
        <v>790036</v>
      </c>
      <c r="B126" t="s">
        <v>21</v>
      </c>
      <c r="C126">
        <v>0</v>
      </c>
      <c r="D126" t="s">
        <v>34</v>
      </c>
      <c r="E126" t="s">
        <v>990</v>
      </c>
      <c r="F126" t="s">
        <v>865</v>
      </c>
      <c r="G126" s="21" t="s">
        <v>866</v>
      </c>
      <c r="H126" s="21" t="s">
        <v>866</v>
      </c>
      <c r="I126" s="23" t="s">
        <v>866</v>
      </c>
      <c r="J126" s="21" t="s">
        <v>866</v>
      </c>
    </row>
    <row r="127" spans="1:10" x14ac:dyDescent="0.2">
      <c r="A127">
        <v>790044</v>
      </c>
      <c r="B127" t="s">
        <v>21</v>
      </c>
      <c r="C127">
        <v>0</v>
      </c>
      <c r="D127" t="s">
        <v>34</v>
      </c>
      <c r="E127" t="s">
        <v>991</v>
      </c>
      <c r="F127" t="s">
        <v>865</v>
      </c>
      <c r="G127" s="21" t="s">
        <v>866</v>
      </c>
      <c r="H127" s="21" t="s">
        <v>866</v>
      </c>
      <c r="I127" s="23" t="s">
        <v>866</v>
      </c>
      <c r="J127" s="21" t="s">
        <v>866</v>
      </c>
    </row>
    <row r="128" spans="1:10" x14ac:dyDescent="0.2">
      <c r="A128">
        <v>790052</v>
      </c>
      <c r="B128" t="s">
        <v>21</v>
      </c>
      <c r="C128">
        <v>0</v>
      </c>
      <c r="D128" t="s">
        <v>34</v>
      </c>
      <c r="E128" t="s">
        <v>992</v>
      </c>
      <c r="F128" t="s">
        <v>865</v>
      </c>
      <c r="G128" s="21" t="s">
        <v>866</v>
      </c>
      <c r="H128" s="21" t="s">
        <v>866</v>
      </c>
      <c r="I128" s="23" t="s">
        <v>866</v>
      </c>
      <c r="J128" s="21" t="s">
        <v>866</v>
      </c>
    </row>
    <row r="129" spans="1:10" x14ac:dyDescent="0.2">
      <c r="A129">
        <v>790079</v>
      </c>
      <c r="B129" t="s">
        <v>21</v>
      </c>
      <c r="C129">
        <v>0</v>
      </c>
      <c r="D129" t="s">
        <v>34</v>
      </c>
      <c r="E129" t="s">
        <v>993</v>
      </c>
      <c r="F129" t="s">
        <v>865</v>
      </c>
      <c r="G129" s="21" t="s">
        <v>866</v>
      </c>
      <c r="H129" s="21" t="s">
        <v>866</v>
      </c>
      <c r="I129" s="23" t="s">
        <v>866</v>
      </c>
      <c r="J129" s="21" t="s">
        <v>866</v>
      </c>
    </row>
    <row r="130" spans="1:10" x14ac:dyDescent="0.2">
      <c r="A130">
        <v>790087</v>
      </c>
      <c r="B130" t="s">
        <v>21</v>
      </c>
      <c r="C130">
        <v>0</v>
      </c>
      <c r="D130" t="s">
        <v>34</v>
      </c>
      <c r="E130" t="s">
        <v>994</v>
      </c>
      <c r="F130" t="s">
        <v>865</v>
      </c>
      <c r="G130" s="21" t="s">
        <v>866</v>
      </c>
      <c r="H130" s="21" t="s">
        <v>866</v>
      </c>
      <c r="I130" s="23" t="s">
        <v>866</v>
      </c>
      <c r="J130" s="21" t="s">
        <v>866</v>
      </c>
    </row>
    <row r="131" spans="1:10" x14ac:dyDescent="0.2">
      <c r="A131">
        <v>820008</v>
      </c>
      <c r="B131" t="s">
        <v>21</v>
      </c>
      <c r="C131">
        <v>0</v>
      </c>
      <c r="D131" t="s">
        <v>34</v>
      </c>
      <c r="E131" t="s">
        <v>995</v>
      </c>
      <c r="F131" t="s">
        <v>865</v>
      </c>
      <c r="G131" s="21" t="s">
        <v>866</v>
      </c>
      <c r="H131" s="21" t="s">
        <v>866</v>
      </c>
      <c r="I131" s="23" t="s">
        <v>866</v>
      </c>
      <c r="J131" s="21" t="s">
        <v>866</v>
      </c>
    </row>
    <row r="132" spans="1:10" x14ac:dyDescent="0.2">
      <c r="A132">
        <v>820016</v>
      </c>
      <c r="B132" t="s">
        <v>21</v>
      </c>
      <c r="C132">
        <v>0</v>
      </c>
      <c r="D132" t="s">
        <v>34</v>
      </c>
      <c r="E132" t="s">
        <v>996</v>
      </c>
      <c r="F132" t="s">
        <v>865</v>
      </c>
      <c r="G132" s="21" t="s">
        <v>866</v>
      </c>
      <c r="H132" s="21" t="s">
        <v>866</v>
      </c>
      <c r="I132" s="23" t="s">
        <v>866</v>
      </c>
      <c r="J132" s="21" t="s">
        <v>866</v>
      </c>
    </row>
    <row r="133" spans="1:10" x14ac:dyDescent="0.2">
      <c r="A133">
        <v>820024</v>
      </c>
      <c r="B133" t="s">
        <v>21</v>
      </c>
      <c r="C133">
        <v>0</v>
      </c>
      <c r="D133" t="s">
        <v>34</v>
      </c>
      <c r="E133" t="s">
        <v>997</v>
      </c>
      <c r="F133" t="s">
        <v>865</v>
      </c>
      <c r="G133" s="21" t="s">
        <v>866</v>
      </c>
      <c r="H133" s="21" t="s">
        <v>866</v>
      </c>
      <c r="I133" s="23" t="s">
        <v>866</v>
      </c>
      <c r="J133" s="21" t="s">
        <v>866</v>
      </c>
    </row>
    <row r="134" spans="1:10" x14ac:dyDescent="0.2">
      <c r="A134">
        <v>820032</v>
      </c>
      <c r="B134" t="s">
        <v>21</v>
      </c>
      <c r="C134">
        <v>0</v>
      </c>
      <c r="D134" t="s">
        <v>34</v>
      </c>
      <c r="E134" t="s">
        <v>998</v>
      </c>
      <c r="F134" t="s">
        <v>865</v>
      </c>
      <c r="G134" s="21" t="s">
        <v>866</v>
      </c>
      <c r="H134" s="21" t="s">
        <v>866</v>
      </c>
      <c r="I134" s="23" t="s">
        <v>866</v>
      </c>
      <c r="J134" s="21" t="s">
        <v>866</v>
      </c>
    </row>
    <row r="135" spans="1:10" x14ac:dyDescent="0.2">
      <c r="A135">
        <v>820091</v>
      </c>
      <c r="B135" t="s">
        <v>21</v>
      </c>
      <c r="C135">
        <v>0</v>
      </c>
      <c r="D135" t="s">
        <v>34</v>
      </c>
      <c r="E135" t="s">
        <v>999</v>
      </c>
      <c r="F135" t="s">
        <v>865</v>
      </c>
      <c r="G135" s="21" t="s">
        <v>866</v>
      </c>
      <c r="H135" s="21" t="s">
        <v>866</v>
      </c>
      <c r="I135" s="23" t="s">
        <v>866</v>
      </c>
      <c r="J135" s="21" t="s">
        <v>866</v>
      </c>
    </row>
    <row r="136" spans="1:10" x14ac:dyDescent="0.2">
      <c r="A136">
        <v>820105</v>
      </c>
      <c r="B136" t="s">
        <v>21</v>
      </c>
      <c r="C136">
        <v>0</v>
      </c>
      <c r="D136" t="s">
        <v>34</v>
      </c>
      <c r="E136" t="s">
        <v>1000</v>
      </c>
      <c r="F136" t="s">
        <v>865</v>
      </c>
      <c r="G136" s="21" t="s">
        <v>866</v>
      </c>
      <c r="H136" s="21" t="s">
        <v>866</v>
      </c>
      <c r="I136" s="23" t="s">
        <v>866</v>
      </c>
      <c r="J136" s="21" t="s">
        <v>866</v>
      </c>
    </row>
    <row r="137" spans="1:10" x14ac:dyDescent="0.2">
      <c r="A137">
        <v>820113</v>
      </c>
      <c r="B137" t="s">
        <v>21</v>
      </c>
      <c r="C137">
        <v>0</v>
      </c>
      <c r="D137" t="s">
        <v>34</v>
      </c>
      <c r="E137" t="s">
        <v>1001</v>
      </c>
      <c r="F137" t="s">
        <v>865</v>
      </c>
      <c r="G137" s="21" t="s">
        <v>866</v>
      </c>
      <c r="H137" s="21" t="s">
        <v>866</v>
      </c>
      <c r="I137" s="23" t="s">
        <v>866</v>
      </c>
      <c r="J137" s="21" t="s">
        <v>866</v>
      </c>
    </row>
    <row r="138" spans="1:10" x14ac:dyDescent="0.2">
      <c r="A138">
        <v>820121</v>
      </c>
      <c r="B138" t="s">
        <v>21</v>
      </c>
      <c r="C138">
        <v>0</v>
      </c>
      <c r="D138" t="s">
        <v>34</v>
      </c>
      <c r="E138" t="s">
        <v>1002</v>
      </c>
      <c r="F138" t="s">
        <v>865</v>
      </c>
      <c r="G138" s="21" t="s">
        <v>866</v>
      </c>
      <c r="H138" s="21" t="s">
        <v>866</v>
      </c>
      <c r="I138" s="23" t="s">
        <v>866</v>
      </c>
      <c r="J138" s="21" t="s">
        <v>866</v>
      </c>
    </row>
    <row r="139" spans="1:10" x14ac:dyDescent="0.2">
      <c r="A139">
        <v>820130</v>
      </c>
      <c r="B139" t="s">
        <v>21</v>
      </c>
      <c r="C139">
        <v>0</v>
      </c>
      <c r="D139" t="s">
        <v>34</v>
      </c>
      <c r="E139" t="s">
        <v>1003</v>
      </c>
      <c r="F139" t="s">
        <v>865</v>
      </c>
      <c r="G139" s="21" t="s">
        <v>866</v>
      </c>
      <c r="H139" s="21" t="s">
        <v>866</v>
      </c>
      <c r="I139" s="23" t="s">
        <v>866</v>
      </c>
      <c r="J139" s="21" t="s">
        <v>866</v>
      </c>
    </row>
    <row r="140" spans="1:10" x14ac:dyDescent="0.2">
      <c r="A140">
        <v>820172</v>
      </c>
      <c r="B140" t="s">
        <v>21</v>
      </c>
      <c r="C140">
        <v>0</v>
      </c>
      <c r="D140" t="s">
        <v>34</v>
      </c>
      <c r="E140" t="s">
        <v>1004</v>
      </c>
      <c r="F140" t="s">
        <v>865</v>
      </c>
      <c r="G140" s="21" t="s">
        <v>866</v>
      </c>
      <c r="H140" s="21" t="s">
        <v>866</v>
      </c>
      <c r="I140" s="23" t="s">
        <v>866</v>
      </c>
      <c r="J140" s="21" t="s">
        <v>866</v>
      </c>
    </row>
    <row r="141" spans="1:10" x14ac:dyDescent="0.2">
      <c r="A141">
        <v>820181</v>
      </c>
      <c r="B141" t="s">
        <v>21</v>
      </c>
      <c r="C141">
        <v>0</v>
      </c>
      <c r="D141" t="s">
        <v>34</v>
      </c>
      <c r="E141" t="s">
        <v>1005</v>
      </c>
      <c r="F141" t="s">
        <v>865</v>
      </c>
      <c r="G141" s="21" t="s">
        <v>866</v>
      </c>
      <c r="H141" s="21" t="s">
        <v>866</v>
      </c>
      <c r="I141" s="23" t="s">
        <v>866</v>
      </c>
      <c r="J141" s="21" t="s">
        <v>866</v>
      </c>
    </row>
    <row r="142" spans="1:10" x14ac:dyDescent="0.2">
      <c r="A142">
        <v>820199</v>
      </c>
      <c r="B142" t="s">
        <v>21</v>
      </c>
      <c r="C142">
        <v>0</v>
      </c>
      <c r="D142" t="s">
        <v>34</v>
      </c>
      <c r="E142" t="s">
        <v>1006</v>
      </c>
      <c r="F142" t="s">
        <v>865</v>
      </c>
      <c r="G142" s="21" t="s">
        <v>866</v>
      </c>
      <c r="H142" s="21" t="s">
        <v>866</v>
      </c>
      <c r="I142" s="23" t="s">
        <v>866</v>
      </c>
      <c r="J142" s="21" t="s">
        <v>866</v>
      </c>
    </row>
    <row r="143" spans="1:10" x14ac:dyDescent="0.2">
      <c r="A143">
        <v>820202</v>
      </c>
      <c r="B143" t="s">
        <v>21</v>
      </c>
      <c r="C143">
        <v>0</v>
      </c>
      <c r="D143" t="s">
        <v>34</v>
      </c>
      <c r="E143" t="s">
        <v>1007</v>
      </c>
      <c r="F143" t="s">
        <v>865</v>
      </c>
      <c r="G143" s="21" t="s">
        <v>866</v>
      </c>
      <c r="H143" s="21" t="s">
        <v>866</v>
      </c>
      <c r="I143" s="23" t="s">
        <v>866</v>
      </c>
      <c r="J143" s="21" t="s">
        <v>866</v>
      </c>
    </row>
    <row r="144" spans="1:10" x14ac:dyDescent="0.2">
      <c r="A144">
        <v>820300</v>
      </c>
      <c r="B144" t="s">
        <v>21</v>
      </c>
      <c r="C144">
        <v>0</v>
      </c>
      <c r="D144" t="s">
        <v>34</v>
      </c>
      <c r="E144" t="s">
        <v>1008</v>
      </c>
      <c r="F144" t="s">
        <v>865</v>
      </c>
      <c r="G144" s="21" t="s">
        <v>866</v>
      </c>
      <c r="H144" s="21" t="s">
        <v>866</v>
      </c>
      <c r="I144" s="23" t="s">
        <v>866</v>
      </c>
      <c r="J144" s="21" t="s">
        <v>866</v>
      </c>
    </row>
    <row r="145" spans="1:10" x14ac:dyDescent="0.2">
      <c r="A145">
        <v>820318</v>
      </c>
      <c r="B145" t="s">
        <v>21</v>
      </c>
      <c r="C145">
        <v>0</v>
      </c>
      <c r="D145" t="s">
        <v>34</v>
      </c>
      <c r="E145" t="s">
        <v>1009</v>
      </c>
      <c r="F145" t="s">
        <v>865</v>
      </c>
      <c r="G145" s="21" t="s">
        <v>866</v>
      </c>
      <c r="H145" s="21" t="s">
        <v>866</v>
      </c>
      <c r="I145" s="23" t="s">
        <v>866</v>
      </c>
      <c r="J145" s="21" t="s">
        <v>866</v>
      </c>
    </row>
    <row r="146" spans="1:10" x14ac:dyDescent="0.2">
      <c r="A146">
        <v>830038</v>
      </c>
      <c r="B146" t="s">
        <v>21</v>
      </c>
      <c r="C146">
        <v>0</v>
      </c>
      <c r="D146" t="s">
        <v>34</v>
      </c>
      <c r="E146" t="s">
        <v>1010</v>
      </c>
      <c r="F146" t="s">
        <v>865</v>
      </c>
      <c r="G146" s="21" t="s">
        <v>866</v>
      </c>
      <c r="H146" s="21" t="s">
        <v>866</v>
      </c>
      <c r="I146" s="23" t="s">
        <v>866</v>
      </c>
      <c r="J146" s="21" t="s">
        <v>866</v>
      </c>
    </row>
    <row r="147" spans="1:10" x14ac:dyDescent="0.2">
      <c r="A147">
        <v>840009</v>
      </c>
      <c r="B147" t="s">
        <v>21</v>
      </c>
      <c r="C147">
        <v>0</v>
      </c>
      <c r="D147" t="s">
        <v>34</v>
      </c>
      <c r="E147" t="s">
        <v>1011</v>
      </c>
      <c r="F147" t="s">
        <v>865</v>
      </c>
      <c r="G147" s="21" t="s">
        <v>866</v>
      </c>
      <c r="H147" s="21" t="s">
        <v>866</v>
      </c>
      <c r="I147" s="23" t="s">
        <v>866</v>
      </c>
      <c r="J147" s="21" t="s">
        <v>866</v>
      </c>
    </row>
    <row r="148" spans="1:10" x14ac:dyDescent="0.2">
      <c r="A148">
        <v>840017</v>
      </c>
      <c r="B148" t="s">
        <v>21</v>
      </c>
      <c r="C148">
        <v>0</v>
      </c>
      <c r="D148" t="s">
        <v>34</v>
      </c>
      <c r="E148" t="s">
        <v>1012</v>
      </c>
      <c r="F148" t="s">
        <v>865</v>
      </c>
      <c r="G148" s="21" t="s">
        <v>866</v>
      </c>
      <c r="H148" s="21" t="s">
        <v>866</v>
      </c>
      <c r="I148" s="23" t="s">
        <v>866</v>
      </c>
      <c r="J148" s="21" t="s">
        <v>866</v>
      </c>
    </row>
    <row r="149" spans="1:10" x14ac:dyDescent="0.2">
      <c r="A149">
        <v>840025</v>
      </c>
      <c r="B149" t="s">
        <v>21</v>
      </c>
      <c r="C149">
        <v>0</v>
      </c>
      <c r="D149" t="s">
        <v>34</v>
      </c>
      <c r="E149" t="s">
        <v>1013</v>
      </c>
      <c r="F149" t="s">
        <v>865</v>
      </c>
      <c r="G149" s="21" t="s">
        <v>866</v>
      </c>
      <c r="H149" s="21" t="s">
        <v>866</v>
      </c>
      <c r="I149" s="23" t="s">
        <v>866</v>
      </c>
      <c r="J149" s="21" t="s">
        <v>866</v>
      </c>
    </row>
    <row r="150" spans="1:10" x14ac:dyDescent="0.2">
      <c r="A150">
        <v>840041</v>
      </c>
      <c r="B150" t="s">
        <v>21</v>
      </c>
      <c r="C150">
        <v>0</v>
      </c>
      <c r="D150" t="s">
        <v>34</v>
      </c>
      <c r="E150" t="s">
        <v>1014</v>
      </c>
      <c r="F150" t="s">
        <v>865</v>
      </c>
      <c r="G150" s="21" t="s">
        <v>866</v>
      </c>
      <c r="H150" s="21" t="s">
        <v>866</v>
      </c>
      <c r="I150" s="23" t="s">
        <v>866</v>
      </c>
      <c r="J150" s="21" t="s">
        <v>866</v>
      </c>
    </row>
    <row r="151" spans="1:10" x14ac:dyDescent="0.2">
      <c r="A151">
        <v>840050</v>
      </c>
      <c r="B151" t="s">
        <v>21</v>
      </c>
      <c r="C151">
        <v>0</v>
      </c>
      <c r="D151" t="s">
        <v>34</v>
      </c>
      <c r="E151" t="s">
        <v>1015</v>
      </c>
      <c r="F151" t="s">
        <v>865</v>
      </c>
      <c r="G151" s="21" t="s">
        <v>866</v>
      </c>
      <c r="H151" s="21" t="s">
        <v>866</v>
      </c>
      <c r="I151" s="23" t="s">
        <v>866</v>
      </c>
      <c r="J151" s="21" t="s">
        <v>866</v>
      </c>
    </row>
    <row r="152" spans="1:10" x14ac:dyDescent="0.2">
      <c r="A152">
        <v>840076</v>
      </c>
      <c r="B152" t="s">
        <v>21</v>
      </c>
      <c r="C152">
        <v>0</v>
      </c>
      <c r="D152" t="s">
        <v>34</v>
      </c>
      <c r="E152" t="s">
        <v>1016</v>
      </c>
      <c r="F152" t="s">
        <v>865</v>
      </c>
      <c r="G152" s="21" t="s">
        <v>866</v>
      </c>
      <c r="H152" s="21" t="s">
        <v>866</v>
      </c>
      <c r="I152" s="23" t="s">
        <v>866</v>
      </c>
      <c r="J152" s="21" t="s">
        <v>866</v>
      </c>
    </row>
    <row r="153" spans="1:10" x14ac:dyDescent="0.2">
      <c r="A153">
        <v>840092</v>
      </c>
      <c r="B153" t="s">
        <v>21</v>
      </c>
      <c r="C153">
        <v>0</v>
      </c>
      <c r="D153" t="s">
        <v>34</v>
      </c>
      <c r="E153" t="s">
        <v>1017</v>
      </c>
      <c r="F153" t="s">
        <v>865</v>
      </c>
      <c r="G153" s="21" t="s">
        <v>866</v>
      </c>
      <c r="H153" s="21" t="s">
        <v>866</v>
      </c>
      <c r="I153" s="23" t="s">
        <v>866</v>
      </c>
      <c r="J153" s="21" t="s">
        <v>866</v>
      </c>
    </row>
    <row r="154" spans="1:10" x14ac:dyDescent="0.2">
      <c r="A154">
        <v>840114</v>
      </c>
      <c r="B154" t="s">
        <v>21</v>
      </c>
      <c r="C154">
        <v>0</v>
      </c>
      <c r="D154" t="s">
        <v>34</v>
      </c>
      <c r="E154" t="s">
        <v>1018</v>
      </c>
      <c r="F154" t="s">
        <v>865</v>
      </c>
      <c r="G154" s="21" t="s">
        <v>866</v>
      </c>
      <c r="H154" s="21" t="s">
        <v>866</v>
      </c>
      <c r="I154" s="23" t="s">
        <v>866</v>
      </c>
      <c r="J154" s="21" t="s">
        <v>866</v>
      </c>
    </row>
    <row r="155" spans="1:10" x14ac:dyDescent="0.2">
      <c r="A155">
        <v>840131</v>
      </c>
      <c r="B155" t="s">
        <v>21</v>
      </c>
      <c r="C155">
        <v>0</v>
      </c>
      <c r="D155" t="s">
        <v>34</v>
      </c>
      <c r="E155" t="s">
        <v>1019</v>
      </c>
      <c r="F155" t="s">
        <v>865</v>
      </c>
      <c r="G155" s="21" t="s">
        <v>866</v>
      </c>
      <c r="H155" s="21" t="s">
        <v>866</v>
      </c>
      <c r="I155" s="23" t="s">
        <v>866</v>
      </c>
      <c r="J155" s="21" t="s">
        <v>866</v>
      </c>
    </row>
    <row r="156" spans="1:10" x14ac:dyDescent="0.2">
      <c r="A156">
        <v>840157</v>
      </c>
      <c r="B156" t="s">
        <v>21</v>
      </c>
      <c r="C156">
        <v>0</v>
      </c>
      <c r="D156" t="s">
        <v>34</v>
      </c>
      <c r="E156" t="s">
        <v>1020</v>
      </c>
      <c r="F156" t="s">
        <v>865</v>
      </c>
      <c r="G156" s="21" t="s">
        <v>866</v>
      </c>
      <c r="H156" s="21" t="s">
        <v>866</v>
      </c>
      <c r="I156" s="23" t="s">
        <v>866</v>
      </c>
      <c r="J156" s="21" t="s">
        <v>866</v>
      </c>
    </row>
    <row r="157" spans="1:10" x14ac:dyDescent="0.2">
      <c r="A157">
        <v>840165</v>
      </c>
      <c r="B157" t="s">
        <v>21</v>
      </c>
      <c r="C157">
        <v>0</v>
      </c>
      <c r="D157" t="s">
        <v>34</v>
      </c>
      <c r="E157" t="s">
        <v>1021</v>
      </c>
      <c r="F157" t="s">
        <v>865</v>
      </c>
      <c r="G157" s="21" t="s">
        <v>866</v>
      </c>
      <c r="H157" s="21" t="s">
        <v>866</v>
      </c>
      <c r="I157" s="23" t="s">
        <v>866</v>
      </c>
      <c r="J157" s="21" t="s">
        <v>866</v>
      </c>
    </row>
    <row r="158" spans="1:10" x14ac:dyDescent="0.2">
      <c r="A158">
        <v>840173</v>
      </c>
      <c r="B158" t="s">
        <v>21</v>
      </c>
      <c r="C158">
        <v>0</v>
      </c>
      <c r="D158" t="s">
        <v>34</v>
      </c>
      <c r="E158" t="s">
        <v>1022</v>
      </c>
      <c r="F158" t="s">
        <v>865</v>
      </c>
      <c r="G158" s="21" t="s">
        <v>866</v>
      </c>
      <c r="H158" s="21" t="s">
        <v>866</v>
      </c>
      <c r="I158" s="23" t="s">
        <v>866</v>
      </c>
      <c r="J158" s="21" t="s">
        <v>866</v>
      </c>
    </row>
    <row r="159" spans="1:10" x14ac:dyDescent="0.2">
      <c r="A159">
        <v>840190</v>
      </c>
      <c r="B159" t="s">
        <v>21</v>
      </c>
      <c r="C159">
        <v>0</v>
      </c>
      <c r="D159" t="s">
        <v>34</v>
      </c>
      <c r="E159" t="s">
        <v>1023</v>
      </c>
      <c r="F159" t="s">
        <v>865</v>
      </c>
      <c r="G159" s="21" t="s">
        <v>866</v>
      </c>
      <c r="H159" s="21" t="s">
        <v>866</v>
      </c>
      <c r="I159" s="23" t="s">
        <v>866</v>
      </c>
      <c r="J159" s="21" t="s">
        <v>866</v>
      </c>
    </row>
    <row r="160" spans="1:10" x14ac:dyDescent="0.2">
      <c r="A160">
        <v>840211</v>
      </c>
      <c r="B160" t="s">
        <v>21</v>
      </c>
      <c r="C160">
        <v>0</v>
      </c>
      <c r="D160" t="s">
        <v>34</v>
      </c>
      <c r="E160" t="s">
        <v>1024</v>
      </c>
      <c r="F160" t="s">
        <v>865</v>
      </c>
      <c r="G160" s="21" t="s">
        <v>866</v>
      </c>
      <c r="H160" s="21" t="s">
        <v>866</v>
      </c>
      <c r="I160" s="23" t="s">
        <v>866</v>
      </c>
      <c r="J160" s="21" t="s">
        <v>866</v>
      </c>
    </row>
    <row r="161" spans="1:10" x14ac:dyDescent="0.2">
      <c r="A161">
        <v>840220</v>
      </c>
      <c r="B161" t="s">
        <v>21</v>
      </c>
      <c r="C161">
        <v>0</v>
      </c>
      <c r="D161" t="s">
        <v>34</v>
      </c>
      <c r="E161" t="s">
        <v>1025</v>
      </c>
      <c r="F161" t="s">
        <v>865</v>
      </c>
      <c r="G161" s="21" t="s">
        <v>866</v>
      </c>
      <c r="H161" s="21" t="s">
        <v>866</v>
      </c>
      <c r="I161" s="23" t="s">
        <v>866</v>
      </c>
      <c r="J161" s="21" t="s">
        <v>866</v>
      </c>
    </row>
    <row r="162" spans="1:10" x14ac:dyDescent="0.2">
      <c r="A162">
        <v>840238</v>
      </c>
      <c r="B162" t="s">
        <v>21</v>
      </c>
      <c r="C162">
        <v>0</v>
      </c>
      <c r="D162" t="s">
        <v>34</v>
      </c>
      <c r="E162" t="s">
        <v>1026</v>
      </c>
      <c r="F162" t="s">
        <v>865</v>
      </c>
      <c r="G162" s="21" t="s">
        <v>866</v>
      </c>
      <c r="H162" s="21" t="s">
        <v>866</v>
      </c>
      <c r="I162" s="23" t="s">
        <v>866</v>
      </c>
      <c r="J162" s="21" t="s">
        <v>866</v>
      </c>
    </row>
    <row r="163" spans="1:10" x14ac:dyDescent="0.2">
      <c r="A163">
        <v>840246</v>
      </c>
      <c r="B163" t="s">
        <v>21</v>
      </c>
      <c r="C163">
        <v>0</v>
      </c>
      <c r="D163" t="s">
        <v>34</v>
      </c>
      <c r="E163" t="s">
        <v>1027</v>
      </c>
      <c r="F163" t="s">
        <v>865</v>
      </c>
      <c r="G163" s="21" t="s">
        <v>866</v>
      </c>
      <c r="H163" s="21" t="s">
        <v>866</v>
      </c>
      <c r="I163" s="23" t="s">
        <v>866</v>
      </c>
      <c r="J163" s="21" t="s">
        <v>866</v>
      </c>
    </row>
    <row r="164" spans="1:10" x14ac:dyDescent="0.2">
      <c r="A164">
        <v>840254</v>
      </c>
      <c r="B164" t="s">
        <v>21</v>
      </c>
      <c r="C164">
        <v>0</v>
      </c>
      <c r="D164" t="s">
        <v>34</v>
      </c>
      <c r="E164" t="s">
        <v>1028</v>
      </c>
      <c r="F164" t="s">
        <v>865</v>
      </c>
      <c r="G164" s="21" t="s">
        <v>866</v>
      </c>
      <c r="H164" s="21" t="s">
        <v>866</v>
      </c>
      <c r="I164" s="23" t="s">
        <v>866</v>
      </c>
      <c r="J164" s="21" t="s">
        <v>866</v>
      </c>
    </row>
    <row r="165" spans="1:10" x14ac:dyDescent="0.2">
      <c r="A165">
        <v>840262</v>
      </c>
      <c r="B165" t="s">
        <v>21</v>
      </c>
      <c r="C165">
        <v>0</v>
      </c>
      <c r="D165" t="s">
        <v>34</v>
      </c>
      <c r="E165" t="s">
        <v>1029</v>
      </c>
      <c r="F165" t="s">
        <v>865</v>
      </c>
      <c r="G165" s="21" t="s">
        <v>866</v>
      </c>
      <c r="H165" s="21" t="s">
        <v>866</v>
      </c>
      <c r="I165" s="23" t="s">
        <v>866</v>
      </c>
      <c r="J165" s="21" t="s">
        <v>866</v>
      </c>
    </row>
    <row r="166" spans="1:10" x14ac:dyDescent="0.2">
      <c r="A166">
        <v>840271</v>
      </c>
      <c r="B166" t="s">
        <v>21</v>
      </c>
      <c r="C166">
        <v>0</v>
      </c>
      <c r="D166" t="s">
        <v>34</v>
      </c>
      <c r="E166" t="s">
        <v>1030</v>
      </c>
      <c r="F166" t="s">
        <v>865</v>
      </c>
      <c r="G166" s="21" t="s">
        <v>866</v>
      </c>
      <c r="H166" s="21" t="s">
        <v>866</v>
      </c>
      <c r="I166" s="23" t="s">
        <v>866</v>
      </c>
      <c r="J166" s="21" t="s">
        <v>866</v>
      </c>
    </row>
    <row r="167" spans="1:10" x14ac:dyDescent="0.2">
      <c r="A167">
        <v>840301</v>
      </c>
      <c r="B167" t="s">
        <v>21</v>
      </c>
      <c r="C167">
        <v>0</v>
      </c>
      <c r="D167" t="s">
        <v>34</v>
      </c>
      <c r="E167" t="s">
        <v>1031</v>
      </c>
      <c r="F167" t="s">
        <v>865</v>
      </c>
      <c r="G167" s="21" t="s">
        <v>866</v>
      </c>
      <c r="H167" s="21" t="s">
        <v>866</v>
      </c>
      <c r="I167" s="23" t="s">
        <v>866</v>
      </c>
      <c r="J167" s="21" t="s">
        <v>866</v>
      </c>
    </row>
    <row r="168" spans="1:10" x14ac:dyDescent="0.2">
      <c r="A168">
        <v>840327</v>
      </c>
      <c r="B168" t="s">
        <v>21</v>
      </c>
      <c r="C168">
        <v>0</v>
      </c>
      <c r="D168" t="s">
        <v>34</v>
      </c>
      <c r="E168" t="s">
        <v>1032</v>
      </c>
      <c r="F168" t="s">
        <v>865</v>
      </c>
      <c r="G168" s="21" t="s">
        <v>866</v>
      </c>
      <c r="H168" s="21" t="s">
        <v>866</v>
      </c>
      <c r="I168" s="23" t="s">
        <v>866</v>
      </c>
      <c r="J168" s="21" t="s">
        <v>866</v>
      </c>
    </row>
    <row r="169" spans="1:10" x14ac:dyDescent="0.2">
      <c r="A169">
        <v>840343</v>
      </c>
      <c r="B169" t="s">
        <v>21</v>
      </c>
      <c r="C169">
        <v>0</v>
      </c>
      <c r="D169" t="s">
        <v>34</v>
      </c>
      <c r="E169" t="s">
        <v>1033</v>
      </c>
      <c r="F169" t="s">
        <v>865</v>
      </c>
      <c r="G169" s="21" t="s">
        <v>866</v>
      </c>
      <c r="H169" s="21" t="s">
        <v>866</v>
      </c>
      <c r="I169" s="23" t="s">
        <v>866</v>
      </c>
      <c r="J169" s="21" t="s">
        <v>866</v>
      </c>
    </row>
    <row r="170" spans="1:10" x14ac:dyDescent="0.2">
      <c r="A170">
        <v>840351</v>
      </c>
      <c r="B170" t="s">
        <v>21</v>
      </c>
      <c r="C170">
        <v>0</v>
      </c>
      <c r="D170" t="s">
        <v>34</v>
      </c>
      <c r="E170" t="s">
        <v>1034</v>
      </c>
      <c r="F170" t="s">
        <v>865</v>
      </c>
      <c r="G170" s="21" t="s">
        <v>866</v>
      </c>
      <c r="H170" s="21" t="s">
        <v>866</v>
      </c>
      <c r="I170" s="23" t="s">
        <v>866</v>
      </c>
      <c r="J170" s="21" t="s">
        <v>866</v>
      </c>
    </row>
    <row r="171" spans="1:10" x14ac:dyDescent="0.2">
      <c r="A171">
        <v>840360</v>
      </c>
      <c r="B171" t="s">
        <v>21</v>
      </c>
      <c r="C171">
        <v>0</v>
      </c>
      <c r="D171" t="s">
        <v>34</v>
      </c>
      <c r="E171" t="s">
        <v>1035</v>
      </c>
      <c r="F171" t="s">
        <v>865</v>
      </c>
      <c r="G171" s="21" t="s">
        <v>866</v>
      </c>
      <c r="H171" s="21" t="s">
        <v>866</v>
      </c>
      <c r="I171" s="23" t="s">
        <v>866</v>
      </c>
      <c r="J171" s="21" t="s">
        <v>866</v>
      </c>
    </row>
    <row r="172" spans="1:10" x14ac:dyDescent="0.2">
      <c r="A172">
        <v>840378</v>
      </c>
      <c r="B172" t="s">
        <v>21</v>
      </c>
      <c r="C172">
        <v>0</v>
      </c>
      <c r="D172" t="s">
        <v>34</v>
      </c>
      <c r="E172" t="s">
        <v>1036</v>
      </c>
      <c r="F172" t="s">
        <v>865</v>
      </c>
      <c r="G172" s="21" t="s">
        <v>866</v>
      </c>
      <c r="H172" s="21" t="s">
        <v>866</v>
      </c>
      <c r="I172" s="23" t="s">
        <v>866</v>
      </c>
      <c r="J172" s="21" t="s">
        <v>866</v>
      </c>
    </row>
    <row r="173" spans="1:10" x14ac:dyDescent="0.2">
      <c r="A173">
        <v>840386</v>
      </c>
      <c r="B173" t="s">
        <v>21</v>
      </c>
      <c r="C173">
        <v>0</v>
      </c>
      <c r="D173" t="s">
        <v>34</v>
      </c>
      <c r="E173" t="s">
        <v>1037</v>
      </c>
      <c r="F173" t="s">
        <v>865</v>
      </c>
      <c r="G173" s="21" t="s">
        <v>866</v>
      </c>
      <c r="H173" s="21" t="s">
        <v>866</v>
      </c>
      <c r="I173" s="23" t="s">
        <v>866</v>
      </c>
      <c r="J173" s="21" t="s">
        <v>866</v>
      </c>
    </row>
    <row r="174" spans="1:10" x14ac:dyDescent="0.2">
      <c r="A174">
        <v>840394</v>
      </c>
      <c r="B174" t="s">
        <v>21</v>
      </c>
      <c r="C174">
        <v>0</v>
      </c>
      <c r="D174" t="s">
        <v>34</v>
      </c>
      <c r="E174" t="s">
        <v>1038</v>
      </c>
      <c r="F174" t="s">
        <v>865</v>
      </c>
      <c r="G174" s="21" t="s">
        <v>866</v>
      </c>
      <c r="H174" s="21" t="s">
        <v>866</v>
      </c>
      <c r="I174" s="23" t="s">
        <v>866</v>
      </c>
      <c r="J174" s="21" t="s">
        <v>866</v>
      </c>
    </row>
    <row r="175" spans="1:10" x14ac:dyDescent="0.2">
      <c r="A175">
        <v>840408</v>
      </c>
      <c r="B175" t="s">
        <v>21</v>
      </c>
      <c r="C175">
        <v>0</v>
      </c>
      <c r="D175" t="s">
        <v>34</v>
      </c>
      <c r="E175" t="s">
        <v>1039</v>
      </c>
      <c r="F175" t="s">
        <v>865</v>
      </c>
      <c r="G175" s="21" t="s">
        <v>866</v>
      </c>
      <c r="H175" s="21" t="s">
        <v>866</v>
      </c>
      <c r="I175" s="23" t="s">
        <v>866</v>
      </c>
      <c r="J175" s="21" t="s">
        <v>866</v>
      </c>
    </row>
    <row r="176" spans="1:10" x14ac:dyDescent="0.2">
      <c r="A176">
        <v>840416</v>
      </c>
      <c r="B176" t="s">
        <v>21</v>
      </c>
      <c r="C176">
        <v>0</v>
      </c>
      <c r="D176" t="s">
        <v>34</v>
      </c>
      <c r="E176" t="s">
        <v>1040</v>
      </c>
      <c r="F176" t="s">
        <v>865</v>
      </c>
      <c r="G176" s="21" t="s">
        <v>866</v>
      </c>
      <c r="H176" s="21" t="s">
        <v>866</v>
      </c>
      <c r="I176" s="23" t="s">
        <v>866</v>
      </c>
      <c r="J176" s="21" t="s">
        <v>866</v>
      </c>
    </row>
    <row r="177" spans="1:10" x14ac:dyDescent="0.2">
      <c r="A177">
        <v>840424</v>
      </c>
      <c r="B177" t="s">
        <v>21</v>
      </c>
      <c r="C177">
        <v>0</v>
      </c>
      <c r="D177" t="s">
        <v>34</v>
      </c>
      <c r="E177" t="s">
        <v>1041</v>
      </c>
      <c r="F177" t="s">
        <v>865</v>
      </c>
      <c r="G177" s="21" t="s">
        <v>866</v>
      </c>
      <c r="H177" s="21" t="s">
        <v>866</v>
      </c>
      <c r="I177" s="23" t="s">
        <v>866</v>
      </c>
      <c r="J177" s="21" t="s">
        <v>866</v>
      </c>
    </row>
    <row r="178" spans="1:10" x14ac:dyDescent="0.2">
      <c r="A178">
        <v>840432</v>
      </c>
      <c r="B178" t="s">
        <v>21</v>
      </c>
      <c r="C178">
        <v>0</v>
      </c>
      <c r="D178" t="s">
        <v>34</v>
      </c>
      <c r="E178" t="s">
        <v>1042</v>
      </c>
      <c r="F178" t="s">
        <v>865</v>
      </c>
      <c r="G178" s="21" t="s">
        <v>866</v>
      </c>
      <c r="H178" s="21" t="s">
        <v>866</v>
      </c>
      <c r="I178" s="23" t="s">
        <v>866</v>
      </c>
      <c r="J178" s="21" t="s">
        <v>866</v>
      </c>
    </row>
    <row r="179" spans="1:10" x14ac:dyDescent="0.2">
      <c r="A179">
        <v>840441</v>
      </c>
      <c r="B179" t="s">
        <v>21</v>
      </c>
      <c r="C179">
        <v>0</v>
      </c>
      <c r="D179" t="s">
        <v>34</v>
      </c>
      <c r="E179" t="s">
        <v>1043</v>
      </c>
      <c r="F179" t="s">
        <v>865</v>
      </c>
      <c r="G179" s="21" t="s">
        <v>866</v>
      </c>
      <c r="H179" s="21" t="s">
        <v>866</v>
      </c>
      <c r="I179" s="23" t="s">
        <v>866</v>
      </c>
      <c r="J179" s="21" t="s">
        <v>866</v>
      </c>
    </row>
    <row r="180" spans="1:10" x14ac:dyDescent="0.2">
      <c r="A180">
        <v>840459</v>
      </c>
      <c r="B180" t="s">
        <v>21</v>
      </c>
      <c r="C180">
        <v>0</v>
      </c>
      <c r="D180" t="s">
        <v>34</v>
      </c>
      <c r="E180" t="s">
        <v>1044</v>
      </c>
      <c r="F180" t="s">
        <v>865</v>
      </c>
      <c r="G180" s="21" t="s">
        <v>866</v>
      </c>
      <c r="H180" s="21" t="s">
        <v>866</v>
      </c>
      <c r="I180" s="23" t="s">
        <v>866</v>
      </c>
      <c r="J180" s="21" t="s">
        <v>866</v>
      </c>
    </row>
    <row r="181" spans="1:10" x14ac:dyDescent="0.2">
      <c r="A181">
        <v>840467</v>
      </c>
      <c r="B181" t="s">
        <v>21</v>
      </c>
      <c r="C181">
        <v>0</v>
      </c>
      <c r="D181" t="s">
        <v>34</v>
      </c>
      <c r="E181" t="s">
        <v>1045</v>
      </c>
      <c r="F181" t="s">
        <v>865</v>
      </c>
      <c r="G181" s="21" t="s">
        <v>866</v>
      </c>
      <c r="H181" s="21" t="s">
        <v>866</v>
      </c>
      <c r="I181" s="23" t="s">
        <v>866</v>
      </c>
      <c r="J181" s="21" t="s">
        <v>866</v>
      </c>
    </row>
    <row r="182" spans="1:10" x14ac:dyDescent="0.2">
      <c r="A182">
        <v>840521</v>
      </c>
      <c r="B182" t="s">
        <v>21</v>
      </c>
      <c r="C182">
        <v>0</v>
      </c>
      <c r="D182" t="s">
        <v>34</v>
      </c>
      <c r="E182" t="s">
        <v>1046</v>
      </c>
      <c r="F182" t="s">
        <v>865</v>
      </c>
      <c r="G182" s="21" t="s">
        <v>866</v>
      </c>
      <c r="H182" s="21" t="s">
        <v>866</v>
      </c>
      <c r="I182" s="23" t="s">
        <v>866</v>
      </c>
      <c r="J182" s="21" t="s">
        <v>866</v>
      </c>
    </row>
    <row r="183" spans="1:10" x14ac:dyDescent="0.2">
      <c r="A183">
        <v>840548</v>
      </c>
      <c r="B183" t="s">
        <v>21</v>
      </c>
      <c r="C183">
        <v>0</v>
      </c>
      <c r="D183" t="s">
        <v>34</v>
      </c>
      <c r="E183" t="s">
        <v>1047</v>
      </c>
      <c r="F183" t="s">
        <v>865</v>
      </c>
      <c r="G183" s="21" t="s">
        <v>866</v>
      </c>
      <c r="H183" s="21" t="s">
        <v>866</v>
      </c>
      <c r="I183" s="23" t="s">
        <v>866</v>
      </c>
      <c r="J183" s="21" t="s">
        <v>866</v>
      </c>
    </row>
    <row r="184" spans="1:10" x14ac:dyDescent="0.2">
      <c r="A184">
        <v>840556</v>
      </c>
      <c r="B184" t="s">
        <v>21</v>
      </c>
      <c r="C184">
        <v>0</v>
      </c>
      <c r="D184" t="s">
        <v>34</v>
      </c>
      <c r="E184" t="s">
        <v>1048</v>
      </c>
      <c r="F184" t="s">
        <v>865</v>
      </c>
      <c r="G184" s="21" t="s">
        <v>866</v>
      </c>
      <c r="H184" s="21" t="s">
        <v>866</v>
      </c>
      <c r="I184" s="23" t="s">
        <v>866</v>
      </c>
      <c r="J184" s="21" t="s">
        <v>866</v>
      </c>
    </row>
    <row r="185" spans="1:10" x14ac:dyDescent="0.2">
      <c r="A185">
        <v>840564</v>
      </c>
      <c r="B185" t="s">
        <v>21</v>
      </c>
      <c r="C185">
        <v>0</v>
      </c>
      <c r="D185" t="s">
        <v>34</v>
      </c>
      <c r="E185" t="s">
        <v>1049</v>
      </c>
      <c r="F185" t="s">
        <v>865</v>
      </c>
      <c r="G185" s="21" t="s">
        <v>866</v>
      </c>
      <c r="H185" s="21" t="s">
        <v>866</v>
      </c>
      <c r="I185" s="23" t="s">
        <v>866</v>
      </c>
      <c r="J185" s="21" t="s">
        <v>866</v>
      </c>
    </row>
    <row r="186" spans="1:10" x14ac:dyDescent="0.2">
      <c r="A186">
        <v>840572</v>
      </c>
      <c r="B186" t="s">
        <v>21</v>
      </c>
      <c r="C186">
        <v>0</v>
      </c>
      <c r="D186" t="s">
        <v>34</v>
      </c>
      <c r="E186" t="s">
        <v>1050</v>
      </c>
      <c r="F186" t="s">
        <v>865</v>
      </c>
      <c r="G186" s="21" t="s">
        <v>866</v>
      </c>
      <c r="H186" s="21" t="s">
        <v>866</v>
      </c>
      <c r="I186" s="23" t="s">
        <v>866</v>
      </c>
      <c r="J186" s="21" t="s">
        <v>866</v>
      </c>
    </row>
    <row r="187" spans="1:10" x14ac:dyDescent="0.2">
      <c r="A187">
        <v>840581</v>
      </c>
      <c r="B187" t="s">
        <v>21</v>
      </c>
      <c r="C187">
        <v>0</v>
      </c>
      <c r="D187" t="s">
        <v>34</v>
      </c>
      <c r="E187" t="s">
        <v>1051</v>
      </c>
      <c r="F187" t="s">
        <v>865</v>
      </c>
      <c r="G187" s="21" t="s">
        <v>866</v>
      </c>
      <c r="H187" s="21" t="s">
        <v>866</v>
      </c>
      <c r="I187" s="23" t="s">
        <v>866</v>
      </c>
      <c r="J187" s="21" t="s">
        <v>866</v>
      </c>
    </row>
    <row r="188" spans="1:10" x14ac:dyDescent="0.2">
      <c r="A188">
        <v>840599</v>
      </c>
      <c r="B188" t="s">
        <v>21</v>
      </c>
      <c r="C188">
        <v>0</v>
      </c>
      <c r="D188" t="s">
        <v>34</v>
      </c>
      <c r="E188" t="s">
        <v>1052</v>
      </c>
      <c r="F188" t="s">
        <v>865</v>
      </c>
      <c r="G188" s="21" t="s">
        <v>866</v>
      </c>
      <c r="H188" s="21" t="s">
        <v>866</v>
      </c>
      <c r="I188" s="23" t="s">
        <v>866</v>
      </c>
      <c r="J188" s="21" t="s">
        <v>866</v>
      </c>
    </row>
    <row r="189" spans="1:10" x14ac:dyDescent="0.2">
      <c r="A189">
        <v>840602</v>
      </c>
      <c r="B189" t="s">
        <v>21</v>
      </c>
      <c r="C189">
        <v>0</v>
      </c>
      <c r="D189" t="s">
        <v>34</v>
      </c>
      <c r="E189" t="s">
        <v>1053</v>
      </c>
      <c r="F189" t="s">
        <v>865</v>
      </c>
      <c r="G189" s="21" t="s">
        <v>866</v>
      </c>
      <c r="H189" s="21" t="s">
        <v>866</v>
      </c>
      <c r="I189" s="23" t="s">
        <v>866</v>
      </c>
      <c r="J189" s="21" t="s">
        <v>866</v>
      </c>
    </row>
    <row r="190" spans="1:10" x14ac:dyDescent="0.2">
      <c r="A190">
        <v>840718</v>
      </c>
      <c r="B190" t="s">
        <v>21</v>
      </c>
      <c r="C190">
        <v>0</v>
      </c>
      <c r="D190" t="s">
        <v>34</v>
      </c>
      <c r="E190" t="s">
        <v>1054</v>
      </c>
      <c r="F190" t="s">
        <v>865</v>
      </c>
      <c r="G190" s="21" t="s">
        <v>866</v>
      </c>
      <c r="H190" s="21" t="s">
        <v>866</v>
      </c>
      <c r="I190" s="23" t="s">
        <v>866</v>
      </c>
      <c r="J190" s="21" t="s">
        <v>866</v>
      </c>
    </row>
    <row r="191" spans="1:10" x14ac:dyDescent="0.2">
      <c r="A191">
        <v>840823</v>
      </c>
      <c r="B191" t="s">
        <v>21</v>
      </c>
      <c r="C191">
        <v>0</v>
      </c>
      <c r="D191" t="s">
        <v>34</v>
      </c>
      <c r="E191" t="s">
        <v>1055</v>
      </c>
      <c r="F191" t="s">
        <v>865</v>
      </c>
      <c r="G191" s="21" t="s">
        <v>866</v>
      </c>
      <c r="H191" s="21" t="s">
        <v>866</v>
      </c>
      <c r="I191" s="23" t="s">
        <v>866</v>
      </c>
      <c r="J191" s="21" t="s">
        <v>866</v>
      </c>
    </row>
    <row r="192" spans="1:10" x14ac:dyDescent="0.2">
      <c r="A192">
        <v>840840</v>
      </c>
      <c r="B192" t="s">
        <v>21</v>
      </c>
      <c r="C192">
        <v>0</v>
      </c>
      <c r="D192" t="s">
        <v>34</v>
      </c>
      <c r="E192" t="s">
        <v>1056</v>
      </c>
      <c r="F192" t="s">
        <v>865</v>
      </c>
      <c r="G192" s="21" t="s">
        <v>866</v>
      </c>
      <c r="H192" s="21" t="s">
        <v>866</v>
      </c>
      <c r="I192" s="23" t="s">
        <v>866</v>
      </c>
      <c r="J192" s="21" t="s">
        <v>866</v>
      </c>
    </row>
    <row r="193" spans="1:10" x14ac:dyDescent="0.2">
      <c r="A193">
        <v>840866</v>
      </c>
      <c r="B193" t="s">
        <v>21</v>
      </c>
      <c r="C193">
        <v>0</v>
      </c>
      <c r="D193" t="s">
        <v>34</v>
      </c>
      <c r="E193" t="s">
        <v>1057</v>
      </c>
      <c r="F193" t="s">
        <v>865</v>
      </c>
      <c r="G193" s="21" t="s">
        <v>866</v>
      </c>
      <c r="H193" s="21" t="s">
        <v>866</v>
      </c>
      <c r="I193" s="23" t="s">
        <v>866</v>
      </c>
      <c r="J193" s="21" t="s">
        <v>866</v>
      </c>
    </row>
    <row r="194" spans="1:10" x14ac:dyDescent="0.2">
      <c r="A194">
        <v>840904</v>
      </c>
      <c r="B194" t="s">
        <v>21</v>
      </c>
      <c r="C194">
        <v>0</v>
      </c>
      <c r="D194" t="s">
        <v>34</v>
      </c>
      <c r="E194" t="s">
        <v>1058</v>
      </c>
      <c r="F194" t="s">
        <v>865</v>
      </c>
      <c r="G194" s="21" t="s">
        <v>866</v>
      </c>
      <c r="H194" s="21" t="s">
        <v>866</v>
      </c>
      <c r="I194" s="23" t="s">
        <v>866</v>
      </c>
      <c r="J194" s="21" t="s">
        <v>866</v>
      </c>
    </row>
    <row r="195" spans="1:10" x14ac:dyDescent="0.2">
      <c r="A195">
        <v>840912</v>
      </c>
      <c r="B195" t="s">
        <v>21</v>
      </c>
      <c r="C195">
        <v>0</v>
      </c>
      <c r="D195" t="s">
        <v>34</v>
      </c>
      <c r="E195" t="s">
        <v>1059</v>
      </c>
      <c r="F195" t="s">
        <v>865</v>
      </c>
      <c r="G195" s="21" t="s">
        <v>866</v>
      </c>
      <c r="H195" s="21" t="s">
        <v>866</v>
      </c>
      <c r="I195" s="23" t="s">
        <v>866</v>
      </c>
      <c r="J195" s="21" t="s">
        <v>866</v>
      </c>
    </row>
    <row r="196" spans="1:10" x14ac:dyDescent="0.2">
      <c r="A196">
        <v>840921</v>
      </c>
      <c r="B196" t="s">
        <v>21</v>
      </c>
      <c r="C196">
        <v>0</v>
      </c>
      <c r="D196" t="s">
        <v>34</v>
      </c>
      <c r="E196" t="s">
        <v>1060</v>
      </c>
      <c r="F196" t="s">
        <v>865</v>
      </c>
      <c r="G196" s="21" t="s">
        <v>866</v>
      </c>
      <c r="H196" s="21" t="s">
        <v>866</v>
      </c>
      <c r="I196" s="23" t="s">
        <v>866</v>
      </c>
      <c r="J196" s="21" t="s">
        <v>866</v>
      </c>
    </row>
    <row r="197" spans="1:10" x14ac:dyDescent="0.2">
      <c r="A197">
        <v>840939</v>
      </c>
      <c r="B197" t="s">
        <v>21</v>
      </c>
      <c r="C197">
        <v>0</v>
      </c>
      <c r="D197" t="s">
        <v>34</v>
      </c>
      <c r="E197" t="s">
        <v>1061</v>
      </c>
      <c r="F197" t="s">
        <v>865</v>
      </c>
      <c r="G197" s="21" t="s">
        <v>866</v>
      </c>
      <c r="H197" s="21" t="s">
        <v>866</v>
      </c>
      <c r="I197" s="23" t="s">
        <v>866</v>
      </c>
      <c r="J197" s="21" t="s">
        <v>866</v>
      </c>
    </row>
    <row r="198" spans="1:10" x14ac:dyDescent="0.2">
      <c r="A198">
        <v>840955</v>
      </c>
      <c r="B198" t="s">
        <v>21</v>
      </c>
      <c r="C198">
        <v>0</v>
      </c>
      <c r="D198" t="s">
        <v>34</v>
      </c>
      <c r="E198" t="s">
        <v>1062</v>
      </c>
      <c r="F198" t="s">
        <v>865</v>
      </c>
      <c r="G198" s="21" t="s">
        <v>866</v>
      </c>
      <c r="H198" s="21" t="s">
        <v>866</v>
      </c>
      <c r="I198" s="23" t="s">
        <v>866</v>
      </c>
      <c r="J198" s="21" t="s">
        <v>866</v>
      </c>
    </row>
    <row r="199" spans="1:10" x14ac:dyDescent="0.2">
      <c r="A199">
        <v>840963</v>
      </c>
      <c r="B199" t="s">
        <v>21</v>
      </c>
      <c r="C199">
        <v>0</v>
      </c>
      <c r="D199" t="s">
        <v>34</v>
      </c>
      <c r="E199" t="s">
        <v>1063</v>
      </c>
      <c r="F199" t="s">
        <v>865</v>
      </c>
      <c r="G199" s="21" t="s">
        <v>866</v>
      </c>
      <c r="H199" s="21" t="s">
        <v>866</v>
      </c>
      <c r="I199" s="23" t="s">
        <v>866</v>
      </c>
      <c r="J199" s="21" t="s">
        <v>866</v>
      </c>
    </row>
    <row r="200" spans="1:10" x14ac:dyDescent="0.2">
      <c r="A200">
        <v>840980</v>
      </c>
      <c r="B200" t="s">
        <v>21</v>
      </c>
      <c r="C200">
        <v>0</v>
      </c>
      <c r="D200" t="s">
        <v>34</v>
      </c>
      <c r="E200" t="s">
        <v>1064</v>
      </c>
      <c r="F200" t="s">
        <v>865</v>
      </c>
      <c r="G200" s="21" t="s">
        <v>866</v>
      </c>
      <c r="H200" s="21" t="s">
        <v>866</v>
      </c>
      <c r="I200" s="23" t="s">
        <v>866</v>
      </c>
      <c r="J200" s="21" t="s">
        <v>866</v>
      </c>
    </row>
    <row r="201" spans="1:10" x14ac:dyDescent="0.2">
      <c r="A201">
        <v>840998</v>
      </c>
      <c r="B201" t="s">
        <v>21</v>
      </c>
      <c r="C201">
        <v>0</v>
      </c>
      <c r="D201" t="s">
        <v>34</v>
      </c>
      <c r="E201" t="s">
        <v>1065</v>
      </c>
      <c r="F201" t="s">
        <v>865</v>
      </c>
      <c r="G201" s="21" t="s">
        <v>866</v>
      </c>
      <c r="H201" s="21" t="s">
        <v>866</v>
      </c>
      <c r="I201" s="23" t="s">
        <v>866</v>
      </c>
      <c r="J201" s="21" t="s">
        <v>866</v>
      </c>
    </row>
    <row r="202" spans="1:10" x14ac:dyDescent="0.2">
      <c r="A202">
        <v>841005</v>
      </c>
      <c r="B202" t="s">
        <v>21</v>
      </c>
      <c r="C202">
        <v>0</v>
      </c>
      <c r="D202" t="s">
        <v>34</v>
      </c>
      <c r="E202" t="s">
        <v>1066</v>
      </c>
      <c r="F202" t="s">
        <v>865</v>
      </c>
      <c r="G202" s="21" t="s">
        <v>866</v>
      </c>
      <c r="H202" s="21" t="s">
        <v>866</v>
      </c>
      <c r="I202" s="23" t="s">
        <v>866</v>
      </c>
      <c r="J202" s="21" t="s">
        <v>866</v>
      </c>
    </row>
    <row r="203" spans="1:10" x14ac:dyDescent="0.2">
      <c r="A203">
        <v>841021</v>
      </c>
      <c r="B203" t="s">
        <v>21</v>
      </c>
      <c r="C203">
        <v>0</v>
      </c>
      <c r="D203" t="s">
        <v>34</v>
      </c>
      <c r="E203" t="s">
        <v>1067</v>
      </c>
      <c r="F203" t="s">
        <v>865</v>
      </c>
      <c r="G203" s="21" t="s">
        <v>866</v>
      </c>
      <c r="H203" s="21" t="s">
        <v>866</v>
      </c>
      <c r="I203" s="23" t="s">
        <v>866</v>
      </c>
      <c r="J203" s="21" t="s">
        <v>866</v>
      </c>
    </row>
    <row r="204" spans="1:10" x14ac:dyDescent="0.2">
      <c r="A204">
        <v>841030</v>
      </c>
      <c r="B204" t="s">
        <v>21</v>
      </c>
      <c r="C204">
        <v>0</v>
      </c>
      <c r="D204" t="s">
        <v>34</v>
      </c>
      <c r="E204" t="s">
        <v>1068</v>
      </c>
      <c r="F204" t="s">
        <v>865</v>
      </c>
      <c r="G204" s="21" t="s">
        <v>866</v>
      </c>
      <c r="H204" s="21" t="s">
        <v>866</v>
      </c>
      <c r="I204" s="23" t="s">
        <v>866</v>
      </c>
      <c r="J204" s="21" t="s">
        <v>866</v>
      </c>
    </row>
    <row r="205" spans="1:10" x14ac:dyDescent="0.2">
      <c r="A205">
        <v>841056</v>
      </c>
      <c r="B205" t="s">
        <v>21</v>
      </c>
      <c r="C205">
        <v>0</v>
      </c>
      <c r="D205" t="s">
        <v>34</v>
      </c>
      <c r="E205" t="s">
        <v>1069</v>
      </c>
      <c r="F205" t="s">
        <v>865</v>
      </c>
      <c r="G205" s="21" t="s">
        <v>866</v>
      </c>
      <c r="H205" s="21" t="s">
        <v>866</v>
      </c>
      <c r="I205" s="23" t="s">
        <v>866</v>
      </c>
      <c r="J205" s="21" t="s">
        <v>866</v>
      </c>
    </row>
    <row r="206" spans="1:10" x14ac:dyDescent="0.2">
      <c r="A206">
        <v>841064</v>
      </c>
      <c r="B206" t="s">
        <v>21</v>
      </c>
      <c r="C206">
        <v>0</v>
      </c>
      <c r="D206" t="s">
        <v>34</v>
      </c>
      <c r="E206" t="s">
        <v>1070</v>
      </c>
      <c r="F206" t="s">
        <v>865</v>
      </c>
      <c r="G206" s="21" t="s">
        <v>866</v>
      </c>
      <c r="H206" s="21" t="s">
        <v>866</v>
      </c>
      <c r="I206" s="23" t="s">
        <v>866</v>
      </c>
      <c r="J206" s="21" t="s">
        <v>866</v>
      </c>
    </row>
    <row r="207" spans="1:10" x14ac:dyDescent="0.2">
      <c r="A207">
        <v>841072</v>
      </c>
      <c r="B207" t="s">
        <v>21</v>
      </c>
      <c r="C207">
        <v>0</v>
      </c>
      <c r="D207" t="s">
        <v>34</v>
      </c>
      <c r="E207" t="s">
        <v>1071</v>
      </c>
      <c r="F207" t="s">
        <v>865</v>
      </c>
      <c r="G207" s="21" t="s">
        <v>866</v>
      </c>
      <c r="H207" s="21" t="s">
        <v>866</v>
      </c>
      <c r="I207" s="23" t="s">
        <v>866</v>
      </c>
      <c r="J207" s="21" t="s">
        <v>866</v>
      </c>
    </row>
    <row r="208" spans="1:10" x14ac:dyDescent="0.2">
      <c r="A208">
        <v>841081</v>
      </c>
      <c r="B208" t="s">
        <v>21</v>
      </c>
      <c r="C208">
        <v>0</v>
      </c>
      <c r="D208" t="s">
        <v>34</v>
      </c>
      <c r="E208" t="s">
        <v>1072</v>
      </c>
      <c r="F208" t="s">
        <v>865</v>
      </c>
      <c r="G208" s="21" t="s">
        <v>866</v>
      </c>
      <c r="H208" s="21" t="s">
        <v>866</v>
      </c>
      <c r="I208" s="23" t="s">
        <v>866</v>
      </c>
      <c r="J208" s="21" t="s">
        <v>866</v>
      </c>
    </row>
    <row r="209" spans="1:10" x14ac:dyDescent="0.2">
      <c r="A209">
        <v>841099</v>
      </c>
      <c r="B209" t="s">
        <v>21</v>
      </c>
      <c r="C209">
        <v>0</v>
      </c>
      <c r="D209" t="s">
        <v>34</v>
      </c>
      <c r="E209" t="s">
        <v>1073</v>
      </c>
      <c r="F209" t="s">
        <v>865</v>
      </c>
      <c r="G209" s="21" t="s">
        <v>866</v>
      </c>
      <c r="H209" s="21" t="s">
        <v>866</v>
      </c>
      <c r="I209" s="23" t="s">
        <v>866</v>
      </c>
      <c r="J209" s="21" t="s">
        <v>866</v>
      </c>
    </row>
    <row r="210" spans="1:10" x14ac:dyDescent="0.2">
      <c r="A210">
        <v>841111</v>
      </c>
      <c r="B210" t="s">
        <v>21</v>
      </c>
      <c r="C210">
        <v>0</v>
      </c>
      <c r="D210" t="s">
        <v>34</v>
      </c>
      <c r="E210" t="s">
        <v>1074</v>
      </c>
      <c r="F210" t="s">
        <v>865</v>
      </c>
      <c r="G210" s="21" t="s">
        <v>866</v>
      </c>
      <c r="H210" s="21" t="s">
        <v>866</v>
      </c>
      <c r="I210" s="23" t="s">
        <v>866</v>
      </c>
      <c r="J210" s="21" t="s">
        <v>866</v>
      </c>
    </row>
    <row r="211" spans="1:10" x14ac:dyDescent="0.2">
      <c r="A211">
        <v>841129</v>
      </c>
      <c r="B211" t="s">
        <v>21</v>
      </c>
      <c r="C211">
        <v>0</v>
      </c>
      <c r="D211" t="s">
        <v>34</v>
      </c>
      <c r="E211" t="s">
        <v>1075</v>
      </c>
      <c r="F211" t="s">
        <v>865</v>
      </c>
      <c r="G211" s="21" t="s">
        <v>866</v>
      </c>
      <c r="H211" s="21" t="s">
        <v>866</v>
      </c>
      <c r="I211" s="23" t="s">
        <v>866</v>
      </c>
      <c r="J211" s="21" t="s">
        <v>866</v>
      </c>
    </row>
    <row r="212" spans="1:10" x14ac:dyDescent="0.2">
      <c r="A212">
        <v>841137</v>
      </c>
      <c r="B212" t="s">
        <v>21</v>
      </c>
      <c r="C212">
        <v>0</v>
      </c>
      <c r="D212" t="s">
        <v>34</v>
      </c>
      <c r="E212" t="s">
        <v>1076</v>
      </c>
      <c r="F212" t="s">
        <v>865</v>
      </c>
      <c r="G212" s="21" t="s">
        <v>866</v>
      </c>
      <c r="H212" s="21" t="s">
        <v>866</v>
      </c>
      <c r="I212" s="23" t="s">
        <v>866</v>
      </c>
      <c r="J212" s="21" t="s">
        <v>866</v>
      </c>
    </row>
    <row r="213" spans="1:10" x14ac:dyDescent="0.2">
      <c r="A213">
        <v>841145</v>
      </c>
      <c r="B213" t="s">
        <v>21</v>
      </c>
      <c r="C213">
        <v>0</v>
      </c>
      <c r="D213" t="s">
        <v>34</v>
      </c>
      <c r="E213" t="s">
        <v>1077</v>
      </c>
      <c r="F213" t="s">
        <v>865</v>
      </c>
      <c r="G213" s="21" t="s">
        <v>866</v>
      </c>
      <c r="H213" s="21" t="s">
        <v>866</v>
      </c>
      <c r="I213" s="23" t="s">
        <v>866</v>
      </c>
      <c r="J213" s="21" t="s">
        <v>866</v>
      </c>
    </row>
    <row r="214" spans="1:10" x14ac:dyDescent="0.2">
      <c r="A214">
        <v>841153</v>
      </c>
      <c r="B214" t="s">
        <v>21</v>
      </c>
      <c r="C214">
        <v>0</v>
      </c>
      <c r="D214" t="s">
        <v>34</v>
      </c>
      <c r="E214" t="s">
        <v>1078</v>
      </c>
      <c r="F214" t="s">
        <v>865</v>
      </c>
      <c r="G214" s="21" t="s">
        <v>866</v>
      </c>
      <c r="H214" s="21" t="s">
        <v>866</v>
      </c>
      <c r="I214" s="23" t="s">
        <v>866</v>
      </c>
      <c r="J214" s="21" t="s">
        <v>866</v>
      </c>
    </row>
    <row r="215" spans="1:10" x14ac:dyDescent="0.2">
      <c r="A215">
        <v>841161</v>
      </c>
      <c r="B215" t="s">
        <v>21</v>
      </c>
      <c r="C215">
        <v>0</v>
      </c>
      <c r="D215" t="s">
        <v>34</v>
      </c>
      <c r="E215" t="s">
        <v>1079</v>
      </c>
      <c r="F215" t="s">
        <v>865</v>
      </c>
      <c r="G215" s="21" t="s">
        <v>866</v>
      </c>
      <c r="H215" s="21" t="s">
        <v>866</v>
      </c>
      <c r="I215" s="23" t="s">
        <v>866</v>
      </c>
      <c r="J215" s="21" t="s">
        <v>866</v>
      </c>
    </row>
    <row r="216" spans="1:10" x14ac:dyDescent="0.2">
      <c r="A216">
        <v>841188</v>
      </c>
      <c r="B216" t="s">
        <v>21</v>
      </c>
      <c r="C216">
        <v>0</v>
      </c>
      <c r="D216" t="s">
        <v>34</v>
      </c>
      <c r="E216" t="s">
        <v>1080</v>
      </c>
      <c r="F216" t="s">
        <v>865</v>
      </c>
      <c r="G216" s="21" t="s">
        <v>866</v>
      </c>
      <c r="H216" s="21" t="s">
        <v>866</v>
      </c>
      <c r="I216" s="23" t="s">
        <v>866</v>
      </c>
      <c r="J216" s="21" t="s">
        <v>866</v>
      </c>
    </row>
    <row r="217" spans="1:10" x14ac:dyDescent="0.2">
      <c r="A217">
        <v>841200</v>
      </c>
      <c r="B217" t="s">
        <v>21</v>
      </c>
      <c r="C217">
        <v>0</v>
      </c>
      <c r="D217" t="s">
        <v>34</v>
      </c>
      <c r="E217" t="s">
        <v>1081</v>
      </c>
      <c r="F217" t="s">
        <v>865</v>
      </c>
      <c r="G217" s="21" t="s">
        <v>866</v>
      </c>
      <c r="H217" s="21" t="s">
        <v>866</v>
      </c>
      <c r="I217" s="23" t="s">
        <v>866</v>
      </c>
      <c r="J217" s="21" t="s">
        <v>866</v>
      </c>
    </row>
    <row r="218" spans="1:10" x14ac:dyDescent="0.2">
      <c r="A218">
        <v>841226</v>
      </c>
      <c r="B218" t="s">
        <v>21</v>
      </c>
      <c r="C218">
        <v>0</v>
      </c>
      <c r="D218" t="s">
        <v>34</v>
      </c>
      <c r="E218" t="s">
        <v>1082</v>
      </c>
      <c r="F218" t="s">
        <v>865</v>
      </c>
      <c r="G218" s="21" t="s">
        <v>866</v>
      </c>
      <c r="H218" s="21" t="s">
        <v>866</v>
      </c>
      <c r="I218" s="23" t="s">
        <v>866</v>
      </c>
      <c r="J218" s="21" t="s">
        <v>866</v>
      </c>
    </row>
    <row r="219" spans="1:10" x14ac:dyDescent="0.2">
      <c r="A219">
        <v>841242</v>
      </c>
      <c r="B219" t="s">
        <v>21</v>
      </c>
      <c r="C219">
        <v>0</v>
      </c>
      <c r="D219" t="s">
        <v>34</v>
      </c>
      <c r="E219" t="s">
        <v>1083</v>
      </c>
      <c r="F219" t="s">
        <v>865</v>
      </c>
      <c r="G219" s="21" t="s">
        <v>866</v>
      </c>
      <c r="H219" s="21" t="s">
        <v>866</v>
      </c>
      <c r="I219" s="23" t="s">
        <v>866</v>
      </c>
      <c r="J219" s="21" t="s">
        <v>866</v>
      </c>
    </row>
    <row r="220" spans="1:10" x14ac:dyDescent="0.2">
      <c r="A220">
        <v>841251</v>
      </c>
      <c r="B220" t="s">
        <v>21</v>
      </c>
      <c r="C220">
        <v>0</v>
      </c>
      <c r="D220" t="s">
        <v>34</v>
      </c>
      <c r="E220" t="s">
        <v>1084</v>
      </c>
      <c r="F220" t="s">
        <v>865</v>
      </c>
      <c r="G220" s="21" t="s">
        <v>866</v>
      </c>
      <c r="H220" s="21" t="s">
        <v>866</v>
      </c>
      <c r="I220" s="23" t="s">
        <v>866</v>
      </c>
      <c r="J220" s="21" t="s">
        <v>866</v>
      </c>
    </row>
    <row r="221" spans="1:10" x14ac:dyDescent="0.2">
      <c r="A221">
        <v>841269</v>
      </c>
      <c r="B221" t="s">
        <v>21</v>
      </c>
      <c r="C221">
        <v>0</v>
      </c>
      <c r="D221" t="s">
        <v>34</v>
      </c>
      <c r="E221" t="s">
        <v>1085</v>
      </c>
      <c r="F221" t="s">
        <v>865</v>
      </c>
      <c r="G221" s="21" t="s">
        <v>866</v>
      </c>
      <c r="H221" s="21" t="s">
        <v>866</v>
      </c>
      <c r="I221" s="23" t="s">
        <v>866</v>
      </c>
      <c r="J221" s="21" t="s">
        <v>866</v>
      </c>
    </row>
    <row r="222" spans="1:10" x14ac:dyDescent="0.2">
      <c r="A222">
        <v>841366</v>
      </c>
      <c r="B222" t="s">
        <v>21</v>
      </c>
      <c r="C222">
        <v>0</v>
      </c>
      <c r="D222" t="s">
        <v>34</v>
      </c>
      <c r="E222" t="s">
        <v>1086</v>
      </c>
      <c r="F222" t="s">
        <v>865</v>
      </c>
      <c r="G222" s="21" t="s">
        <v>866</v>
      </c>
      <c r="H222" s="21" t="s">
        <v>866</v>
      </c>
      <c r="I222" s="23" t="s">
        <v>866</v>
      </c>
      <c r="J222" s="21" t="s">
        <v>866</v>
      </c>
    </row>
    <row r="223" spans="1:10" x14ac:dyDescent="0.2">
      <c r="A223">
        <v>841374</v>
      </c>
      <c r="B223" t="s">
        <v>21</v>
      </c>
      <c r="C223">
        <v>0</v>
      </c>
      <c r="D223" t="s">
        <v>34</v>
      </c>
      <c r="E223" t="s">
        <v>1087</v>
      </c>
      <c r="F223" t="s">
        <v>865</v>
      </c>
      <c r="G223" s="21" t="s">
        <v>866</v>
      </c>
      <c r="H223" s="21" t="s">
        <v>866</v>
      </c>
      <c r="I223" s="23" t="s">
        <v>866</v>
      </c>
      <c r="J223" s="21" t="s">
        <v>866</v>
      </c>
    </row>
    <row r="224" spans="1:10" x14ac:dyDescent="0.2">
      <c r="A224">
        <v>842001</v>
      </c>
      <c r="B224" t="s">
        <v>21</v>
      </c>
      <c r="C224">
        <v>0</v>
      </c>
      <c r="D224" t="s">
        <v>34</v>
      </c>
      <c r="E224" t="s">
        <v>1088</v>
      </c>
      <c r="F224" t="s">
        <v>865</v>
      </c>
      <c r="G224" s="21" t="s">
        <v>866</v>
      </c>
      <c r="H224" s="21" t="s">
        <v>866</v>
      </c>
      <c r="I224" s="23" t="s">
        <v>866</v>
      </c>
      <c r="J224" s="21" t="s">
        <v>866</v>
      </c>
    </row>
    <row r="225" spans="1:10" x14ac:dyDescent="0.2">
      <c r="A225">
        <v>842010</v>
      </c>
      <c r="B225" t="s">
        <v>21</v>
      </c>
      <c r="C225">
        <v>0</v>
      </c>
      <c r="D225" t="s">
        <v>34</v>
      </c>
      <c r="E225" t="s">
        <v>1089</v>
      </c>
      <c r="F225" t="s">
        <v>865</v>
      </c>
      <c r="G225" s="21" t="s">
        <v>866</v>
      </c>
      <c r="H225" s="21" t="s">
        <v>866</v>
      </c>
      <c r="I225" s="23" t="s">
        <v>866</v>
      </c>
      <c r="J225" s="21" t="s">
        <v>866</v>
      </c>
    </row>
    <row r="226" spans="1:10" x14ac:dyDescent="0.2">
      <c r="A226">
        <v>842028</v>
      </c>
      <c r="B226" t="s">
        <v>21</v>
      </c>
      <c r="C226">
        <v>0</v>
      </c>
      <c r="D226" t="s">
        <v>34</v>
      </c>
      <c r="E226" t="s">
        <v>1090</v>
      </c>
      <c r="F226" t="s">
        <v>865</v>
      </c>
      <c r="G226" s="21" t="s">
        <v>866</v>
      </c>
      <c r="H226" s="21" t="s">
        <v>866</v>
      </c>
      <c r="I226" s="23" t="s">
        <v>866</v>
      </c>
      <c r="J226" s="21" t="s">
        <v>866</v>
      </c>
    </row>
    <row r="227" spans="1:10" x14ac:dyDescent="0.2">
      <c r="A227">
        <v>842036</v>
      </c>
      <c r="B227" t="s">
        <v>21</v>
      </c>
      <c r="C227">
        <v>0</v>
      </c>
      <c r="D227" t="s">
        <v>34</v>
      </c>
      <c r="E227" t="s">
        <v>1091</v>
      </c>
      <c r="F227" t="s">
        <v>865</v>
      </c>
      <c r="G227" s="21" t="s">
        <v>866</v>
      </c>
      <c r="H227" s="21" t="s">
        <v>866</v>
      </c>
      <c r="I227" s="23" t="s">
        <v>866</v>
      </c>
      <c r="J227" s="21" t="s">
        <v>866</v>
      </c>
    </row>
    <row r="228" spans="1:10" x14ac:dyDescent="0.2">
      <c r="A228">
        <v>842052</v>
      </c>
      <c r="B228" t="s">
        <v>21</v>
      </c>
      <c r="C228">
        <v>0</v>
      </c>
      <c r="D228" t="s">
        <v>34</v>
      </c>
      <c r="E228" t="s">
        <v>1092</v>
      </c>
      <c r="F228" t="s">
        <v>865</v>
      </c>
      <c r="G228" s="21" t="s">
        <v>866</v>
      </c>
      <c r="H228" s="21" t="s">
        <v>866</v>
      </c>
      <c r="I228" s="23" t="s">
        <v>866</v>
      </c>
      <c r="J228" s="21" t="s">
        <v>866</v>
      </c>
    </row>
    <row r="229" spans="1:10" x14ac:dyDescent="0.2">
      <c r="A229">
        <v>842061</v>
      </c>
      <c r="B229" t="s">
        <v>21</v>
      </c>
      <c r="C229">
        <v>0</v>
      </c>
      <c r="D229" t="s">
        <v>34</v>
      </c>
      <c r="E229" t="s">
        <v>1093</v>
      </c>
      <c r="F229" t="s">
        <v>865</v>
      </c>
      <c r="G229" s="21" t="s">
        <v>866</v>
      </c>
      <c r="H229" s="21" t="s">
        <v>866</v>
      </c>
      <c r="I229" s="23" t="s">
        <v>866</v>
      </c>
      <c r="J229" s="21" t="s">
        <v>866</v>
      </c>
    </row>
    <row r="230" spans="1:10" x14ac:dyDescent="0.2">
      <c r="A230">
        <v>842079</v>
      </c>
      <c r="B230" t="s">
        <v>21</v>
      </c>
      <c r="C230">
        <v>0</v>
      </c>
      <c r="D230" t="s">
        <v>34</v>
      </c>
      <c r="E230" t="s">
        <v>1093</v>
      </c>
      <c r="F230" t="s">
        <v>865</v>
      </c>
      <c r="G230" s="21" t="s">
        <v>866</v>
      </c>
      <c r="H230" s="21" t="s">
        <v>866</v>
      </c>
      <c r="I230" s="23" t="s">
        <v>866</v>
      </c>
      <c r="J230" s="21" t="s">
        <v>866</v>
      </c>
    </row>
    <row r="231" spans="1:10" x14ac:dyDescent="0.2">
      <c r="A231">
        <v>843016</v>
      </c>
      <c r="B231" t="s">
        <v>21</v>
      </c>
      <c r="C231">
        <v>0</v>
      </c>
      <c r="D231" t="s">
        <v>34</v>
      </c>
      <c r="E231" t="s">
        <v>1094</v>
      </c>
      <c r="F231" t="s">
        <v>865</v>
      </c>
      <c r="G231" s="21" t="s">
        <v>866</v>
      </c>
      <c r="H231" s="21" t="s">
        <v>866</v>
      </c>
      <c r="I231" s="23" t="s">
        <v>866</v>
      </c>
      <c r="J231" s="21" t="s">
        <v>866</v>
      </c>
    </row>
    <row r="232" spans="1:10" x14ac:dyDescent="0.2">
      <c r="A232">
        <v>843024</v>
      </c>
      <c r="B232" t="s">
        <v>21</v>
      </c>
      <c r="C232">
        <v>0</v>
      </c>
      <c r="D232" t="s">
        <v>34</v>
      </c>
      <c r="E232" t="s">
        <v>1095</v>
      </c>
      <c r="F232" t="s">
        <v>865</v>
      </c>
      <c r="G232" s="21" t="s">
        <v>866</v>
      </c>
      <c r="H232" s="21" t="s">
        <v>866</v>
      </c>
      <c r="I232" s="23" t="s">
        <v>866</v>
      </c>
      <c r="J232" s="21" t="s">
        <v>866</v>
      </c>
    </row>
    <row r="233" spans="1:10" x14ac:dyDescent="0.2">
      <c r="A233">
        <v>850012</v>
      </c>
      <c r="B233" t="s">
        <v>21</v>
      </c>
      <c r="C233">
        <v>0</v>
      </c>
      <c r="D233" t="s">
        <v>34</v>
      </c>
      <c r="E233" t="s">
        <v>1096</v>
      </c>
      <c r="F233" t="s">
        <v>865</v>
      </c>
      <c r="G233" s="21" t="s">
        <v>866</v>
      </c>
      <c r="H233" s="21" t="s">
        <v>866</v>
      </c>
      <c r="I233" s="23" t="s">
        <v>866</v>
      </c>
      <c r="J233" s="21" t="s">
        <v>866</v>
      </c>
    </row>
    <row r="234" spans="1:10" x14ac:dyDescent="0.2">
      <c r="A234">
        <v>850039</v>
      </c>
      <c r="B234" t="s">
        <v>21</v>
      </c>
      <c r="C234">
        <v>0</v>
      </c>
      <c r="D234" t="s">
        <v>34</v>
      </c>
      <c r="E234" t="s">
        <v>1097</v>
      </c>
      <c r="F234" t="s">
        <v>865</v>
      </c>
      <c r="G234" s="21" t="s">
        <v>866</v>
      </c>
      <c r="H234" s="21" t="s">
        <v>866</v>
      </c>
      <c r="I234" s="23" t="s">
        <v>866</v>
      </c>
      <c r="J234" s="21" t="s">
        <v>866</v>
      </c>
    </row>
    <row r="235" spans="1:10" x14ac:dyDescent="0.2">
      <c r="A235">
        <v>850047</v>
      </c>
      <c r="B235" t="s">
        <v>21</v>
      </c>
      <c r="C235">
        <v>0</v>
      </c>
      <c r="D235" t="s">
        <v>34</v>
      </c>
      <c r="E235" t="s">
        <v>1098</v>
      </c>
      <c r="F235" t="s">
        <v>865</v>
      </c>
      <c r="G235" s="21" t="s">
        <v>866</v>
      </c>
      <c r="H235" s="21" t="s">
        <v>866</v>
      </c>
      <c r="I235" s="23" t="s">
        <v>866</v>
      </c>
      <c r="J235" s="21" t="s">
        <v>866</v>
      </c>
    </row>
    <row r="236" spans="1:10" x14ac:dyDescent="0.2">
      <c r="A236">
        <v>850063</v>
      </c>
      <c r="B236" t="s">
        <v>21</v>
      </c>
      <c r="C236">
        <v>0</v>
      </c>
      <c r="D236" t="s">
        <v>34</v>
      </c>
      <c r="E236" t="s">
        <v>1099</v>
      </c>
      <c r="F236" t="s">
        <v>865</v>
      </c>
      <c r="G236" s="21" t="s">
        <v>866</v>
      </c>
      <c r="H236" s="21" t="s">
        <v>866</v>
      </c>
      <c r="I236" s="23" t="s">
        <v>866</v>
      </c>
      <c r="J236" s="21" t="s">
        <v>866</v>
      </c>
    </row>
    <row r="237" spans="1:10" x14ac:dyDescent="0.2">
      <c r="A237">
        <v>850080</v>
      </c>
      <c r="B237" t="s">
        <v>21</v>
      </c>
      <c r="C237">
        <v>0</v>
      </c>
      <c r="D237" t="s">
        <v>34</v>
      </c>
      <c r="E237" t="s">
        <v>1100</v>
      </c>
      <c r="F237" t="s">
        <v>865</v>
      </c>
      <c r="G237" s="21" t="s">
        <v>866</v>
      </c>
      <c r="H237" s="21" t="s">
        <v>866</v>
      </c>
      <c r="I237" s="23" t="s">
        <v>866</v>
      </c>
      <c r="J237" s="21" t="s">
        <v>866</v>
      </c>
    </row>
    <row r="238" spans="1:10" x14ac:dyDescent="0.2">
      <c r="A238">
        <v>850101</v>
      </c>
      <c r="B238" t="s">
        <v>21</v>
      </c>
      <c r="C238">
        <v>0</v>
      </c>
      <c r="D238" t="s">
        <v>34</v>
      </c>
      <c r="E238" t="s">
        <v>1101</v>
      </c>
      <c r="F238" t="s">
        <v>865</v>
      </c>
      <c r="G238" s="21" t="s">
        <v>866</v>
      </c>
      <c r="H238" s="21" t="s">
        <v>866</v>
      </c>
      <c r="I238" s="23" t="s">
        <v>866</v>
      </c>
      <c r="J238" s="21" t="s">
        <v>866</v>
      </c>
    </row>
    <row r="239" spans="1:10" x14ac:dyDescent="0.2">
      <c r="A239">
        <v>850128</v>
      </c>
      <c r="B239" t="s">
        <v>21</v>
      </c>
      <c r="C239">
        <v>0</v>
      </c>
      <c r="D239" t="s">
        <v>34</v>
      </c>
      <c r="E239" t="s">
        <v>1102</v>
      </c>
      <c r="F239" t="s">
        <v>865</v>
      </c>
      <c r="G239" s="21" t="s">
        <v>866</v>
      </c>
      <c r="H239" s="21" t="s">
        <v>866</v>
      </c>
      <c r="I239" s="23" t="s">
        <v>866</v>
      </c>
      <c r="J239" s="21" t="s">
        <v>866</v>
      </c>
    </row>
    <row r="240" spans="1:10" x14ac:dyDescent="0.2">
      <c r="A240">
        <v>850144</v>
      </c>
      <c r="B240" t="s">
        <v>21</v>
      </c>
      <c r="C240">
        <v>0</v>
      </c>
      <c r="D240" t="s">
        <v>34</v>
      </c>
      <c r="E240" t="s">
        <v>1103</v>
      </c>
      <c r="F240" t="s">
        <v>865</v>
      </c>
      <c r="G240" s="21" t="s">
        <v>866</v>
      </c>
      <c r="H240" s="21" t="s">
        <v>866</v>
      </c>
      <c r="I240" s="23" t="s">
        <v>866</v>
      </c>
      <c r="J240" s="21" t="s">
        <v>866</v>
      </c>
    </row>
    <row r="241" spans="1:10" x14ac:dyDescent="0.2">
      <c r="A241">
        <v>850161</v>
      </c>
      <c r="B241" t="s">
        <v>21</v>
      </c>
      <c r="C241">
        <v>0</v>
      </c>
      <c r="D241" t="s">
        <v>34</v>
      </c>
      <c r="E241" t="s">
        <v>1104</v>
      </c>
      <c r="F241" t="s">
        <v>865</v>
      </c>
      <c r="G241" s="21" t="s">
        <v>866</v>
      </c>
      <c r="H241" s="21" t="s">
        <v>866</v>
      </c>
      <c r="I241" s="23" t="s">
        <v>866</v>
      </c>
      <c r="J241" s="21" t="s">
        <v>866</v>
      </c>
    </row>
    <row r="242" spans="1:10" x14ac:dyDescent="0.2">
      <c r="A242">
        <v>850187</v>
      </c>
      <c r="B242" t="s">
        <v>21</v>
      </c>
      <c r="C242">
        <v>0</v>
      </c>
      <c r="D242" t="s">
        <v>34</v>
      </c>
      <c r="E242" t="s">
        <v>1105</v>
      </c>
      <c r="F242" t="s">
        <v>865</v>
      </c>
      <c r="G242" s="21" t="s">
        <v>866</v>
      </c>
      <c r="H242" s="21" t="s">
        <v>866</v>
      </c>
      <c r="I242" s="23" t="s">
        <v>866</v>
      </c>
      <c r="J242" s="21" t="s">
        <v>866</v>
      </c>
    </row>
    <row r="243" spans="1:10" x14ac:dyDescent="0.2">
      <c r="A243">
        <v>850195</v>
      </c>
      <c r="B243" t="s">
        <v>21</v>
      </c>
      <c r="C243">
        <v>0</v>
      </c>
      <c r="D243" t="s">
        <v>34</v>
      </c>
      <c r="E243" t="s">
        <v>1106</v>
      </c>
      <c r="F243" t="s">
        <v>865</v>
      </c>
      <c r="G243" s="21" t="s">
        <v>866</v>
      </c>
      <c r="H243" s="21" t="s">
        <v>866</v>
      </c>
      <c r="I243" s="23" t="s">
        <v>866</v>
      </c>
      <c r="J243" s="21" t="s">
        <v>866</v>
      </c>
    </row>
    <row r="244" spans="1:10" x14ac:dyDescent="0.2">
      <c r="A244">
        <v>850209</v>
      </c>
      <c r="B244" t="s">
        <v>21</v>
      </c>
      <c r="C244">
        <v>0</v>
      </c>
      <c r="D244" t="s">
        <v>34</v>
      </c>
      <c r="E244" t="s">
        <v>1107</v>
      </c>
      <c r="F244" t="s">
        <v>865</v>
      </c>
      <c r="G244" s="21" t="s">
        <v>866</v>
      </c>
      <c r="H244" s="21" t="s">
        <v>866</v>
      </c>
      <c r="I244" s="23" t="s">
        <v>866</v>
      </c>
      <c r="J244" s="21" t="s">
        <v>866</v>
      </c>
    </row>
    <row r="245" spans="1:10" x14ac:dyDescent="0.2">
      <c r="A245">
        <v>850225</v>
      </c>
      <c r="B245" t="s">
        <v>21</v>
      </c>
      <c r="C245">
        <v>0</v>
      </c>
      <c r="D245" t="s">
        <v>34</v>
      </c>
      <c r="E245" t="s">
        <v>1108</v>
      </c>
      <c r="F245" t="s">
        <v>865</v>
      </c>
      <c r="G245" s="21" t="s">
        <v>866</v>
      </c>
      <c r="H245" s="21" t="s">
        <v>866</v>
      </c>
      <c r="I245" s="23" t="s">
        <v>866</v>
      </c>
      <c r="J245" s="21" t="s">
        <v>866</v>
      </c>
    </row>
    <row r="246" spans="1:10" x14ac:dyDescent="0.2">
      <c r="A246">
        <v>850233</v>
      </c>
      <c r="B246" t="s">
        <v>21</v>
      </c>
      <c r="C246">
        <v>0</v>
      </c>
      <c r="D246" t="s">
        <v>34</v>
      </c>
      <c r="E246" t="s">
        <v>1109</v>
      </c>
      <c r="F246" t="s">
        <v>865</v>
      </c>
      <c r="G246" s="21" t="s">
        <v>866</v>
      </c>
      <c r="H246" s="21" t="s">
        <v>866</v>
      </c>
      <c r="I246" s="23" t="s">
        <v>866</v>
      </c>
      <c r="J246" s="21" t="s">
        <v>866</v>
      </c>
    </row>
    <row r="247" spans="1:10" x14ac:dyDescent="0.2">
      <c r="A247">
        <v>850241</v>
      </c>
      <c r="B247" t="s">
        <v>21</v>
      </c>
      <c r="C247">
        <v>0</v>
      </c>
      <c r="D247" t="s">
        <v>34</v>
      </c>
      <c r="E247" t="s">
        <v>1110</v>
      </c>
      <c r="F247" t="s">
        <v>865</v>
      </c>
      <c r="G247" s="21" t="s">
        <v>866</v>
      </c>
      <c r="H247" s="21" t="s">
        <v>866</v>
      </c>
      <c r="I247" s="23" t="s">
        <v>866</v>
      </c>
      <c r="J247" s="21" t="s">
        <v>866</v>
      </c>
    </row>
    <row r="248" spans="1:10" x14ac:dyDescent="0.2">
      <c r="A248">
        <v>850250</v>
      </c>
      <c r="B248" t="s">
        <v>21</v>
      </c>
      <c r="C248">
        <v>0</v>
      </c>
      <c r="D248" t="s">
        <v>34</v>
      </c>
      <c r="E248" t="s">
        <v>1111</v>
      </c>
      <c r="F248" t="s">
        <v>865</v>
      </c>
      <c r="G248" s="21" t="s">
        <v>866</v>
      </c>
      <c r="H248" s="21" t="s">
        <v>866</v>
      </c>
      <c r="I248" s="23" t="s">
        <v>866</v>
      </c>
      <c r="J248" s="21" t="s">
        <v>866</v>
      </c>
    </row>
    <row r="249" spans="1:10" x14ac:dyDescent="0.2">
      <c r="A249">
        <v>850268</v>
      </c>
      <c r="B249" t="s">
        <v>21</v>
      </c>
      <c r="C249">
        <v>0</v>
      </c>
      <c r="D249" t="s">
        <v>34</v>
      </c>
      <c r="E249" t="s">
        <v>1112</v>
      </c>
      <c r="F249" t="s">
        <v>865</v>
      </c>
      <c r="G249" s="21" t="s">
        <v>866</v>
      </c>
      <c r="H249" s="21" t="s">
        <v>866</v>
      </c>
      <c r="I249" s="23" t="s">
        <v>866</v>
      </c>
      <c r="J249" s="21" t="s">
        <v>866</v>
      </c>
    </row>
    <row r="250" spans="1:10" x14ac:dyDescent="0.2">
      <c r="A250">
        <v>850276</v>
      </c>
      <c r="B250" t="s">
        <v>21</v>
      </c>
      <c r="C250">
        <v>0</v>
      </c>
      <c r="D250" t="s">
        <v>34</v>
      </c>
      <c r="E250" t="s">
        <v>1113</v>
      </c>
      <c r="F250" t="s">
        <v>865</v>
      </c>
      <c r="G250" s="21" t="s">
        <v>866</v>
      </c>
      <c r="H250" s="21" t="s">
        <v>866</v>
      </c>
      <c r="I250" s="23" t="s">
        <v>866</v>
      </c>
      <c r="J250" s="21" t="s">
        <v>866</v>
      </c>
    </row>
    <row r="251" spans="1:10" x14ac:dyDescent="0.2">
      <c r="A251">
        <v>850284</v>
      </c>
      <c r="B251" t="s">
        <v>21</v>
      </c>
      <c r="C251">
        <v>0</v>
      </c>
      <c r="D251" t="s">
        <v>34</v>
      </c>
      <c r="E251" t="s">
        <v>1114</v>
      </c>
      <c r="F251" t="s">
        <v>865</v>
      </c>
      <c r="G251" s="21" t="s">
        <v>866</v>
      </c>
      <c r="H251" s="21" t="s">
        <v>866</v>
      </c>
      <c r="I251" s="23" t="s">
        <v>866</v>
      </c>
      <c r="J251" s="21" t="s">
        <v>866</v>
      </c>
    </row>
    <row r="252" spans="1:10" x14ac:dyDescent="0.2">
      <c r="A252">
        <v>850292</v>
      </c>
      <c r="B252" t="s">
        <v>21</v>
      </c>
      <c r="C252">
        <v>0</v>
      </c>
      <c r="D252" t="s">
        <v>34</v>
      </c>
      <c r="E252" t="s">
        <v>1115</v>
      </c>
      <c r="F252" t="s">
        <v>865</v>
      </c>
      <c r="G252" s="21" t="s">
        <v>866</v>
      </c>
      <c r="H252" s="21" t="s">
        <v>866</v>
      </c>
      <c r="I252" s="23" t="s">
        <v>866</v>
      </c>
      <c r="J252" s="21" t="s">
        <v>866</v>
      </c>
    </row>
    <row r="253" spans="1:10" x14ac:dyDescent="0.2">
      <c r="A253">
        <v>850314</v>
      </c>
      <c r="B253" t="s">
        <v>21</v>
      </c>
      <c r="C253">
        <v>0</v>
      </c>
      <c r="D253" t="s">
        <v>34</v>
      </c>
      <c r="E253" t="s">
        <v>1116</v>
      </c>
      <c r="F253" t="s">
        <v>865</v>
      </c>
      <c r="G253" s="21" t="s">
        <v>866</v>
      </c>
      <c r="H253" s="21" t="s">
        <v>866</v>
      </c>
      <c r="I253" s="23" t="s">
        <v>866</v>
      </c>
      <c r="J253" s="21" t="s">
        <v>866</v>
      </c>
    </row>
    <row r="254" spans="1:10" x14ac:dyDescent="0.2">
      <c r="A254">
        <v>850331</v>
      </c>
      <c r="B254" t="s">
        <v>21</v>
      </c>
      <c r="C254">
        <v>0</v>
      </c>
      <c r="D254" t="s">
        <v>34</v>
      </c>
      <c r="E254" t="s">
        <v>1117</v>
      </c>
      <c r="F254" t="s">
        <v>865</v>
      </c>
      <c r="G254" s="21" t="s">
        <v>866</v>
      </c>
      <c r="H254" s="21" t="s">
        <v>866</v>
      </c>
      <c r="I254" s="23" t="s">
        <v>866</v>
      </c>
      <c r="J254" s="21" t="s">
        <v>866</v>
      </c>
    </row>
    <row r="255" spans="1:10" x14ac:dyDescent="0.2">
      <c r="A255">
        <v>850349</v>
      </c>
      <c r="B255" t="s">
        <v>21</v>
      </c>
      <c r="C255">
        <v>0</v>
      </c>
      <c r="D255" t="s">
        <v>34</v>
      </c>
      <c r="E255" t="s">
        <v>1118</v>
      </c>
      <c r="F255" t="s">
        <v>865</v>
      </c>
      <c r="G255" s="21" t="s">
        <v>866</v>
      </c>
      <c r="H255" s="21" t="s">
        <v>866</v>
      </c>
      <c r="I255" s="23" t="s">
        <v>866</v>
      </c>
      <c r="J255" s="21" t="s">
        <v>866</v>
      </c>
    </row>
    <row r="256" spans="1:10" x14ac:dyDescent="0.2">
      <c r="A256">
        <v>850357</v>
      </c>
      <c r="B256" t="s">
        <v>21</v>
      </c>
      <c r="C256">
        <v>0</v>
      </c>
      <c r="D256" t="s">
        <v>34</v>
      </c>
      <c r="E256" t="s">
        <v>1119</v>
      </c>
      <c r="F256" t="s">
        <v>865</v>
      </c>
      <c r="G256" s="21" t="s">
        <v>866</v>
      </c>
      <c r="H256" s="21" t="s">
        <v>866</v>
      </c>
      <c r="I256" s="23" t="s">
        <v>866</v>
      </c>
      <c r="J256" s="21" t="s">
        <v>866</v>
      </c>
    </row>
    <row r="257" spans="1:10" x14ac:dyDescent="0.2">
      <c r="A257">
        <v>850365</v>
      </c>
      <c r="B257" t="s">
        <v>21</v>
      </c>
      <c r="C257">
        <v>0</v>
      </c>
      <c r="D257" t="s">
        <v>34</v>
      </c>
      <c r="E257" t="s">
        <v>1120</v>
      </c>
      <c r="F257" t="s">
        <v>865</v>
      </c>
      <c r="G257" s="21" t="s">
        <v>866</v>
      </c>
      <c r="H257" s="21" t="s">
        <v>866</v>
      </c>
      <c r="I257" s="23" t="s">
        <v>866</v>
      </c>
      <c r="J257" s="21" t="s">
        <v>866</v>
      </c>
    </row>
    <row r="258" spans="1:10" x14ac:dyDescent="0.2">
      <c r="A258">
        <v>850373</v>
      </c>
      <c r="B258" t="s">
        <v>21</v>
      </c>
      <c r="C258">
        <v>0</v>
      </c>
      <c r="D258" t="s">
        <v>34</v>
      </c>
      <c r="E258" t="s">
        <v>1121</v>
      </c>
      <c r="F258" t="s">
        <v>865</v>
      </c>
      <c r="G258" s="21" t="s">
        <v>866</v>
      </c>
      <c r="H258" s="21" t="s">
        <v>866</v>
      </c>
      <c r="I258" s="23" t="s">
        <v>866</v>
      </c>
      <c r="J258" s="21" t="s">
        <v>866</v>
      </c>
    </row>
    <row r="259" spans="1:10" x14ac:dyDescent="0.2">
      <c r="A259">
        <v>850381</v>
      </c>
      <c r="B259" t="s">
        <v>21</v>
      </c>
      <c r="C259">
        <v>0</v>
      </c>
      <c r="D259" t="s">
        <v>34</v>
      </c>
      <c r="E259" t="s">
        <v>1122</v>
      </c>
      <c r="F259" t="s">
        <v>865</v>
      </c>
      <c r="G259" s="21" t="s">
        <v>866</v>
      </c>
      <c r="H259" s="21" t="s">
        <v>866</v>
      </c>
      <c r="I259" s="23" t="s">
        <v>866</v>
      </c>
      <c r="J259" s="21" t="s">
        <v>866</v>
      </c>
    </row>
    <row r="260" spans="1:10" x14ac:dyDescent="0.2">
      <c r="A260">
        <v>850390</v>
      </c>
      <c r="B260" t="s">
        <v>21</v>
      </c>
      <c r="C260">
        <v>0</v>
      </c>
      <c r="D260" t="s">
        <v>34</v>
      </c>
      <c r="E260" t="s">
        <v>1123</v>
      </c>
      <c r="F260" t="s">
        <v>865</v>
      </c>
      <c r="G260" s="21" t="s">
        <v>866</v>
      </c>
      <c r="H260" s="21" t="s">
        <v>866</v>
      </c>
      <c r="I260" s="23" t="s">
        <v>866</v>
      </c>
      <c r="J260" s="21" t="s">
        <v>866</v>
      </c>
    </row>
    <row r="261" spans="1:10" x14ac:dyDescent="0.2">
      <c r="A261">
        <v>850403</v>
      </c>
      <c r="B261" t="s">
        <v>21</v>
      </c>
      <c r="C261">
        <v>0</v>
      </c>
      <c r="D261" t="s">
        <v>34</v>
      </c>
      <c r="E261" t="s">
        <v>1124</v>
      </c>
      <c r="F261" t="s">
        <v>865</v>
      </c>
      <c r="G261" s="21" t="s">
        <v>866</v>
      </c>
      <c r="H261" s="21" t="s">
        <v>866</v>
      </c>
      <c r="I261" s="23" t="s">
        <v>866</v>
      </c>
      <c r="J261" s="21" t="s">
        <v>866</v>
      </c>
    </row>
    <row r="262" spans="1:10" x14ac:dyDescent="0.2">
      <c r="A262">
        <v>850411</v>
      </c>
      <c r="B262" t="s">
        <v>21</v>
      </c>
      <c r="C262">
        <v>0</v>
      </c>
      <c r="D262" t="s">
        <v>34</v>
      </c>
      <c r="E262" t="s">
        <v>1125</v>
      </c>
      <c r="F262" t="s">
        <v>865</v>
      </c>
      <c r="G262" s="21" t="s">
        <v>866</v>
      </c>
      <c r="H262" s="21" t="s">
        <v>866</v>
      </c>
      <c r="I262" s="23" t="s">
        <v>866</v>
      </c>
      <c r="J262" s="21" t="s">
        <v>866</v>
      </c>
    </row>
    <row r="263" spans="1:10" x14ac:dyDescent="0.2">
      <c r="A263">
        <v>850420</v>
      </c>
      <c r="B263" t="s">
        <v>21</v>
      </c>
      <c r="C263">
        <v>0</v>
      </c>
      <c r="D263" t="s">
        <v>34</v>
      </c>
      <c r="E263" t="s">
        <v>1126</v>
      </c>
      <c r="F263" t="s">
        <v>865</v>
      </c>
      <c r="G263" s="21" t="s">
        <v>866</v>
      </c>
      <c r="H263" s="21" t="s">
        <v>866</v>
      </c>
      <c r="I263" s="23" t="s">
        <v>866</v>
      </c>
      <c r="J263" s="21" t="s">
        <v>866</v>
      </c>
    </row>
    <row r="264" spans="1:10" x14ac:dyDescent="0.2">
      <c r="A264">
        <v>850438</v>
      </c>
      <c r="B264" t="s">
        <v>21</v>
      </c>
      <c r="C264">
        <v>0</v>
      </c>
      <c r="D264" t="s">
        <v>34</v>
      </c>
      <c r="E264" t="s">
        <v>1127</v>
      </c>
      <c r="F264" t="s">
        <v>865</v>
      </c>
      <c r="G264" s="21" t="s">
        <v>866</v>
      </c>
      <c r="H264" s="21" t="s">
        <v>866</v>
      </c>
      <c r="I264" s="23" t="s">
        <v>866</v>
      </c>
      <c r="J264" s="21" t="s">
        <v>866</v>
      </c>
    </row>
    <row r="265" spans="1:10" x14ac:dyDescent="0.2">
      <c r="A265">
        <v>850501</v>
      </c>
      <c r="B265" t="s">
        <v>21</v>
      </c>
      <c r="C265">
        <v>0</v>
      </c>
      <c r="D265" t="s">
        <v>34</v>
      </c>
      <c r="E265" t="s">
        <v>1128</v>
      </c>
      <c r="F265" t="s">
        <v>865</v>
      </c>
      <c r="G265" s="21" t="s">
        <v>866</v>
      </c>
      <c r="H265" s="21" t="s">
        <v>866</v>
      </c>
      <c r="I265" s="23" t="s">
        <v>866</v>
      </c>
      <c r="J265" s="21" t="s">
        <v>866</v>
      </c>
    </row>
    <row r="266" spans="1:10" x14ac:dyDescent="0.2">
      <c r="A266">
        <v>850535</v>
      </c>
      <c r="B266" t="s">
        <v>21</v>
      </c>
      <c r="C266">
        <v>0</v>
      </c>
      <c r="D266" t="s">
        <v>34</v>
      </c>
      <c r="E266" t="s">
        <v>1129</v>
      </c>
      <c r="F266" t="s">
        <v>865</v>
      </c>
      <c r="G266" s="21" t="s">
        <v>866</v>
      </c>
      <c r="H266" s="21" t="s">
        <v>866</v>
      </c>
      <c r="I266" s="23" t="s">
        <v>866</v>
      </c>
      <c r="J266" s="21" t="s">
        <v>866</v>
      </c>
    </row>
    <row r="267" spans="1:10" x14ac:dyDescent="0.2">
      <c r="A267">
        <v>850543</v>
      </c>
      <c r="B267" t="s">
        <v>21</v>
      </c>
      <c r="C267">
        <v>0</v>
      </c>
      <c r="D267" t="s">
        <v>34</v>
      </c>
      <c r="E267" t="s">
        <v>1130</v>
      </c>
      <c r="F267" t="s">
        <v>865</v>
      </c>
      <c r="G267" s="21" t="s">
        <v>866</v>
      </c>
      <c r="H267" s="21" t="s">
        <v>866</v>
      </c>
      <c r="I267" s="23" t="s">
        <v>866</v>
      </c>
      <c r="J267" s="21" t="s">
        <v>866</v>
      </c>
    </row>
    <row r="268" spans="1:10" x14ac:dyDescent="0.2">
      <c r="A268">
        <v>850551</v>
      </c>
      <c r="B268" t="s">
        <v>21</v>
      </c>
      <c r="C268">
        <v>0</v>
      </c>
      <c r="D268" t="s">
        <v>34</v>
      </c>
      <c r="E268" t="s">
        <v>1131</v>
      </c>
      <c r="F268" t="s">
        <v>865</v>
      </c>
      <c r="G268" s="21" t="s">
        <v>866</v>
      </c>
      <c r="H268" s="21" t="s">
        <v>866</v>
      </c>
      <c r="I268" s="23" t="s">
        <v>866</v>
      </c>
      <c r="J268" s="21" t="s">
        <v>866</v>
      </c>
    </row>
    <row r="269" spans="1:10" x14ac:dyDescent="0.2">
      <c r="A269">
        <v>850560</v>
      </c>
      <c r="B269" t="s">
        <v>21</v>
      </c>
      <c r="C269">
        <v>0</v>
      </c>
      <c r="D269" t="s">
        <v>34</v>
      </c>
      <c r="E269" t="s">
        <v>1132</v>
      </c>
      <c r="F269" t="s">
        <v>865</v>
      </c>
      <c r="G269" s="21" t="s">
        <v>866</v>
      </c>
      <c r="H269" s="21" t="s">
        <v>866</v>
      </c>
      <c r="I269" s="23" t="s">
        <v>866</v>
      </c>
      <c r="J269" s="21" t="s">
        <v>866</v>
      </c>
    </row>
    <row r="270" spans="1:10" x14ac:dyDescent="0.2">
      <c r="A270">
        <v>850578</v>
      </c>
      <c r="B270" t="s">
        <v>21</v>
      </c>
      <c r="C270">
        <v>0</v>
      </c>
      <c r="D270" t="s">
        <v>34</v>
      </c>
      <c r="E270" t="s">
        <v>1133</v>
      </c>
      <c r="F270" t="s">
        <v>865</v>
      </c>
      <c r="G270" s="21" t="s">
        <v>866</v>
      </c>
      <c r="H270" s="21" t="s">
        <v>866</v>
      </c>
      <c r="I270" s="23" t="s">
        <v>866</v>
      </c>
      <c r="J270" s="21" t="s">
        <v>866</v>
      </c>
    </row>
    <row r="271" spans="1:10" x14ac:dyDescent="0.2">
      <c r="A271">
        <v>850586</v>
      </c>
      <c r="B271" t="s">
        <v>21</v>
      </c>
      <c r="C271">
        <v>0</v>
      </c>
      <c r="D271" t="s">
        <v>34</v>
      </c>
      <c r="E271" t="s">
        <v>1134</v>
      </c>
      <c r="F271" t="s">
        <v>865</v>
      </c>
      <c r="G271" s="21" t="s">
        <v>866</v>
      </c>
      <c r="H271" s="21" t="s">
        <v>866</v>
      </c>
      <c r="I271" s="23" t="s">
        <v>866</v>
      </c>
      <c r="J271" s="21" t="s">
        <v>866</v>
      </c>
    </row>
    <row r="272" spans="1:10" x14ac:dyDescent="0.2">
      <c r="A272">
        <v>850594</v>
      </c>
      <c r="B272" t="s">
        <v>21</v>
      </c>
      <c r="C272">
        <v>0</v>
      </c>
      <c r="D272" t="s">
        <v>34</v>
      </c>
      <c r="E272" t="s">
        <v>1135</v>
      </c>
      <c r="F272" t="s">
        <v>865</v>
      </c>
      <c r="G272" s="21" t="s">
        <v>866</v>
      </c>
      <c r="H272" s="21" t="s">
        <v>866</v>
      </c>
      <c r="I272" s="23" t="s">
        <v>866</v>
      </c>
      <c r="J272" s="21" t="s">
        <v>866</v>
      </c>
    </row>
    <row r="273" spans="1:10" x14ac:dyDescent="0.2">
      <c r="A273">
        <v>850608</v>
      </c>
      <c r="B273" t="s">
        <v>21</v>
      </c>
      <c r="C273">
        <v>0</v>
      </c>
      <c r="D273" t="s">
        <v>34</v>
      </c>
      <c r="E273" t="s">
        <v>1136</v>
      </c>
      <c r="F273" t="s">
        <v>865</v>
      </c>
      <c r="G273" s="21" t="s">
        <v>866</v>
      </c>
      <c r="H273" s="21" t="s">
        <v>866</v>
      </c>
      <c r="I273" s="23" t="s">
        <v>866</v>
      </c>
      <c r="J273" s="21" t="s">
        <v>866</v>
      </c>
    </row>
    <row r="274" spans="1:10" x14ac:dyDescent="0.2">
      <c r="A274">
        <v>850616</v>
      </c>
      <c r="B274" t="s">
        <v>21</v>
      </c>
      <c r="C274">
        <v>0</v>
      </c>
      <c r="D274" t="s">
        <v>34</v>
      </c>
      <c r="E274" t="s">
        <v>1137</v>
      </c>
      <c r="F274" t="s">
        <v>865</v>
      </c>
      <c r="G274" s="21" t="s">
        <v>866</v>
      </c>
      <c r="H274" s="21" t="s">
        <v>866</v>
      </c>
      <c r="I274" s="23" t="s">
        <v>866</v>
      </c>
      <c r="J274" s="21" t="s">
        <v>866</v>
      </c>
    </row>
    <row r="275" spans="1:10" x14ac:dyDescent="0.2">
      <c r="A275">
        <v>850624</v>
      </c>
      <c r="B275" t="s">
        <v>21</v>
      </c>
      <c r="C275">
        <v>0</v>
      </c>
      <c r="D275" t="s">
        <v>34</v>
      </c>
      <c r="E275" t="s">
        <v>1138</v>
      </c>
      <c r="F275" t="s">
        <v>865</v>
      </c>
      <c r="G275" s="21" t="s">
        <v>866</v>
      </c>
      <c r="H275" s="21" t="s">
        <v>866</v>
      </c>
      <c r="I275" s="23" t="s">
        <v>866</v>
      </c>
      <c r="J275" s="21" t="s">
        <v>866</v>
      </c>
    </row>
    <row r="276" spans="1:10" x14ac:dyDescent="0.2">
      <c r="A276">
        <v>850641</v>
      </c>
      <c r="B276" t="s">
        <v>21</v>
      </c>
      <c r="C276">
        <v>0</v>
      </c>
      <c r="D276" t="s">
        <v>34</v>
      </c>
      <c r="E276" t="s">
        <v>1139</v>
      </c>
      <c r="F276" t="s">
        <v>865</v>
      </c>
      <c r="G276" s="21" t="s">
        <v>866</v>
      </c>
      <c r="H276" s="21" t="s">
        <v>866</v>
      </c>
      <c r="I276" s="23" t="s">
        <v>866</v>
      </c>
      <c r="J276" s="21" t="s">
        <v>866</v>
      </c>
    </row>
    <row r="277" spans="1:10" x14ac:dyDescent="0.2">
      <c r="A277">
        <v>850667</v>
      </c>
      <c r="B277" t="s">
        <v>21</v>
      </c>
      <c r="C277">
        <v>0</v>
      </c>
      <c r="D277" t="s">
        <v>34</v>
      </c>
      <c r="E277" t="s">
        <v>1140</v>
      </c>
      <c r="F277" t="s">
        <v>865</v>
      </c>
      <c r="G277" s="21" t="s">
        <v>866</v>
      </c>
      <c r="H277" s="21" t="s">
        <v>866</v>
      </c>
      <c r="I277" s="23" t="s">
        <v>866</v>
      </c>
      <c r="J277" s="21" t="s">
        <v>866</v>
      </c>
    </row>
    <row r="278" spans="1:10" x14ac:dyDescent="0.2">
      <c r="A278">
        <v>850675</v>
      </c>
      <c r="B278" t="s">
        <v>21</v>
      </c>
      <c r="C278">
        <v>0</v>
      </c>
      <c r="D278" t="s">
        <v>34</v>
      </c>
      <c r="E278" t="s">
        <v>1141</v>
      </c>
      <c r="F278" t="s">
        <v>865</v>
      </c>
      <c r="G278" s="21" t="s">
        <v>866</v>
      </c>
      <c r="H278" s="21" t="s">
        <v>866</v>
      </c>
      <c r="I278" s="23" t="s">
        <v>866</v>
      </c>
      <c r="J278" s="21" t="s">
        <v>866</v>
      </c>
    </row>
    <row r="279" spans="1:10" x14ac:dyDescent="0.2">
      <c r="A279">
        <v>850683</v>
      </c>
      <c r="B279" t="s">
        <v>21</v>
      </c>
      <c r="C279">
        <v>0</v>
      </c>
      <c r="D279" t="s">
        <v>34</v>
      </c>
      <c r="E279" t="s">
        <v>1142</v>
      </c>
      <c r="F279" t="s">
        <v>865</v>
      </c>
      <c r="G279" s="21" t="s">
        <v>866</v>
      </c>
      <c r="H279" s="21" t="s">
        <v>866</v>
      </c>
      <c r="I279" s="23" t="s">
        <v>866</v>
      </c>
      <c r="J279" s="21" t="s">
        <v>866</v>
      </c>
    </row>
    <row r="280" spans="1:10" x14ac:dyDescent="0.2">
      <c r="A280">
        <v>850691</v>
      </c>
      <c r="B280" t="s">
        <v>21</v>
      </c>
      <c r="C280">
        <v>0</v>
      </c>
      <c r="D280" t="s">
        <v>34</v>
      </c>
      <c r="E280" t="s">
        <v>1143</v>
      </c>
      <c r="F280" t="s">
        <v>865</v>
      </c>
      <c r="G280" s="21" t="s">
        <v>866</v>
      </c>
      <c r="H280" s="21" t="s">
        <v>866</v>
      </c>
      <c r="I280" s="23" t="s">
        <v>866</v>
      </c>
      <c r="J280" s="21" t="s">
        <v>866</v>
      </c>
    </row>
    <row r="281" spans="1:10" x14ac:dyDescent="0.2">
      <c r="A281">
        <v>850713</v>
      </c>
      <c r="B281" t="s">
        <v>21</v>
      </c>
      <c r="C281">
        <v>0</v>
      </c>
      <c r="D281" t="s">
        <v>34</v>
      </c>
      <c r="E281" t="s">
        <v>1144</v>
      </c>
      <c r="F281" t="s">
        <v>865</v>
      </c>
      <c r="G281" s="21" t="s">
        <v>866</v>
      </c>
      <c r="H281" s="21" t="s">
        <v>866</v>
      </c>
      <c r="I281" s="23" t="s">
        <v>866</v>
      </c>
      <c r="J281" s="21" t="s">
        <v>866</v>
      </c>
    </row>
    <row r="282" spans="1:10" x14ac:dyDescent="0.2">
      <c r="A282">
        <v>850721</v>
      </c>
      <c r="B282" t="s">
        <v>21</v>
      </c>
      <c r="C282">
        <v>0</v>
      </c>
      <c r="D282" t="s">
        <v>34</v>
      </c>
      <c r="E282" t="s">
        <v>1145</v>
      </c>
      <c r="F282" t="s">
        <v>865</v>
      </c>
      <c r="G282" s="21" t="s">
        <v>866</v>
      </c>
      <c r="H282" s="21" t="s">
        <v>866</v>
      </c>
      <c r="I282" s="23" t="s">
        <v>866</v>
      </c>
      <c r="J282" s="21" t="s">
        <v>866</v>
      </c>
    </row>
    <row r="283" spans="1:10" x14ac:dyDescent="0.2">
      <c r="A283">
        <v>850748</v>
      </c>
      <c r="B283" t="s">
        <v>21</v>
      </c>
      <c r="C283">
        <v>0</v>
      </c>
      <c r="D283" t="s">
        <v>34</v>
      </c>
      <c r="E283" t="s">
        <v>1146</v>
      </c>
      <c r="F283" t="s">
        <v>865</v>
      </c>
      <c r="G283" s="21" t="s">
        <v>866</v>
      </c>
      <c r="H283" s="21" t="s">
        <v>866</v>
      </c>
      <c r="I283" s="23" t="s">
        <v>866</v>
      </c>
      <c r="J283" s="21" t="s">
        <v>866</v>
      </c>
    </row>
    <row r="284" spans="1:10" x14ac:dyDescent="0.2">
      <c r="A284">
        <v>850756</v>
      </c>
      <c r="B284" t="s">
        <v>21</v>
      </c>
      <c r="C284">
        <v>0</v>
      </c>
      <c r="D284" t="s">
        <v>34</v>
      </c>
      <c r="E284" t="s">
        <v>1147</v>
      </c>
      <c r="F284" t="s">
        <v>865</v>
      </c>
      <c r="G284" s="21" t="s">
        <v>866</v>
      </c>
      <c r="H284" s="21" t="s">
        <v>866</v>
      </c>
      <c r="I284" s="23" t="s">
        <v>866</v>
      </c>
      <c r="J284" s="21" t="s">
        <v>866</v>
      </c>
    </row>
    <row r="285" spans="1:10" x14ac:dyDescent="0.2">
      <c r="A285">
        <v>850764</v>
      </c>
      <c r="B285" t="s">
        <v>21</v>
      </c>
      <c r="C285">
        <v>0</v>
      </c>
      <c r="D285" t="s">
        <v>34</v>
      </c>
      <c r="E285" t="s">
        <v>1148</v>
      </c>
      <c r="F285" t="s">
        <v>865</v>
      </c>
      <c r="G285" s="21" t="s">
        <v>866</v>
      </c>
      <c r="H285" s="21" t="s">
        <v>866</v>
      </c>
      <c r="I285" s="23" t="s">
        <v>866</v>
      </c>
      <c r="J285" s="21" t="s">
        <v>866</v>
      </c>
    </row>
    <row r="286" spans="1:10" x14ac:dyDescent="0.2">
      <c r="A286">
        <v>850772</v>
      </c>
      <c r="B286" t="s">
        <v>21</v>
      </c>
      <c r="C286">
        <v>0</v>
      </c>
      <c r="D286" t="s">
        <v>34</v>
      </c>
      <c r="E286" t="s">
        <v>1149</v>
      </c>
      <c r="F286" t="s">
        <v>865</v>
      </c>
      <c r="G286" s="21" t="s">
        <v>866</v>
      </c>
      <c r="H286" s="21" t="s">
        <v>866</v>
      </c>
      <c r="I286" s="23" t="s">
        <v>866</v>
      </c>
      <c r="J286" s="21" t="s">
        <v>866</v>
      </c>
    </row>
    <row r="287" spans="1:10" x14ac:dyDescent="0.2">
      <c r="A287">
        <v>850781</v>
      </c>
      <c r="B287" t="s">
        <v>21</v>
      </c>
      <c r="C287">
        <v>0</v>
      </c>
      <c r="D287" t="s">
        <v>34</v>
      </c>
      <c r="E287" t="s">
        <v>1150</v>
      </c>
      <c r="F287" t="s">
        <v>865</v>
      </c>
      <c r="G287" s="21" t="s">
        <v>866</v>
      </c>
      <c r="H287" s="21" t="s">
        <v>866</v>
      </c>
      <c r="I287" s="23" t="s">
        <v>866</v>
      </c>
      <c r="J287" s="21" t="s">
        <v>866</v>
      </c>
    </row>
    <row r="288" spans="1:10" x14ac:dyDescent="0.2">
      <c r="A288">
        <v>850799</v>
      </c>
      <c r="B288" t="s">
        <v>21</v>
      </c>
      <c r="C288">
        <v>0</v>
      </c>
      <c r="D288" t="s">
        <v>34</v>
      </c>
      <c r="E288" t="s">
        <v>1151</v>
      </c>
      <c r="F288" t="s">
        <v>865</v>
      </c>
      <c r="G288" s="21" t="s">
        <v>866</v>
      </c>
      <c r="H288" s="21" t="s">
        <v>866</v>
      </c>
      <c r="I288" s="23" t="s">
        <v>866</v>
      </c>
      <c r="J288" s="21" t="s">
        <v>866</v>
      </c>
    </row>
    <row r="289" spans="1:10" x14ac:dyDescent="0.2">
      <c r="A289">
        <v>850802</v>
      </c>
      <c r="B289" t="s">
        <v>21</v>
      </c>
      <c r="C289">
        <v>0</v>
      </c>
      <c r="D289" t="s">
        <v>34</v>
      </c>
      <c r="E289" t="s">
        <v>1152</v>
      </c>
      <c r="F289" t="s">
        <v>865</v>
      </c>
      <c r="G289" s="21" t="s">
        <v>866</v>
      </c>
      <c r="H289" s="21" t="s">
        <v>866</v>
      </c>
      <c r="I289" s="23" t="s">
        <v>866</v>
      </c>
      <c r="J289" s="21" t="s">
        <v>866</v>
      </c>
    </row>
    <row r="290" spans="1:10" x14ac:dyDescent="0.2">
      <c r="A290">
        <v>850811</v>
      </c>
      <c r="B290" t="s">
        <v>21</v>
      </c>
      <c r="C290">
        <v>0</v>
      </c>
      <c r="D290" t="s">
        <v>34</v>
      </c>
      <c r="E290" t="s">
        <v>1153</v>
      </c>
      <c r="F290" t="s">
        <v>865</v>
      </c>
      <c r="G290" s="21" t="s">
        <v>866</v>
      </c>
      <c r="H290" s="21" t="s">
        <v>866</v>
      </c>
      <c r="I290" s="23" t="s">
        <v>866</v>
      </c>
      <c r="J290" s="21" t="s">
        <v>866</v>
      </c>
    </row>
    <row r="291" spans="1:10" x14ac:dyDescent="0.2">
      <c r="A291">
        <v>850829</v>
      </c>
      <c r="B291" t="s">
        <v>21</v>
      </c>
      <c r="C291">
        <v>0</v>
      </c>
      <c r="D291" t="s">
        <v>34</v>
      </c>
      <c r="E291" t="s">
        <v>1154</v>
      </c>
      <c r="F291" t="s">
        <v>865</v>
      </c>
      <c r="G291" s="21" t="s">
        <v>866</v>
      </c>
      <c r="H291" s="21" t="s">
        <v>866</v>
      </c>
      <c r="I291" s="23" t="s">
        <v>866</v>
      </c>
      <c r="J291" s="21" t="s">
        <v>866</v>
      </c>
    </row>
    <row r="292" spans="1:10" x14ac:dyDescent="0.2">
      <c r="A292">
        <v>850845</v>
      </c>
      <c r="B292" t="s">
        <v>21</v>
      </c>
      <c r="C292">
        <v>0</v>
      </c>
      <c r="D292" t="s">
        <v>34</v>
      </c>
      <c r="E292" t="s">
        <v>1155</v>
      </c>
      <c r="F292" t="s">
        <v>865</v>
      </c>
      <c r="G292" s="21" t="s">
        <v>866</v>
      </c>
      <c r="H292" s="21" t="s">
        <v>866</v>
      </c>
      <c r="I292" s="23" t="s">
        <v>866</v>
      </c>
      <c r="J292" s="21" t="s">
        <v>866</v>
      </c>
    </row>
    <row r="293" spans="1:10" x14ac:dyDescent="0.2">
      <c r="A293">
        <v>850853</v>
      </c>
      <c r="B293" t="s">
        <v>21</v>
      </c>
      <c r="C293">
        <v>0</v>
      </c>
      <c r="D293" t="s">
        <v>34</v>
      </c>
      <c r="E293" t="s">
        <v>1156</v>
      </c>
      <c r="F293" t="s">
        <v>865</v>
      </c>
      <c r="G293" s="21" t="s">
        <v>866</v>
      </c>
      <c r="H293" s="21" t="s">
        <v>866</v>
      </c>
      <c r="I293" s="23" t="s">
        <v>866</v>
      </c>
      <c r="J293" s="21" t="s">
        <v>866</v>
      </c>
    </row>
    <row r="294" spans="1:10" x14ac:dyDescent="0.2">
      <c r="A294">
        <v>851019</v>
      </c>
      <c r="B294" t="s">
        <v>21</v>
      </c>
      <c r="C294">
        <v>0</v>
      </c>
      <c r="D294" t="s">
        <v>34</v>
      </c>
      <c r="E294" t="s">
        <v>1157</v>
      </c>
      <c r="F294" t="s">
        <v>865</v>
      </c>
      <c r="G294" s="21" t="s">
        <v>866</v>
      </c>
      <c r="H294" s="21" t="s">
        <v>866</v>
      </c>
      <c r="I294" s="23" t="s">
        <v>866</v>
      </c>
      <c r="J294" s="21" t="s">
        <v>866</v>
      </c>
    </row>
    <row r="295" spans="1:10" x14ac:dyDescent="0.2">
      <c r="A295">
        <v>851027</v>
      </c>
      <c r="B295" t="s">
        <v>21</v>
      </c>
      <c r="C295">
        <v>0</v>
      </c>
      <c r="D295" t="s">
        <v>34</v>
      </c>
      <c r="E295" t="s">
        <v>1158</v>
      </c>
      <c r="F295" t="s">
        <v>865</v>
      </c>
      <c r="G295" s="21" t="s">
        <v>866</v>
      </c>
      <c r="H295" s="21" t="s">
        <v>866</v>
      </c>
      <c r="I295" s="23" t="s">
        <v>866</v>
      </c>
      <c r="J295" s="21" t="s">
        <v>866</v>
      </c>
    </row>
    <row r="296" spans="1:10" x14ac:dyDescent="0.2">
      <c r="A296">
        <v>851205</v>
      </c>
      <c r="B296" t="s">
        <v>21</v>
      </c>
      <c r="C296">
        <v>0</v>
      </c>
      <c r="D296" t="s">
        <v>34</v>
      </c>
      <c r="E296" t="s">
        <v>1159</v>
      </c>
      <c r="F296" t="s">
        <v>865</v>
      </c>
      <c r="G296" s="21" t="s">
        <v>866</v>
      </c>
      <c r="H296" s="21" t="s">
        <v>866</v>
      </c>
      <c r="I296" s="23" t="s">
        <v>866</v>
      </c>
      <c r="J296" s="21" t="s">
        <v>866</v>
      </c>
    </row>
    <row r="297" spans="1:10" x14ac:dyDescent="0.2">
      <c r="A297">
        <v>851418</v>
      </c>
      <c r="B297" t="s">
        <v>21</v>
      </c>
      <c r="C297">
        <v>0</v>
      </c>
      <c r="D297" t="s">
        <v>34</v>
      </c>
      <c r="E297" t="s">
        <v>1160</v>
      </c>
      <c r="F297" t="s">
        <v>865</v>
      </c>
      <c r="G297" s="21" t="s">
        <v>866</v>
      </c>
      <c r="H297" s="21" t="s">
        <v>866</v>
      </c>
      <c r="I297" s="23" t="s">
        <v>866</v>
      </c>
      <c r="J297" s="21" t="s">
        <v>866</v>
      </c>
    </row>
    <row r="298" spans="1:10" x14ac:dyDescent="0.2">
      <c r="A298">
        <v>860051</v>
      </c>
      <c r="B298" t="s">
        <v>21</v>
      </c>
      <c r="C298">
        <v>0</v>
      </c>
      <c r="D298" t="s">
        <v>34</v>
      </c>
      <c r="E298" t="s">
        <v>1161</v>
      </c>
      <c r="F298" t="s">
        <v>865</v>
      </c>
      <c r="G298" s="21" t="s">
        <v>866</v>
      </c>
      <c r="H298" s="21" t="s">
        <v>866</v>
      </c>
      <c r="I298" s="23" t="s">
        <v>866</v>
      </c>
      <c r="J298" s="21" t="s">
        <v>866</v>
      </c>
    </row>
    <row r="299" spans="1:10" x14ac:dyDescent="0.2">
      <c r="A299">
        <v>860131</v>
      </c>
      <c r="B299" t="s">
        <v>21</v>
      </c>
      <c r="C299">
        <v>0</v>
      </c>
      <c r="D299" t="s">
        <v>34</v>
      </c>
      <c r="E299" t="s">
        <v>1162</v>
      </c>
      <c r="F299" t="s">
        <v>865</v>
      </c>
      <c r="G299" s="21" t="s">
        <v>866</v>
      </c>
      <c r="H299" s="21" t="s">
        <v>866</v>
      </c>
      <c r="I299" s="23" t="s">
        <v>866</v>
      </c>
      <c r="J299" s="21" t="s">
        <v>866</v>
      </c>
    </row>
    <row r="300" spans="1:10" x14ac:dyDescent="0.2">
      <c r="A300">
        <v>860158</v>
      </c>
      <c r="B300" t="s">
        <v>21</v>
      </c>
      <c r="C300">
        <v>0</v>
      </c>
      <c r="D300" t="s">
        <v>34</v>
      </c>
      <c r="E300" t="s">
        <v>1163</v>
      </c>
      <c r="F300" t="s">
        <v>865</v>
      </c>
      <c r="G300" s="21" t="s">
        <v>866</v>
      </c>
      <c r="H300" s="21" t="s">
        <v>866</v>
      </c>
      <c r="I300" s="23" t="s">
        <v>866</v>
      </c>
      <c r="J300" s="21" t="s">
        <v>866</v>
      </c>
    </row>
    <row r="301" spans="1:10" x14ac:dyDescent="0.2">
      <c r="A301">
        <v>860174</v>
      </c>
      <c r="B301" t="s">
        <v>21</v>
      </c>
      <c r="C301">
        <v>0</v>
      </c>
      <c r="D301" t="s">
        <v>34</v>
      </c>
      <c r="E301" t="s">
        <v>1164</v>
      </c>
      <c r="F301" t="s">
        <v>865</v>
      </c>
      <c r="G301" s="21" t="s">
        <v>866</v>
      </c>
      <c r="H301" s="21" t="s">
        <v>866</v>
      </c>
      <c r="I301" s="23" t="s">
        <v>866</v>
      </c>
      <c r="J301" s="21" t="s">
        <v>866</v>
      </c>
    </row>
    <row r="302" spans="1:10" x14ac:dyDescent="0.2">
      <c r="A302">
        <v>860182</v>
      </c>
      <c r="B302" t="s">
        <v>21</v>
      </c>
      <c r="C302">
        <v>0</v>
      </c>
      <c r="D302" t="s">
        <v>34</v>
      </c>
      <c r="E302" t="s">
        <v>1165</v>
      </c>
      <c r="F302" t="s">
        <v>865</v>
      </c>
      <c r="G302" s="21" t="s">
        <v>866</v>
      </c>
      <c r="H302" s="21" t="s">
        <v>866</v>
      </c>
      <c r="I302" s="23" t="s">
        <v>866</v>
      </c>
      <c r="J302" s="21" t="s">
        <v>866</v>
      </c>
    </row>
    <row r="303" spans="1:10" x14ac:dyDescent="0.2">
      <c r="A303">
        <v>861014</v>
      </c>
      <c r="B303" t="s">
        <v>21</v>
      </c>
      <c r="C303">
        <v>0</v>
      </c>
      <c r="D303" t="s">
        <v>34</v>
      </c>
      <c r="E303" t="s">
        <v>1166</v>
      </c>
      <c r="F303" t="s">
        <v>865</v>
      </c>
      <c r="G303" s="21" t="s">
        <v>866</v>
      </c>
      <c r="H303" s="21" t="s">
        <v>866</v>
      </c>
      <c r="I303" s="23" t="s">
        <v>866</v>
      </c>
      <c r="J303" s="21" t="s">
        <v>866</v>
      </c>
    </row>
    <row r="304" spans="1:10" x14ac:dyDescent="0.2">
      <c r="A304">
        <v>861022</v>
      </c>
      <c r="B304" t="s">
        <v>21</v>
      </c>
      <c r="C304">
        <v>0</v>
      </c>
      <c r="D304" t="s">
        <v>34</v>
      </c>
      <c r="E304" t="s">
        <v>1167</v>
      </c>
      <c r="F304" t="s">
        <v>865</v>
      </c>
      <c r="G304" s="21" t="s">
        <v>866</v>
      </c>
      <c r="H304" s="21" t="s">
        <v>866</v>
      </c>
      <c r="I304" s="23" t="s">
        <v>866</v>
      </c>
      <c r="J304" s="21" t="s">
        <v>866</v>
      </c>
    </row>
    <row r="305" spans="1:10" x14ac:dyDescent="0.2">
      <c r="A305">
        <v>861031</v>
      </c>
      <c r="B305" t="s">
        <v>21</v>
      </c>
      <c r="C305">
        <v>0</v>
      </c>
      <c r="D305" t="s">
        <v>34</v>
      </c>
      <c r="E305" t="s">
        <v>1168</v>
      </c>
      <c r="F305" t="s">
        <v>865</v>
      </c>
      <c r="G305" s="21" t="s">
        <v>866</v>
      </c>
      <c r="H305" s="21" t="s">
        <v>866</v>
      </c>
      <c r="I305" s="23" t="s">
        <v>866</v>
      </c>
      <c r="J305" s="21" t="s">
        <v>866</v>
      </c>
    </row>
    <row r="306" spans="1:10" x14ac:dyDescent="0.2">
      <c r="A306">
        <v>870013</v>
      </c>
      <c r="B306" t="s">
        <v>21</v>
      </c>
      <c r="C306">
        <v>0</v>
      </c>
      <c r="D306" t="s">
        <v>34</v>
      </c>
      <c r="E306" t="s">
        <v>1169</v>
      </c>
      <c r="F306" t="s">
        <v>865</v>
      </c>
      <c r="G306" s="21" t="s">
        <v>866</v>
      </c>
      <c r="H306" s="21" t="s">
        <v>866</v>
      </c>
      <c r="I306" s="23" t="s">
        <v>866</v>
      </c>
      <c r="J306" s="21" t="s">
        <v>866</v>
      </c>
    </row>
    <row r="307" spans="1:10" x14ac:dyDescent="0.2">
      <c r="A307">
        <v>870030</v>
      </c>
      <c r="B307" t="s">
        <v>21</v>
      </c>
      <c r="C307">
        <v>0</v>
      </c>
      <c r="D307" t="s">
        <v>34</v>
      </c>
      <c r="E307" t="s">
        <v>1170</v>
      </c>
      <c r="F307" t="s">
        <v>865</v>
      </c>
      <c r="G307" s="21" t="s">
        <v>866</v>
      </c>
      <c r="H307" s="21" t="s">
        <v>866</v>
      </c>
      <c r="I307" s="23" t="s">
        <v>866</v>
      </c>
      <c r="J307" s="21" t="s">
        <v>866</v>
      </c>
    </row>
    <row r="308" spans="1:10" x14ac:dyDescent="0.2">
      <c r="A308">
        <v>870048</v>
      </c>
      <c r="B308" t="s">
        <v>21</v>
      </c>
      <c r="C308">
        <v>0</v>
      </c>
      <c r="D308" t="s">
        <v>34</v>
      </c>
      <c r="E308" t="s">
        <v>1171</v>
      </c>
      <c r="F308" t="s">
        <v>865</v>
      </c>
      <c r="G308" s="21" t="s">
        <v>866</v>
      </c>
      <c r="H308" s="21" t="s">
        <v>866</v>
      </c>
      <c r="I308" s="23" t="s">
        <v>866</v>
      </c>
      <c r="J308" s="21" t="s">
        <v>866</v>
      </c>
    </row>
    <row r="309" spans="1:10" x14ac:dyDescent="0.2">
      <c r="A309">
        <v>870056</v>
      </c>
      <c r="B309" t="s">
        <v>21</v>
      </c>
      <c r="C309">
        <v>0</v>
      </c>
      <c r="D309" t="s">
        <v>34</v>
      </c>
      <c r="E309" t="s">
        <v>1172</v>
      </c>
      <c r="F309" t="s">
        <v>865</v>
      </c>
      <c r="G309" s="21" t="s">
        <v>866</v>
      </c>
      <c r="H309" s="21" t="s">
        <v>866</v>
      </c>
      <c r="I309" s="23" t="s">
        <v>866</v>
      </c>
      <c r="J309" s="21" t="s">
        <v>866</v>
      </c>
    </row>
    <row r="310" spans="1:10" x14ac:dyDescent="0.2">
      <c r="A310">
        <v>888711</v>
      </c>
      <c r="B310" t="s">
        <v>21</v>
      </c>
      <c r="C310">
        <v>0</v>
      </c>
      <c r="D310" t="s">
        <v>34</v>
      </c>
      <c r="E310" t="s">
        <v>1173</v>
      </c>
      <c r="F310" t="s">
        <v>865</v>
      </c>
      <c r="G310" s="21" t="s">
        <v>866</v>
      </c>
      <c r="H310" s="21" t="s">
        <v>866</v>
      </c>
      <c r="I310" s="23" t="s">
        <v>866</v>
      </c>
      <c r="J310" s="21" t="s">
        <v>866</v>
      </c>
    </row>
    <row r="311" spans="1:10" x14ac:dyDescent="0.2">
      <c r="A311">
        <v>888729</v>
      </c>
      <c r="B311" t="s">
        <v>21</v>
      </c>
      <c r="C311">
        <v>0</v>
      </c>
      <c r="D311" t="s">
        <v>34</v>
      </c>
      <c r="E311" t="s">
        <v>1174</v>
      </c>
      <c r="F311" t="s">
        <v>865</v>
      </c>
      <c r="G311" s="21" t="s">
        <v>866</v>
      </c>
      <c r="H311" s="21" t="s">
        <v>866</v>
      </c>
      <c r="I311" s="23" t="s">
        <v>866</v>
      </c>
      <c r="J311" s="21" t="s">
        <v>866</v>
      </c>
    </row>
    <row r="312" spans="1:10" x14ac:dyDescent="0.2">
      <c r="A312">
        <v>888737</v>
      </c>
      <c r="B312" t="s">
        <v>21</v>
      </c>
      <c r="C312">
        <v>0</v>
      </c>
      <c r="D312" t="s">
        <v>34</v>
      </c>
      <c r="E312" t="s">
        <v>1175</v>
      </c>
      <c r="F312" t="s">
        <v>865</v>
      </c>
      <c r="G312" s="21" t="s">
        <v>866</v>
      </c>
      <c r="H312" s="21" t="s">
        <v>866</v>
      </c>
      <c r="I312" s="23" t="s">
        <v>866</v>
      </c>
      <c r="J312" s="21" t="s">
        <v>866</v>
      </c>
    </row>
    <row r="313" spans="1:10" x14ac:dyDescent="0.2">
      <c r="A313">
        <v>888745</v>
      </c>
      <c r="B313" t="s">
        <v>21</v>
      </c>
      <c r="C313">
        <v>0</v>
      </c>
      <c r="D313" t="s">
        <v>34</v>
      </c>
      <c r="E313" t="s">
        <v>1176</v>
      </c>
      <c r="F313" t="s">
        <v>865</v>
      </c>
      <c r="G313" s="21" t="s">
        <v>866</v>
      </c>
      <c r="H313" s="21" t="s">
        <v>866</v>
      </c>
      <c r="I313" s="23" t="s">
        <v>866</v>
      </c>
      <c r="J313" s="21" t="s">
        <v>866</v>
      </c>
    </row>
    <row r="314" spans="1:10" x14ac:dyDescent="0.2">
      <c r="A314">
        <v>888753</v>
      </c>
      <c r="B314" t="s">
        <v>21</v>
      </c>
      <c r="C314">
        <v>0</v>
      </c>
      <c r="D314" t="s">
        <v>34</v>
      </c>
      <c r="E314" t="s">
        <v>1177</v>
      </c>
      <c r="F314" t="s">
        <v>865</v>
      </c>
      <c r="G314" s="21" t="s">
        <v>866</v>
      </c>
      <c r="H314" s="21" t="s">
        <v>866</v>
      </c>
      <c r="I314" s="23" t="s">
        <v>866</v>
      </c>
      <c r="J314" s="21" t="s">
        <v>866</v>
      </c>
    </row>
    <row r="315" spans="1:10" x14ac:dyDescent="0.2">
      <c r="A315">
        <v>888761</v>
      </c>
      <c r="B315" t="s">
        <v>21</v>
      </c>
      <c r="C315">
        <v>0</v>
      </c>
      <c r="D315" t="s">
        <v>34</v>
      </c>
      <c r="E315" t="s">
        <v>1178</v>
      </c>
      <c r="F315" t="s">
        <v>865</v>
      </c>
      <c r="G315" s="21" t="s">
        <v>866</v>
      </c>
      <c r="H315" s="21" t="s">
        <v>866</v>
      </c>
      <c r="I315" s="23" t="s">
        <v>866</v>
      </c>
      <c r="J315" s="21" t="s">
        <v>866</v>
      </c>
    </row>
    <row r="316" spans="1:10" x14ac:dyDescent="0.2">
      <c r="A316">
        <v>888770</v>
      </c>
      <c r="B316" t="s">
        <v>21</v>
      </c>
      <c r="C316">
        <v>0</v>
      </c>
      <c r="D316" t="s">
        <v>34</v>
      </c>
      <c r="E316" t="s">
        <v>1179</v>
      </c>
      <c r="F316" t="s">
        <v>865</v>
      </c>
      <c r="G316" s="21" t="s">
        <v>866</v>
      </c>
      <c r="H316" s="21" t="s">
        <v>866</v>
      </c>
      <c r="I316" s="23" t="s">
        <v>866</v>
      </c>
      <c r="J316" s="21" t="s">
        <v>866</v>
      </c>
    </row>
    <row r="317" spans="1:10" x14ac:dyDescent="0.2">
      <c r="A317">
        <v>888788</v>
      </c>
      <c r="B317" t="s">
        <v>21</v>
      </c>
      <c r="C317">
        <v>0</v>
      </c>
      <c r="D317" t="s">
        <v>34</v>
      </c>
      <c r="E317" t="s">
        <v>1180</v>
      </c>
      <c r="F317" t="s">
        <v>865</v>
      </c>
      <c r="G317" s="21" t="s">
        <v>866</v>
      </c>
      <c r="H317" s="21" t="s">
        <v>866</v>
      </c>
      <c r="I317" s="23" t="s">
        <v>866</v>
      </c>
      <c r="J317" s="21" t="s">
        <v>866</v>
      </c>
    </row>
    <row r="318" spans="1:10" x14ac:dyDescent="0.2">
      <c r="A318">
        <v>888800</v>
      </c>
      <c r="B318" t="s">
        <v>21</v>
      </c>
      <c r="C318">
        <v>0</v>
      </c>
      <c r="D318" t="s">
        <v>34</v>
      </c>
      <c r="E318" t="s">
        <v>1181</v>
      </c>
      <c r="F318" t="s">
        <v>865</v>
      </c>
      <c r="G318" s="21" t="s">
        <v>866</v>
      </c>
      <c r="H318" s="21" t="s">
        <v>866</v>
      </c>
      <c r="I318" s="23" t="s">
        <v>866</v>
      </c>
      <c r="J318" s="21" t="s">
        <v>866</v>
      </c>
    </row>
    <row r="319" spans="1:10" x14ac:dyDescent="0.2">
      <c r="A319">
        <v>888818</v>
      </c>
      <c r="B319" t="s">
        <v>21</v>
      </c>
      <c r="C319">
        <v>0</v>
      </c>
      <c r="D319" t="s">
        <v>34</v>
      </c>
      <c r="E319" t="s">
        <v>1182</v>
      </c>
      <c r="F319" t="s">
        <v>865</v>
      </c>
      <c r="G319" s="21" t="s">
        <v>866</v>
      </c>
      <c r="H319" s="21" t="s">
        <v>866</v>
      </c>
      <c r="I319" s="23" t="s">
        <v>866</v>
      </c>
      <c r="J319" s="21" t="s">
        <v>866</v>
      </c>
    </row>
    <row r="320" spans="1:10" x14ac:dyDescent="0.2">
      <c r="A320">
        <v>888826</v>
      </c>
      <c r="B320" t="s">
        <v>21</v>
      </c>
      <c r="C320">
        <v>0</v>
      </c>
      <c r="D320" t="s">
        <v>34</v>
      </c>
      <c r="E320" t="s">
        <v>1183</v>
      </c>
      <c r="F320" t="s">
        <v>865</v>
      </c>
      <c r="G320" s="21" t="s">
        <v>866</v>
      </c>
      <c r="H320" s="21" t="s">
        <v>866</v>
      </c>
      <c r="I320" s="23" t="s">
        <v>866</v>
      </c>
      <c r="J320" s="21" t="s">
        <v>866</v>
      </c>
    </row>
    <row r="321" spans="1:10" x14ac:dyDescent="0.2">
      <c r="A321">
        <v>888834</v>
      </c>
      <c r="B321" t="s">
        <v>21</v>
      </c>
      <c r="C321">
        <v>0</v>
      </c>
      <c r="D321" t="s">
        <v>34</v>
      </c>
      <c r="E321" t="s">
        <v>1184</v>
      </c>
      <c r="F321" t="s">
        <v>865</v>
      </c>
      <c r="G321" s="21" t="s">
        <v>866</v>
      </c>
      <c r="H321" s="21" t="s">
        <v>866</v>
      </c>
      <c r="I321" s="23" t="s">
        <v>866</v>
      </c>
      <c r="J321" s="21" t="s">
        <v>866</v>
      </c>
    </row>
    <row r="322" spans="1:10" x14ac:dyDescent="0.2">
      <c r="A322">
        <v>888842</v>
      </c>
      <c r="B322" t="s">
        <v>21</v>
      </c>
      <c r="C322">
        <v>0</v>
      </c>
      <c r="D322" t="s">
        <v>34</v>
      </c>
      <c r="E322" t="s">
        <v>1185</v>
      </c>
      <c r="F322" t="s">
        <v>865</v>
      </c>
      <c r="G322" s="21" t="s">
        <v>866</v>
      </c>
      <c r="H322" s="21" t="s">
        <v>866</v>
      </c>
      <c r="I322" s="23" t="s">
        <v>866</v>
      </c>
      <c r="J322" s="21" t="s">
        <v>866</v>
      </c>
    </row>
    <row r="323" spans="1:10" x14ac:dyDescent="0.2">
      <c r="A323">
        <v>888851</v>
      </c>
      <c r="B323" t="s">
        <v>21</v>
      </c>
      <c r="C323">
        <v>0</v>
      </c>
      <c r="D323" t="s">
        <v>34</v>
      </c>
      <c r="E323" t="s">
        <v>1186</v>
      </c>
      <c r="F323" t="s">
        <v>865</v>
      </c>
      <c r="G323" s="21" t="s">
        <v>866</v>
      </c>
      <c r="H323" s="21" t="s">
        <v>866</v>
      </c>
      <c r="I323" s="23" t="s">
        <v>866</v>
      </c>
      <c r="J323" s="21" t="s">
        <v>866</v>
      </c>
    </row>
    <row r="324" spans="1:10" x14ac:dyDescent="0.2">
      <c r="A324">
        <v>888869</v>
      </c>
      <c r="B324" t="s">
        <v>21</v>
      </c>
      <c r="C324">
        <v>0</v>
      </c>
      <c r="D324" t="s">
        <v>34</v>
      </c>
      <c r="E324" t="s">
        <v>1187</v>
      </c>
      <c r="F324" t="s">
        <v>865</v>
      </c>
      <c r="G324" s="21" t="s">
        <v>866</v>
      </c>
      <c r="H324" s="21" t="s">
        <v>866</v>
      </c>
      <c r="I324" s="23" t="s">
        <v>866</v>
      </c>
      <c r="J324" s="21" t="s">
        <v>866</v>
      </c>
    </row>
    <row r="325" spans="1:10" x14ac:dyDescent="0.2">
      <c r="A325">
        <v>888877</v>
      </c>
      <c r="B325" t="s">
        <v>21</v>
      </c>
      <c r="C325">
        <v>0</v>
      </c>
      <c r="D325" t="s">
        <v>34</v>
      </c>
      <c r="E325" t="s">
        <v>1188</v>
      </c>
      <c r="F325" t="s">
        <v>865</v>
      </c>
      <c r="G325" s="21" t="s">
        <v>866</v>
      </c>
      <c r="H325" s="21" t="s">
        <v>866</v>
      </c>
      <c r="I325" s="23" t="s">
        <v>866</v>
      </c>
      <c r="J325" s="21" t="s">
        <v>866</v>
      </c>
    </row>
    <row r="326" spans="1:10" x14ac:dyDescent="0.2">
      <c r="A326">
        <v>888885</v>
      </c>
      <c r="B326" t="s">
        <v>21</v>
      </c>
      <c r="C326">
        <v>0</v>
      </c>
      <c r="D326" t="s">
        <v>34</v>
      </c>
      <c r="E326" t="s">
        <v>1189</v>
      </c>
      <c r="F326" t="s">
        <v>865</v>
      </c>
      <c r="G326" s="21" t="s">
        <v>866</v>
      </c>
      <c r="H326" s="21" t="s">
        <v>866</v>
      </c>
      <c r="I326" s="23" t="s">
        <v>866</v>
      </c>
      <c r="J326" s="21" t="s">
        <v>866</v>
      </c>
    </row>
    <row r="327" spans="1:10" x14ac:dyDescent="0.2">
      <c r="A327">
        <v>888893</v>
      </c>
      <c r="B327" t="s">
        <v>21</v>
      </c>
      <c r="C327">
        <v>0</v>
      </c>
      <c r="D327" t="s">
        <v>34</v>
      </c>
      <c r="E327" t="s">
        <v>1190</v>
      </c>
      <c r="F327" t="s">
        <v>865</v>
      </c>
      <c r="G327" s="21" t="s">
        <v>866</v>
      </c>
      <c r="H327" s="21" t="s">
        <v>866</v>
      </c>
      <c r="I327" s="23" t="s">
        <v>866</v>
      </c>
      <c r="J327" s="21" t="s">
        <v>866</v>
      </c>
    </row>
    <row r="328" spans="1:10" x14ac:dyDescent="0.2">
      <c r="A328">
        <v>888907</v>
      </c>
      <c r="B328" t="s">
        <v>21</v>
      </c>
      <c r="C328">
        <v>0</v>
      </c>
      <c r="D328" t="s">
        <v>34</v>
      </c>
      <c r="E328" t="s">
        <v>1191</v>
      </c>
      <c r="F328" t="s">
        <v>865</v>
      </c>
      <c r="G328" s="21" t="s">
        <v>866</v>
      </c>
      <c r="H328" s="21" t="s">
        <v>866</v>
      </c>
      <c r="I328" s="23" t="s">
        <v>866</v>
      </c>
      <c r="J328" s="21" t="s">
        <v>866</v>
      </c>
    </row>
    <row r="329" spans="1:10" x14ac:dyDescent="0.2">
      <c r="A329">
        <v>888915</v>
      </c>
      <c r="B329" t="s">
        <v>21</v>
      </c>
      <c r="C329">
        <v>0</v>
      </c>
      <c r="D329" t="s">
        <v>34</v>
      </c>
      <c r="E329" t="s">
        <v>1192</v>
      </c>
      <c r="F329" t="s">
        <v>865</v>
      </c>
      <c r="G329" s="21" t="s">
        <v>866</v>
      </c>
      <c r="H329" s="21" t="s">
        <v>866</v>
      </c>
      <c r="I329" s="23" t="s">
        <v>866</v>
      </c>
      <c r="J329" s="21" t="s">
        <v>866</v>
      </c>
    </row>
    <row r="330" spans="1:10" x14ac:dyDescent="0.2">
      <c r="A330">
        <v>888923</v>
      </c>
      <c r="B330" t="s">
        <v>21</v>
      </c>
      <c r="C330">
        <v>0</v>
      </c>
      <c r="D330" t="s">
        <v>34</v>
      </c>
      <c r="E330" t="s">
        <v>1193</v>
      </c>
      <c r="F330" t="s">
        <v>865</v>
      </c>
      <c r="G330" s="21" t="s">
        <v>866</v>
      </c>
      <c r="H330" s="21" t="s">
        <v>866</v>
      </c>
      <c r="I330" s="23" t="s">
        <v>866</v>
      </c>
      <c r="J330" s="21" t="s">
        <v>866</v>
      </c>
    </row>
    <row r="331" spans="1:10" x14ac:dyDescent="0.2">
      <c r="A331">
        <v>888931</v>
      </c>
      <c r="B331" t="s">
        <v>21</v>
      </c>
      <c r="C331">
        <v>0</v>
      </c>
      <c r="D331" t="s">
        <v>34</v>
      </c>
      <c r="E331" t="s">
        <v>1194</v>
      </c>
      <c r="F331" t="s">
        <v>865</v>
      </c>
      <c r="G331" s="21" t="s">
        <v>866</v>
      </c>
      <c r="H331" s="21" t="s">
        <v>866</v>
      </c>
      <c r="I331" s="23" t="s">
        <v>866</v>
      </c>
      <c r="J331" s="21" t="s">
        <v>866</v>
      </c>
    </row>
    <row r="332" spans="1:10" x14ac:dyDescent="0.2">
      <c r="A332">
        <v>888940</v>
      </c>
      <c r="B332" t="s">
        <v>21</v>
      </c>
      <c r="C332">
        <v>0</v>
      </c>
      <c r="D332" t="s">
        <v>34</v>
      </c>
      <c r="E332" t="s">
        <v>1195</v>
      </c>
      <c r="F332" t="s">
        <v>865</v>
      </c>
      <c r="G332" s="21" t="s">
        <v>866</v>
      </c>
      <c r="H332" s="21" t="s">
        <v>866</v>
      </c>
      <c r="I332" s="23" t="s">
        <v>866</v>
      </c>
      <c r="J332" s="21" t="s">
        <v>866</v>
      </c>
    </row>
    <row r="333" spans="1:10" x14ac:dyDescent="0.2">
      <c r="A333">
        <v>888958</v>
      </c>
      <c r="B333" t="s">
        <v>21</v>
      </c>
      <c r="C333">
        <v>0</v>
      </c>
      <c r="D333" t="s">
        <v>34</v>
      </c>
      <c r="E333" t="s">
        <v>1196</v>
      </c>
      <c r="F333" t="s">
        <v>865</v>
      </c>
      <c r="G333" s="21" t="s">
        <v>866</v>
      </c>
      <c r="H333" s="21" t="s">
        <v>866</v>
      </c>
      <c r="I333" s="23" t="s">
        <v>866</v>
      </c>
      <c r="J333" s="21" t="s">
        <v>866</v>
      </c>
    </row>
    <row r="334" spans="1:10" x14ac:dyDescent="0.2">
      <c r="A334">
        <v>888966</v>
      </c>
      <c r="B334" t="s">
        <v>21</v>
      </c>
      <c r="C334">
        <v>0</v>
      </c>
      <c r="D334" t="s">
        <v>34</v>
      </c>
      <c r="E334" t="s">
        <v>1197</v>
      </c>
      <c r="F334" t="s">
        <v>865</v>
      </c>
      <c r="G334" s="21" t="s">
        <v>866</v>
      </c>
      <c r="H334" s="21" t="s">
        <v>866</v>
      </c>
      <c r="I334" s="23" t="s">
        <v>866</v>
      </c>
      <c r="J334" s="21" t="s">
        <v>866</v>
      </c>
    </row>
    <row r="335" spans="1:10" x14ac:dyDescent="0.2">
      <c r="A335">
        <v>890014</v>
      </c>
      <c r="B335" t="s">
        <v>21</v>
      </c>
      <c r="C335">
        <v>0</v>
      </c>
      <c r="D335" t="s">
        <v>34</v>
      </c>
      <c r="E335" t="s">
        <v>1198</v>
      </c>
      <c r="F335" t="s">
        <v>865</v>
      </c>
      <c r="G335" s="21" t="s">
        <v>866</v>
      </c>
      <c r="H335" s="21" t="s">
        <v>866</v>
      </c>
      <c r="I335" s="23" t="s">
        <v>866</v>
      </c>
      <c r="J335" s="21" t="s">
        <v>866</v>
      </c>
    </row>
    <row r="336" spans="1:10" x14ac:dyDescent="0.2">
      <c r="A336">
        <v>890022</v>
      </c>
      <c r="B336" t="s">
        <v>21</v>
      </c>
      <c r="C336">
        <v>0</v>
      </c>
      <c r="D336" t="s">
        <v>34</v>
      </c>
      <c r="E336" t="s">
        <v>1199</v>
      </c>
      <c r="F336" t="s">
        <v>865</v>
      </c>
      <c r="G336" s="21" t="s">
        <v>866</v>
      </c>
      <c r="H336" s="21" t="s">
        <v>866</v>
      </c>
      <c r="I336" s="23" t="s">
        <v>866</v>
      </c>
      <c r="J336" s="21" t="s">
        <v>866</v>
      </c>
    </row>
    <row r="337" spans="1:10" x14ac:dyDescent="0.2">
      <c r="A337">
        <v>890031</v>
      </c>
      <c r="B337" t="s">
        <v>21</v>
      </c>
      <c r="C337">
        <v>0</v>
      </c>
      <c r="D337" t="s">
        <v>34</v>
      </c>
      <c r="E337" t="s">
        <v>1200</v>
      </c>
      <c r="F337" t="s">
        <v>865</v>
      </c>
      <c r="G337" s="21" t="s">
        <v>866</v>
      </c>
      <c r="H337" s="21" t="s">
        <v>866</v>
      </c>
      <c r="I337" s="23" t="s">
        <v>866</v>
      </c>
      <c r="J337" s="21" t="s">
        <v>866</v>
      </c>
    </row>
    <row r="338" spans="1:10" x14ac:dyDescent="0.2">
      <c r="A338">
        <v>890049</v>
      </c>
      <c r="B338" t="s">
        <v>21</v>
      </c>
      <c r="C338">
        <v>0</v>
      </c>
      <c r="D338" t="s">
        <v>34</v>
      </c>
      <c r="E338" t="s">
        <v>1201</v>
      </c>
      <c r="F338" t="s">
        <v>865</v>
      </c>
      <c r="G338" s="21" t="s">
        <v>866</v>
      </c>
      <c r="H338" s="21" t="s">
        <v>866</v>
      </c>
      <c r="I338" s="23" t="s">
        <v>866</v>
      </c>
      <c r="J338" s="21" t="s">
        <v>866</v>
      </c>
    </row>
    <row r="339" spans="1:10" x14ac:dyDescent="0.2">
      <c r="A339">
        <v>890057</v>
      </c>
      <c r="B339" t="s">
        <v>21</v>
      </c>
      <c r="C339">
        <v>0</v>
      </c>
      <c r="D339" t="s">
        <v>34</v>
      </c>
      <c r="E339" t="s">
        <v>1202</v>
      </c>
      <c r="F339" t="s">
        <v>865</v>
      </c>
      <c r="G339" s="21" t="s">
        <v>866</v>
      </c>
      <c r="H339" s="21" t="s">
        <v>866</v>
      </c>
      <c r="I339" s="23" t="s">
        <v>866</v>
      </c>
      <c r="J339" s="21" t="s">
        <v>866</v>
      </c>
    </row>
    <row r="340" spans="1:10" x14ac:dyDescent="0.2">
      <c r="A340">
        <v>890065</v>
      </c>
      <c r="B340" t="s">
        <v>21</v>
      </c>
      <c r="C340">
        <v>0</v>
      </c>
      <c r="D340" t="s">
        <v>34</v>
      </c>
      <c r="E340" t="s">
        <v>1203</v>
      </c>
      <c r="F340" t="s">
        <v>865</v>
      </c>
      <c r="G340" s="21" t="s">
        <v>866</v>
      </c>
      <c r="H340" s="21" t="s">
        <v>866</v>
      </c>
      <c r="I340" s="23" t="s">
        <v>866</v>
      </c>
      <c r="J340" s="21" t="s">
        <v>866</v>
      </c>
    </row>
    <row r="341" spans="1:10" x14ac:dyDescent="0.2">
      <c r="A341">
        <v>890081</v>
      </c>
      <c r="B341" t="s">
        <v>21</v>
      </c>
      <c r="C341">
        <v>0</v>
      </c>
      <c r="D341" t="s">
        <v>34</v>
      </c>
      <c r="E341" t="s">
        <v>1204</v>
      </c>
      <c r="F341" t="s">
        <v>865</v>
      </c>
      <c r="G341" s="21" t="s">
        <v>866</v>
      </c>
      <c r="H341" s="21" t="s">
        <v>866</v>
      </c>
      <c r="I341" s="23" t="s">
        <v>866</v>
      </c>
      <c r="J341" s="21" t="s">
        <v>866</v>
      </c>
    </row>
    <row r="342" spans="1:10" x14ac:dyDescent="0.2">
      <c r="A342">
        <v>890103</v>
      </c>
      <c r="B342" t="s">
        <v>21</v>
      </c>
      <c r="C342">
        <v>0</v>
      </c>
      <c r="D342" t="s">
        <v>34</v>
      </c>
      <c r="E342" t="s">
        <v>1205</v>
      </c>
      <c r="F342" t="s">
        <v>865</v>
      </c>
      <c r="G342" s="21" t="s">
        <v>866</v>
      </c>
      <c r="H342" s="21" t="s">
        <v>866</v>
      </c>
      <c r="I342" s="23" t="s">
        <v>866</v>
      </c>
      <c r="J342" s="21" t="s">
        <v>866</v>
      </c>
    </row>
    <row r="343" spans="1:10" x14ac:dyDescent="0.2">
      <c r="A343">
        <v>890111</v>
      </c>
      <c r="B343" t="s">
        <v>21</v>
      </c>
      <c r="C343">
        <v>0</v>
      </c>
      <c r="D343" t="s">
        <v>34</v>
      </c>
      <c r="E343" t="s">
        <v>1206</v>
      </c>
      <c r="F343" t="s">
        <v>865</v>
      </c>
      <c r="G343" s="21" t="s">
        <v>866</v>
      </c>
      <c r="H343" s="21" t="s">
        <v>866</v>
      </c>
      <c r="I343" s="23" t="s">
        <v>866</v>
      </c>
      <c r="J343" s="21" t="s">
        <v>866</v>
      </c>
    </row>
    <row r="344" spans="1:10" x14ac:dyDescent="0.2">
      <c r="A344">
        <v>890138</v>
      </c>
      <c r="B344" t="s">
        <v>21</v>
      </c>
      <c r="C344">
        <v>0</v>
      </c>
      <c r="D344" t="s">
        <v>34</v>
      </c>
      <c r="E344" t="s">
        <v>1207</v>
      </c>
      <c r="F344" t="s">
        <v>865</v>
      </c>
      <c r="G344" s="21" t="s">
        <v>866</v>
      </c>
      <c r="H344" s="21" t="s">
        <v>866</v>
      </c>
      <c r="I344" s="23" t="s">
        <v>866</v>
      </c>
      <c r="J344" s="21" t="s">
        <v>866</v>
      </c>
    </row>
    <row r="345" spans="1:10" x14ac:dyDescent="0.2">
      <c r="A345">
        <v>891011</v>
      </c>
      <c r="B345" t="s">
        <v>21</v>
      </c>
      <c r="C345">
        <v>0</v>
      </c>
      <c r="D345" t="s">
        <v>34</v>
      </c>
      <c r="E345" t="s">
        <v>1208</v>
      </c>
      <c r="F345" t="s">
        <v>865</v>
      </c>
      <c r="G345" s="21" t="s">
        <v>866</v>
      </c>
      <c r="H345" s="21" t="s">
        <v>866</v>
      </c>
      <c r="I345" s="23" t="s">
        <v>866</v>
      </c>
      <c r="J345" s="21" t="s">
        <v>866</v>
      </c>
    </row>
    <row r="346" spans="1:10" x14ac:dyDescent="0.2">
      <c r="A346">
        <v>891029</v>
      </c>
      <c r="B346" t="s">
        <v>21</v>
      </c>
      <c r="C346">
        <v>0</v>
      </c>
      <c r="D346" t="s">
        <v>34</v>
      </c>
      <c r="E346" t="s">
        <v>1209</v>
      </c>
      <c r="F346" t="s">
        <v>865</v>
      </c>
      <c r="G346" s="21" t="s">
        <v>866</v>
      </c>
      <c r="H346" s="21" t="s">
        <v>866</v>
      </c>
      <c r="I346" s="23" t="s">
        <v>866</v>
      </c>
      <c r="J346" s="21" t="s">
        <v>866</v>
      </c>
    </row>
    <row r="347" spans="1:10" x14ac:dyDescent="0.2">
      <c r="A347">
        <v>900010</v>
      </c>
      <c r="B347" t="s">
        <v>21</v>
      </c>
      <c r="C347">
        <v>0</v>
      </c>
      <c r="D347" t="s">
        <v>34</v>
      </c>
      <c r="E347" t="s">
        <v>1210</v>
      </c>
      <c r="F347" t="s">
        <v>865</v>
      </c>
      <c r="G347" s="21" t="s">
        <v>866</v>
      </c>
      <c r="H347" s="21" t="s">
        <v>866</v>
      </c>
      <c r="I347" s="23" t="s">
        <v>866</v>
      </c>
      <c r="J347" s="21" t="s">
        <v>866</v>
      </c>
    </row>
    <row r="348" spans="1:10" x14ac:dyDescent="0.2">
      <c r="A348">
        <v>900036</v>
      </c>
      <c r="B348" t="s">
        <v>21</v>
      </c>
      <c r="C348">
        <v>0</v>
      </c>
      <c r="D348" t="s">
        <v>34</v>
      </c>
      <c r="E348" t="s">
        <v>1211</v>
      </c>
      <c r="F348" t="s">
        <v>865</v>
      </c>
      <c r="G348" s="21" t="s">
        <v>866</v>
      </c>
      <c r="H348" s="21" t="s">
        <v>866</v>
      </c>
      <c r="I348" s="23" t="s">
        <v>866</v>
      </c>
      <c r="J348" s="21" t="s">
        <v>866</v>
      </c>
    </row>
    <row r="349" spans="1:10" x14ac:dyDescent="0.2">
      <c r="A349">
        <v>900052</v>
      </c>
      <c r="B349" t="s">
        <v>21</v>
      </c>
      <c r="C349">
        <v>0</v>
      </c>
      <c r="D349" t="s">
        <v>34</v>
      </c>
      <c r="E349" t="s">
        <v>1212</v>
      </c>
      <c r="F349" t="s">
        <v>865</v>
      </c>
      <c r="G349" s="21" t="s">
        <v>866</v>
      </c>
      <c r="H349" s="21" t="s">
        <v>866</v>
      </c>
      <c r="I349" s="23" t="s">
        <v>866</v>
      </c>
      <c r="J349" s="21" t="s">
        <v>866</v>
      </c>
    </row>
    <row r="350" spans="1:10" x14ac:dyDescent="0.2">
      <c r="A350">
        <v>900061</v>
      </c>
      <c r="B350" t="s">
        <v>21</v>
      </c>
      <c r="C350">
        <v>0</v>
      </c>
      <c r="D350" t="s">
        <v>34</v>
      </c>
      <c r="E350" t="s">
        <v>1213</v>
      </c>
      <c r="F350" t="s">
        <v>865</v>
      </c>
      <c r="G350" s="21" t="s">
        <v>866</v>
      </c>
      <c r="H350" s="21" t="s">
        <v>866</v>
      </c>
      <c r="I350" s="23" t="s">
        <v>866</v>
      </c>
      <c r="J350" s="21" t="s">
        <v>866</v>
      </c>
    </row>
    <row r="351" spans="1:10" x14ac:dyDescent="0.2">
      <c r="A351">
        <v>900079</v>
      </c>
      <c r="B351" t="s">
        <v>21</v>
      </c>
      <c r="C351">
        <v>0</v>
      </c>
      <c r="D351" t="s">
        <v>34</v>
      </c>
      <c r="E351" t="s">
        <v>1214</v>
      </c>
      <c r="F351" t="s">
        <v>865</v>
      </c>
      <c r="G351" s="21" t="s">
        <v>866</v>
      </c>
      <c r="H351" s="21" t="s">
        <v>866</v>
      </c>
      <c r="I351" s="23" t="s">
        <v>866</v>
      </c>
      <c r="J351" s="21" t="s">
        <v>866</v>
      </c>
    </row>
    <row r="352" spans="1:10" x14ac:dyDescent="0.2">
      <c r="A352">
        <v>910023</v>
      </c>
      <c r="B352" t="s">
        <v>21</v>
      </c>
      <c r="C352">
        <v>0</v>
      </c>
      <c r="D352" t="s">
        <v>34</v>
      </c>
      <c r="E352" t="s">
        <v>1215</v>
      </c>
      <c r="F352" t="s">
        <v>865</v>
      </c>
      <c r="G352" s="21" t="s">
        <v>866</v>
      </c>
      <c r="H352" s="21" t="s">
        <v>866</v>
      </c>
      <c r="I352" s="23" t="s">
        <v>866</v>
      </c>
      <c r="J352" s="21" t="s">
        <v>866</v>
      </c>
    </row>
    <row r="353" spans="1:10" x14ac:dyDescent="0.2">
      <c r="A353">
        <v>910031</v>
      </c>
      <c r="B353" t="s">
        <v>21</v>
      </c>
      <c r="C353">
        <v>0</v>
      </c>
      <c r="D353" t="s">
        <v>34</v>
      </c>
      <c r="E353" t="s">
        <v>1216</v>
      </c>
      <c r="F353" t="s">
        <v>865</v>
      </c>
      <c r="G353" s="21" t="s">
        <v>866</v>
      </c>
      <c r="H353" s="21" t="s">
        <v>866</v>
      </c>
      <c r="I353" s="23" t="s">
        <v>866</v>
      </c>
      <c r="J353" s="21" t="s">
        <v>866</v>
      </c>
    </row>
    <row r="354" spans="1:10" x14ac:dyDescent="0.2">
      <c r="A354">
        <v>910040</v>
      </c>
      <c r="B354" t="s">
        <v>21</v>
      </c>
      <c r="C354">
        <v>0</v>
      </c>
      <c r="D354" t="s">
        <v>34</v>
      </c>
      <c r="E354" t="s">
        <v>1217</v>
      </c>
      <c r="F354" t="s">
        <v>865</v>
      </c>
      <c r="G354" s="21" t="s">
        <v>866</v>
      </c>
      <c r="H354" s="21" t="s">
        <v>866</v>
      </c>
      <c r="I354" s="23" t="s">
        <v>866</v>
      </c>
      <c r="J354" s="21" t="s">
        <v>866</v>
      </c>
    </row>
    <row r="355" spans="1:10" x14ac:dyDescent="0.2">
      <c r="A355">
        <v>910058</v>
      </c>
      <c r="B355" t="s">
        <v>21</v>
      </c>
      <c r="C355">
        <v>0</v>
      </c>
      <c r="D355" t="s">
        <v>34</v>
      </c>
      <c r="E355" t="s">
        <v>1218</v>
      </c>
      <c r="F355" t="s">
        <v>865</v>
      </c>
      <c r="G355" s="21" t="s">
        <v>866</v>
      </c>
      <c r="H355" s="21" t="s">
        <v>866</v>
      </c>
      <c r="I355" s="23" t="s">
        <v>866</v>
      </c>
      <c r="J355" s="21" t="s">
        <v>866</v>
      </c>
    </row>
    <row r="356" spans="1:10" x14ac:dyDescent="0.2">
      <c r="A356">
        <v>910066</v>
      </c>
      <c r="B356" t="s">
        <v>21</v>
      </c>
      <c r="C356">
        <v>0</v>
      </c>
      <c r="D356" t="s">
        <v>34</v>
      </c>
      <c r="E356" t="s">
        <v>1219</v>
      </c>
      <c r="F356" t="s">
        <v>865</v>
      </c>
      <c r="G356" s="21" t="s">
        <v>866</v>
      </c>
      <c r="H356" s="21" t="s">
        <v>866</v>
      </c>
      <c r="I356" s="23" t="s">
        <v>866</v>
      </c>
      <c r="J356" s="21" t="s">
        <v>866</v>
      </c>
    </row>
    <row r="357" spans="1:10" x14ac:dyDescent="0.2">
      <c r="A357">
        <v>910074</v>
      </c>
      <c r="B357" t="s">
        <v>21</v>
      </c>
      <c r="C357">
        <v>0</v>
      </c>
      <c r="D357" t="s">
        <v>34</v>
      </c>
      <c r="E357" t="s">
        <v>1220</v>
      </c>
      <c r="F357" t="s">
        <v>865</v>
      </c>
      <c r="G357" s="21" t="s">
        <v>866</v>
      </c>
      <c r="H357" s="21" t="s">
        <v>866</v>
      </c>
      <c r="I357" s="23" t="s">
        <v>866</v>
      </c>
      <c r="J357" s="21" t="s">
        <v>866</v>
      </c>
    </row>
    <row r="358" spans="1:10" x14ac:dyDescent="0.2">
      <c r="A358">
        <v>910082</v>
      </c>
      <c r="B358" t="s">
        <v>21</v>
      </c>
      <c r="C358">
        <v>0</v>
      </c>
      <c r="D358" t="s">
        <v>34</v>
      </c>
      <c r="E358" t="s">
        <v>1221</v>
      </c>
      <c r="F358" t="s">
        <v>865</v>
      </c>
      <c r="G358" s="21" t="s">
        <v>866</v>
      </c>
      <c r="H358" s="21" t="s">
        <v>866</v>
      </c>
      <c r="I358" s="23" t="s">
        <v>866</v>
      </c>
      <c r="J358" s="21" t="s">
        <v>866</v>
      </c>
    </row>
    <row r="359" spans="1:10" x14ac:dyDescent="0.2">
      <c r="A359">
        <v>910091</v>
      </c>
      <c r="B359" t="s">
        <v>21</v>
      </c>
      <c r="C359">
        <v>0</v>
      </c>
      <c r="D359" t="s">
        <v>34</v>
      </c>
      <c r="E359" t="s">
        <v>1222</v>
      </c>
      <c r="F359" t="s">
        <v>865</v>
      </c>
      <c r="G359" s="21" t="s">
        <v>866</v>
      </c>
      <c r="H359" s="21" t="s">
        <v>866</v>
      </c>
      <c r="I359" s="23" t="s">
        <v>866</v>
      </c>
      <c r="J359" s="21" t="s">
        <v>866</v>
      </c>
    </row>
    <row r="360" spans="1:10" x14ac:dyDescent="0.2">
      <c r="A360">
        <v>910104</v>
      </c>
      <c r="B360" t="s">
        <v>21</v>
      </c>
      <c r="C360">
        <v>0</v>
      </c>
      <c r="D360" t="s">
        <v>34</v>
      </c>
      <c r="E360" t="s">
        <v>1223</v>
      </c>
      <c r="F360" t="s">
        <v>865</v>
      </c>
      <c r="G360" s="21" t="s">
        <v>866</v>
      </c>
      <c r="H360" s="21" t="s">
        <v>866</v>
      </c>
      <c r="I360" s="23" t="s">
        <v>866</v>
      </c>
      <c r="J360" s="21" t="s">
        <v>866</v>
      </c>
    </row>
    <row r="361" spans="1:10" x14ac:dyDescent="0.2">
      <c r="A361">
        <v>910112</v>
      </c>
      <c r="B361" t="s">
        <v>21</v>
      </c>
      <c r="C361">
        <v>0</v>
      </c>
      <c r="D361" t="s">
        <v>34</v>
      </c>
      <c r="E361" t="s">
        <v>1224</v>
      </c>
      <c r="F361" t="s">
        <v>865</v>
      </c>
      <c r="G361" s="21" t="s">
        <v>866</v>
      </c>
      <c r="H361" s="21" t="s">
        <v>866</v>
      </c>
      <c r="I361" s="23" t="s">
        <v>866</v>
      </c>
      <c r="J361" s="21" t="s">
        <v>866</v>
      </c>
    </row>
    <row r="362" spans="1:10" x14ac:dyDescent="0.2">
      <c r="A362">
        <v>910121</v>
      </c>
      <c r="B362" t="s">
        <v>21</v>
      </c>
      <c r="C362">
        <v>0</v>
      </c>
      <c r="D362" t="s">
        <v>34</v>
      </c>
      <c r="E362" t="s">
        <v>1225</v>
      </c>
      <c r="F362" t="s">
        <v>865</v>
      </c>
      <c r="G362" s="21" t="s">
        <v>866</v>
      </c>
      <c r="H362" s="21" t="s">
        <v>866</v>
      </c>
      <c r="I362" s="23" t="s">
        <v>866</v>
      </c>
      <c r="J362" s="21" t="s">
        <v>866</v>
      </c>
    </row>
    <row r="363" spans="1:10" x14ac:dyDescent="0.2">
      <c r="A363">
        <v>910139</v>
      </c>
      <c r="B363" t="s">
        <v>21</v>
      </c>
      <c r="C363">
        <v>0</v>
      </c>
      <c r="D363" t="s">
        <v>34</v>
      </c>
      <c r="E363" t="s">
        <v>1226</v>
      </c>
      <c r="F363" t="s">
        <v>865</v>
      </c>
      <c r="G363" s="21" t="s">
        <v>866</v>
      </c>
      <c r="H363" s="21" t="s">
        <v>866</v>
      </c>
      <c r="I363" s="23" t="s">
        <v>866</v>
      </c>
      <c r="J363" s="21" t="s">
        <v>866</v>
      </c>
    </row>
    <row r="364" spans="1:10" x14ac:dyDescent="0.2">
      <c r="A364">
        <v>910201</v>
      </c>
      <c r="B364" t="s">
        <v>21</v>
      </c>
      <c r="C364">
        <v>0</v>
      </c>
      <c r="D364" t="s">
        <v>34</v>
      </c>
      <c r="E364" t="s">
        <v>1227</v>
      </c>
      <c r="F364" t="s">
        <v>865</v>
      </c>
      <c r="G364" s="21" t="s">
        <v>866</v>
      </c>
      <c r="H364" s="21" t="s">
        <v>866</v>
      </c>
      <c r="I364" s="23" t="s">
        <v>866</v>
      </c>
      <c r="J364" s="21" t="s">
        <v>866</v>
      </c>
    </row>
    <row r="365" spans="1:10" x14ac:dyDescent="0.2">
      <c r="A365">
        <v>910210</v>
      </c>
      <c r="B365" t="s">
        <v>21</v>
      </c>
      <c r="C365">
        <v>0</v>
      </c>
      <c r="D365" t="s">
        <v>34</v>
      </c>
      <c r="E365" t="s">
        <v>1228</v>
      </c>
      <c r="F365" t="s">
        <v>865</v>
      </c>
      <c r="G365" s="21" t="s">
        <v>866</v>
      </c>
      <c r="H365" s="21" t="s">
        <v>866</v>
      </c>
      <c r="I365" s="23" t="s">
        <v>866</v>
      </c>
      <c r="J365" s="21" t="s">
        <v>866</v>
      </c>
    </row>
    <row r="366" spans="1:10" x14ac:dyDescent="0.2">
      <c r="A366">
        <v>910228</v>
      </c>
      <c r="B366" t="s">
        <v>21</v>
      </c>
      <c r="C366">
        <v>0</v>
      </c>
      <c r="D366" t="s">
        <v>34</v>
      </c>
      <c r="E366" t="s">
        <v>1229</v>
      </c>
      <c r="F366" t="s">
        <v>865</v>
      </c>
      <c r="G366" s="21" t="s">
        <v>866</v>
      </c>
      <c r="H366" s="21" t="s">
        <v>866</v>
      </c>
      <c r="I366" s="23" t="s">
        <v>866</v>
      </c>
      <c r="J366" s="21" t="s">
        <v>866</v>
      </c>
    </row>
    <row r="367" spans="1:10" x14ac:dyDescent="0.2">
      <c r="A367">
        <v>910236</v>
      </c>
      <c r="B367" t="s">
        <v>21</v>
      </c>
      <c r="C367">
        <v>0</v>
      </c>
      <c r="D367" t="s">
        <v>34</v>
      </c>
      <c r="E367" t="s">
        <v>1230</v>
      </c>
      <c r="F367" t="s">
        <v>865</v>
      </c>
      <c r="G367" s="21" t="s">
        <v>866</v>
      </c>
      <c r="H367" s="21" t="s">
        <v>866</v>
      </c>
      <c r="I367" s="23" t="s">
        <v>866</v>
      </c>
      <c r="J367" s="21" t="s">
        <v>866</v>
      </c>
    </row>
    <row r="368" spans="1:10" x14ac:dyDescent="0.2">
      <c r="A368">
        <v>911119</v>
      </c>
      <c r="B368" t="s">
        <v>21</v>
      </c>
      <c r="C368">
        <v>0</v>
      </c>
      <c r="D368" t="s">
        <v>34</v>
      </c>
      <c r="E368" t="s">
        <v>1231</v>
      </c>
      <c r="F368" t="s">
        <v>865</v>
      </c>
      <c r="G368" s="21" t="s">
        <v>866</v>
      </c>
      <c r="H368" s="21" t="s">
        <v>866</v>
      </c>
      <c r="I368" s="23" t="s">
        <v>866</v>
      </c>
      <c r="J368" s="21" t="s">
        <v>866</v>
      </c>
    </row>
    <row r="369" spans="1:10" x14ac:dyDescent="0.2">
      <c r="A369">
        <v>911127</v>
      </c>
      <c r="B369" t="s">
        <v>21</v>
      </c>
      <c r="C369">
        <v>0</v>
      </c>
      <c r="D369" t="s">
        <v>34</v>
      </c>
      <c r="E369" t="s">
        <v>1232</v>
      </c>
      <c r="F369" t="s">
        <v>865</v>
      </c>
      <c r="G369" s="21" t="s">
        <v>866</v>
      </c>
      <c r="H369" s="21" t="s">
        <v>866</v>
      </c>
      <c r="I369" s="23" t="s">
        <v>866</v>
      </c>
      <c r="J369" s="21" t="s">
        <v>866</v>
      </c>
    </row>
    <row r="370" spans="1:10" x14ac:dyDescent="0.2">
      <c r="A370">
        <v>911143</v>
      </c>
      <c r="B370" t="s">
        <v>21</v>
      </c>
      <c r="C370">
        <v>0</v>
      </c>
      <c r="D370" t="s">
        <v>34</v>
      </c>
      <c r="E370" t="s">
        <v>1233</v>
      </c>
      <c r="F370" t="s">
        <v>865</v>
      </c>
      <c r="G370" s="21" t="s">
        <v>866</v>
      </c>
      <c r="H370" s="21" t="s">
        <v>866</v>
      </c>
      <c r="I370" s="23" t="s">
        <v>866</v>
      </c>
      <c r="J370" s="21" t="s">
        <v>866</v>
      </c>
    </row>
    <row r="371" spans="1:10" x14ac:dyDescent="0.2">
      <c r="A371">
        <v>911151</v>
      </c>
      <c r="B371" t="s">
        <v>21</v>
      </c>
      <c r="C371">
        <v>0</v>
      </c>
      <c r="D371" t="s">
        <v>34</v>
      </c>
      <c r="E371" t="s">
        <v>1234</v>
      </c>
      <c r="F371" t="s">
        <v>865</v>
      </c>
      <c r="G371" s="21" t="s">
        <v>866</v>
      </c>
      <c r="H371" s="21" t="s">
        <v>866</v>
      </c>
      <c r="I371" s="23" t="s">
        <v>866</v>
      </c>
      <c r="J371" s="21" t="s">
        <v>866</v>
      </c>
    </row>
    <row r="372" spans="1:10" x14ac:dyDescent="0.2">
      <c r="A372">
        <v>911160</v>
      </c>
      <c r="B372" t="s">
        <v>21</v>
      </c>
      <c r="C372">
        <v>0</v>
      </c>
      <c r="D372" t="s">
        <v>34</v>
      </c>
      <c r="E372" t="s">
        <v>1235</v>
      </c>
      <c r="F372" t="s">
        <v>865</v>
      </c>
      <c r="G372" s="21" t="s">
        <v>866</v>
      </c>
      <c r="H372" s="21" t="s">
        <v>866</v>
      </c>
      <c r="I372" s="23" t="s">
        <v>866</v>
      </c>
      <c r="J372" s="21" t="s">
        <v>866</v>
      </c>
    </row>
    <row r="373" spans="1:10" x14ac:dyDescent="0.2">
      <c r="A373">
        <v>911178</v>
      </c>
      <c r="B373" t="s">
        <v>21</v>
      </c>
      <c r="C373">
        <v>0</v>
      </c>
      <c r="D373" t="s">
        <v>34</v>
      </c>
      <c r="E373" t="s">
        <v>1236</v>
      </c>
      <c r="F373" t="s">
        <v>865</v>
      </c>
      <c r="G373" s="21" t="s">
        <v>866</v>
      </c>
      <c r="H373" s="21" t="s">
        <v>866</v>
      </c>
      <c r="I373" s="23" t="s">
        <v>866</v>
      </c>
      <c r="J373" s="21" t="s">
        <v>866</v>
      </c>
    </row>
    <row r="374" spans="1:10" x14ac:dyDescent="0.2">
      <c r="A374">
        <v>911186</v>
      </c>
      <c r="B374" t="s">
        <v>21</v>
      </c>
      <c r="C374">
        <v>0</v>
      </c>
      <c r="D374" t="s">
        <v>34</v>
      </c>
      <c r="E374" t="s">
        <v>1237</v>
      </c>
      <c r="F374" t="s">
        <v>865</v>
      </c>
      <c r="G374" s="21" t="s">
        <v>866</v>
      </c>
      <c r="H374" s="21" t="s">
        <v>866</v>
      </c>
      <c r="I374" s="23" t="s">
        <v>866</v>
      </c>
      <c r="J374" s="21" t="s">
        <v>866</v>
      </c>
    </row>
    <row r="375" spans="1:10" x14ac:dyDescent="0.2">
      <c r="A375">
        <v>911216</v>
      </c>
      <c r="B375" t="s">
        <v>21</v>
      </c>
      <c r="C375">
        <v>0</v>
      </c>
      <c r="D375" t="s">
        <v>34</v>
      </c>
      <c r="E375" t="s">
        <v>1238</v>
      </c>
      <c r="F375" t="s">
        <v>865</v>
      </c>
      <c r="G375" s="21" t="s">
        <v>866</v>
      </c>
      <c r="H375" s="21" t="s">
        <v>866</v>
      </c>
      <c r="I375" s="23" t="s">
        <v>866</v>
      </c>
      <c r="J375" s="21" t="s">
        <v>866</v>
      </c>
    </row>
    <row r="376" spans="1:10" x14ac:dyDescent="0.2">
      <c r="A376">
        <v>911224</v>
      </c>
      <c r="B376" t="s">
        <v>21</v>
      </c>
      <c r="C376">
        <v>0</v>
      </c>
      <c r="D376" t="s">
        <v>34</v>
      </c>
      <c r="E376" t="s">
        <v>1239</v>
      </c>
      <c r="F376" t="s">
        <v>865</v>
      </c>
      <c r="G376" s="21" t="s">
        <v>866</v>
      </c>
      <c r="H376" s="21" t="s">
        <v>866</v>
      </c>
      <c r="I376" s="23" t="s">
        <v>866</v>
      </c>
      <c r="J376" s="21" t="s">
        <v>866</v>
      </c>
    </row>
    <row r="377" spans="1:10" x14ac:dyDescent="0.2">
      <c r="A377">
        <v>911232</v>
      </c>
      <c r="B377" t="s">
        <v>21</v>
      </c>
      <c r="C377">
        <v>0</v>
      </c>
      <c r="D377" t="s">
        <v>34</v>
      </c>
      <c r="E377" t="s">
        <v>1240</v>
      </c>
      <c r="F377" t="s">
        <v>865</v>
      </c>
      <c r="G377" s="21" t="s">
        <v>866</v>
      </c>
      <c r="H377" s="21" t="s">
        <v>866</v>
      </c>
      <c r="I377" s="23" t="s">
        <v>866</v>
      </c>
      <c r="J377" s="21" t="s">
        <v>866</v>
      </c>
    </row>
    <row r="378" spans="1:10" x14ac:dyDescent="0.2">
      <c r="A378">
        <v>911241</v>
      </c>
      <c r="B378" t="s">
        <v>21</v>
      </c>
      <c r="C378">
        <v>0</v>
      </c>
      <c r="D378" t="s">
        <v>34</v>
      </c>
      <c r="E378" t="s">
        <v>1241</v>
      </c>
      <c r="F378" t="s">
        <v>865</v>
      </c>
      <c r="G378" s="21" t="s">
        <v>866</v>
      </c>
      <c r="H378" s="21" t="s">
        <v>866</v>
      </c>
      <c r="I378" s="23" t="s">
        <v>866</v>
      </c>
      <c r="J378" s="21" t="s">
        <v>866</v>
      </c>
    </row>
    <row r="379" spans="1:10" x14ac:dyDescent="0.2">
      <c r="A379">
        <v>930016</v>
      </c>
      <c r="B379" t="s">
        <v>21</v>
      </c>
      <c r="C379">
        <v>0</v>
      </c>
      <c r="D379" t="s">
        <v>34</v>
      </c>
      <c r="E379" t="s">
        <v>1242</v>
      </c>
      <c r="F379" t="s">
        <v>865</v>
      </c>
      <c r="G379" s="21" t="s">
        <v>866</v>
      </c>
      <c r="H379" s="21" t="s">
        <v>866</v>
      </c>
      <c r="I379" s="23" t="s">
        <v>866</v>
      </c>
      <c r="J379" s="21" t="s">
        <v>866</v>
      </c>
    </row>
    <row r="380" spans="1:10" x14ac:dyDescent="0.2">
      <c r="A380">
        <v>999999</v>
      </c>
      <c r="B380" t="s">
        <v>21</v>
      </c>
      <c r="C380">
        <v>0</v>
      </c>
      <c r="D380" t="s">
        <v>34</v>
      </c>
      <c r="E380" t="s">
        <v>878</v>
      </c>
      <c r="F380" t="s">
        <v>865</v>
      </c>
      <c r="G380" s="21" t="s">
        <v>866</v>
      </c>
      <c r="H380" s="21" t="s">
        <v>866</v>
      </c>
      <c r="I380" s="23" t="s">
        <v>866</v>
      </c>
      <c r="J380" s="21" t="s">
        <v>866</v>
      </c>
    </row>
    <row r="381" spans="1:10" x14ac:dyDescent="0.2">
      <c r="A381">
        <v>85120500</v>
      </c>
      <c r="B381" t="s">
        <v>21</v>
      </c>
      <c r="C381">
        <v>0</v>
      </c>
      <c r="D381" t="s">
        <v>34</v>
      </c>
      <c r="E381" t="s">
        <v>1159</v>
      </c>
      <c r="F381" t="s">
        <v>865</v>
      </c>
      <c r="G381" s="21" t="s">
        <v>866</v>
      </c>
      <c r="H381" s="21" t="s">
        <v>866</v>
      </c>
      <c r="I381" s="23" t="s">
        <v>866</v>
      </c>
      <c r="J381" s="21" t="s">
        <v>866</v>
      </c>
    </row>
    <row r="382" spans="1:10" x14ac:dyDescent="0.2">
      <c r="A382">
        <v>72001</v>
      </c>
      <c r="B382" t="s">
        <v>21</v>
      </c>
      <c r="C382">
        <v>0</v>
      </c>
      <c r="D382" t="s">
        <v>36</v>
      </c>
      <c r="E382" t="s">
        <v>1243</v>
      </c>
      <c r="F382" t="s">
        <v>865</v>
      </c>
      <c r="G382" s="21" t="s">
        <v>866</v>
      </c>
      <c r="H382" s="21" t="s">
        <v>866</v>
      </c>
      <c r="I382" s="23" t="s">
        <v>866</v>
      </c>
      <c r="J382" s="21" t="s">
        <v>866</v>
      </c>
    </row>
    <row r="383" spans="1:10" x14ac:dyDescent="0.2">
      <c r="A383">
        <v>73008</v>
      </c>
      <c r="B383" t="s">
        <v>21</v>
      </c>
      <c r="C383">
        <v>0</v>
      </c>
      <c r="D383" t="s">
        <v>36</v>
      </c>
      <c r="E383" t="s">
        <v>1244</v>
      </c>
      <c r="F383" t="s">
        <v>865</v>
      </c>
      <c r="G383" s="21" t="s">
        <v>866</v>
      </c>
      <c r="H383" s="21" t="s">
        <v>866</v>
      </c>
      <c r="I383" s="23" t="s">
        <v>866</v>
      </c>
      <c r="J383" s="21" t="s">
        <v>866</v>
      </c>
    </row>
    <row r="384" spans="1:10" x14ac:dyDescent="0.2">
      <c r="A384">
        <v>74004</v>
      </c>
      <c r="B384" t="s">
        <v>21</v>
      </c>
      <c r="C384">
        <v>0</v>
      </c>
      <c r="D384" t="s">
        <v>36</v>
      </c>
      <c r="E384" t="s">
        <v>1245</v>
      </c>
      <c r="F384" t="s">
        <v>865</v>
      </c>
      <c r="G384" s="21" t="s">
        <v>866</v>
      </c>
      <c r="H384" s="21" t="s">
        <v>866</v>
      </c>
      <c r="I384" s="23" t="s">
        <v>866</v>
      </c>
      <c r="J384" s="21" t="s">
        <v>866</v>
      </c>
    </row>
    <row r="385" spans="1:10" x14ac:dyDescent="0.2">
      <c r="A385">
        <v>720011</v>
      </c>
      <c r="B385" t="s">
        <v>21</v>
      </c>
      <c r="C385">
        <v>0</v>
      </c>
      <c r="D385" t="s">
        <v>36</v>
      </c>
      <c r="E385" t="s">
        <v>1246</v>
      </c>
      <c r="F385" t="s">
        <v>865</v>
      </c>
      <c r="G385" s="21" t="s">
        <v>866</v>
      </c>
      <c r="H385" s="21" t="s">
        <v>866</v>
      </c>
      <c r="I385" s="23" t="s">
        <v>866</v>
      </c>
      <c r="J385" s="21" t="s">
        <v>866</v>
      </c>
    </row>
    <row r="386" spans="1:10" x14ac:dyDescent="0.2">
      <c r="A386">
        <v>720020</v>
      </c>
      <c r="B386" t="s">
        <v>21</v>
      </c>
      <c r="C386">
        <v>0</v>
      </c>
      <c r="D386" t="s">
        <v>36</v>
      </c>
      <c r="E386" t="s">
        <v>1247</v>
      </c>
      <c r="F386" t="s">
        <v>865</v>
      </c>
      <c r="G386" s="21" t="s">
        <v>866</v>
      </c>
      <c r="H386" s="21" t="s">
        <v>866</v>
      </c>
      <c r="I386" s="23" t="s">
        <v>866</v>
      </c>
      <c r="J386" s="21" t="s">
        <v>866</v>
      </c>
    </row>
    <row r="387" spans="1:10" x14ac:dyDescent="0.2">
      <c r="A387">
        <v>720038</v>
      </c>
      <c r="B387" t="s">
        <v>21</v>
      </c>
      <c r="C387">
        <v>0</v>
      </c>
      <c r="D387" t="s">
        <v>36</v>
      </c>
      <c r="E387" t="s">
        <v>1248</v>
      </c>
      <c r="F387" t="s">
        <v>865</v>
      </c>
      <c r="G387" s="21" t="s">
        <v>866</v>
      </c>
      <c r="H387" s="21" t="s">
        <v>866</v>
      </c>
      <c r="I387" s="23" t="s">
        <v>866</v>
      </c>
      <c r="J387" s="21" t="s">
        <v>866</v>
      </c>
    </row>
    <row r="388" spans="1:10" x14ac:dyDescent="0.2">
      <c r="A388">
        <v>720046</v>
      </c>
      <c r="B388" t="s">
        <v>21</v>
      </c>
      <c r="C388">
        <v>0</v>
      </c>
      <c r="D388" t="s">
        <v>36</v>
      </c>
      <c r="E388" t="s">
        <v>1249</v>
      </c>
      <c r="F388" t="s">
        <v>865</v>
      </c>
      <c r="G388" s="21" t="s">
        <v>866</v>
      </c>
      <c r="H388" s="21" t="s">
        <v>866</v>
      </c>
      <c r="I388" s="23" t="s">
        <v>866</v>
      </c>
      <c r="J388" s="21" t="s">
        <v>866</v>
      </c>
    </row>
    <row r="389" spans="1:10" x14ac:dyDescent="0.2">
      <c r="A389">
        <v>720054</v>
      </c>
      <c r="B389" t="s">
        <v>21</v>
      </c>
      <c r="C389">
        <v>0</v>
      </c>
      <c r="D389" t="s">
        <v>36</v>
      </c>
      <c r="E389" t="s">
        <v>1250</v>
      </c>
      <c r="F389" t="s">
        <v>865</v>
      </c>
      <c r="G389" s="21" t="s">
        <v>866</v>
      </c>
      <c r="H389" s="21" t="s">
        <v>866</v>
      </c>
      <c r="I389" s="23" t="s">
        <v>866</v>
      </c>
      <c r="J389" s="21" t="s">
        <v>866</v>
      </c>
    </row>
    <row r="390" spans="1:10" x14ac:dyDescent="0.2">
      <c r="A390">
        <v>720062</v>
      </c>
      <c r="B390" t="s">
        <v>21</v>
      </c>
      <c r="C390">
        <v>0</v>
      </c>
      <c r="D390" t="s">
        <v>36</v>
      </c>
      <c r="E390" t="s">
        <v>1251</v>
      </c>
      <c r="F390" t="s">
        <v>865</v>
      </c>
      <c r="G390" s="21" t="s">
        <v>866</v>
      </c>
      <c r="H390" s="21" t="s">
        <v>866</v>
      </c>
      <c r="I390" s="23" t="s">
        <v>866</v>
      </c>
      <c r="J390" s="21" t="s">
        <v>866</v>
      </c>
    </row>
    <row r="391" spans="1:10" x14ac:dyDescent="0.2">
      <c r="A391">
        <v>720071</v>
      </c>
      <c r="B391" t="s">
        <v>21</v>
      </c>
      <c r="C391">
        <v>0</v>
      </c>
      <c r="D391" t="s">
        <v>36</v>
      </c>
      <c r="E391" t="s">
        <v>1252</v>
      </c>
      <c r="F391" t="s">
        <v>865</v>
      </c>
      <c r="G391" s="21" t="s">
        <v>866</v>
      </c>
      <c r="H391" s="21" t="s">
        <v>866</v>
      </c>
      <c r="I391" s="23" t="s">
        <v>866</v>
      </c>
      <c r="J391" s="21" t="s">
        <v>866</v>
      </c>
    </row>
    <row r="392" spans="1:10" x14ac:dyDescent="0.2">
      <c r="A392">
        <v>720089</v>
      </c>
      <c r="B392" t="s">
        <v>21</v>
      </c>
      <c r="C392">
        <v>0</v>
      </c>
      <c r="D392" t="s">
        <v>36</v>
      </c>
      <c r="E392" t="s">
        <v>1253</v>
      </c>
      <c r="F392" t="s">
        <v>865</v>
      </c>
      <c r="G392" s="21" t="s">
        <v>866</v>
      </c>
      <c r="H392" s="21" t="s">
        <v>866</v>
      </c>
      <c r="I392" s="23" t="s">
        <v>866</v>
      </c>
      <c r="J392" s="21" t="s">
        <v>866</v>
      </c>
    </row>
    <row r="393" spans="1:10" x14ac:dyDescent="0.2">
      <c r="A393">
        <v>720097</v>
      </c>
      <c r="B393" t="s">
        <v>21</v>
      </c>
      <c r="C393">
        <v>0</v>
      </c>
      <c r="D393" t="s">
        <v>36</v>
      </c>
      <c r="E393" t="s">
        <v>1254</v>
      </c>
      <c r="F393" t="s">
        <v>865</v>
      </c>
      <c r="G393" s="21" t="s">
        <v>866</v>
      </c>
      <c r="H393" s="21" t="s">
        <v>866</v>
      </c>
      <c r="I393" s="23" t="s">
        <v>866</v>
      </c>
      <c r="J393" s="21" t="s">
        <v>866</v>
      </c>
    </row>
    <row r="394" spans="1:10" x14ac:dyDescent="0.2">
      <c r="A394">
        <v>720101</v>
      </c>
      <c r="B394" t="s">
        <v>21</v>
      </c>
      <c r="C394">
        <v>0</v>
      </c>
      <c r="D394" t="s">
        <v>36</v>
      </c>
      <c r="E394" t="s">
        <v>1255</v>
      </c>
      <c r="F394" t="s">
        <v>865</v>
      </c>
      <c r="G394" s="21" t="s">
        <v>866</v>
      </c>
      <c r="H394" s="21" t="s">
        <v>866</v>
      </c>
      <c r="I394" s="23" t="s">
        <v>866</v>
      </c>
      <c r="J394" s="21" t="s">
        <v>866</v>
      </c>
    </row>
    <row r="395" spans="1:10" x14ac:dyDescent="0.2">
      <c r="A395">
        <v>720119</v>
      </c>
      <c r="B395" t="s">
        <v>21</v>
      </c>
      <c r="C395">
        <v>0</v>
      </c>
      <c r="D395" t="s">
        <v>36</v>
      </c>
      <c r="E395" t="s">
        <v>1256</v>
      </c>
      <c r="F395" t="s">
        <v>865</v>
      </c>
      <c r="G395" s="21" t="s">
        <v>866</v>
      </c>
      <c r="H395" s="21" t="s">
        <v>866</v>
      </c>
      <c r="I395" s="23" t="s">
        <v>866</v>
      </c>
      <c r="J395" s="21" t="s">
        <v>866</v>
      </c>
    </row>
    <row r="396" spans="1:10" x14ac:dyDescent="0.2">
      <c r="A396">
        <v>720127</v>
      </c>
      <c r="B396" t="s">
        <v>21</v>
      </c>
      <c r="C396">
        <v>0</v>
      </c>
      <c r="D396" t="s">
        <v>36</v>
      </c>
      <c r="E396" t="s">
        <v>1257</v>
      </c>
      <c r="F396" t="s">
        <v>865</v>
      </c>
      <c r="G396" s="21" t="s">
        <v>866</v>
      </c>
      <c r="H396" s="21" t="s">
        <v>866</v>
      </c>
      <c r="I396" s="23" t="s">
        <v>866</v>
      </c>
      <c r="J396" s="21" t="s">
        <v>866</v>
      </c>
    </row>
    <row r="397" spans="1:10" x14ac:dyDescent="0.2">
      <c r="A397">
        <v>720135</v>
      </c>
      <c r="B397" t="s">
        <v>21</v>
      </c>
      <c r="C397">
        <v>0</v>
      </c>
      <c r="D397" t="s">
        <v>36</v>
      </c>
      <c r="E397" t="s">
        <v>1258</v>
      </c>
      <c r="F397" t="s">
        <v>865</v>
      </c>
      <c r="G397" s="21" t="s">
        <v>866</v>
      </c>
      <c r="H397" s="21" t="s">
        <v>866</v>
      </c>
      <c r="I397" s="23" t="s">
        <v>866</v>
      </c>
      <c r="J397" s="21" t="s">
        <v>866</v>
      </c>
    </row>
    <row r="398" spans="1:10" x14ac:dyDescent="0.2">
      <c r="A398">
        <v>720143</v>
      </c>
      <c r="B398" t="s">
        <v>21</v>
      </c>
      <c r="C398">
        <v>0</v>
      </c>
      <c r="D398" t="s">
        <v>36</v>
      </c>
      <c r="E398" t="s">
        <v>1259</v>
      </c>
      <c r="F398" t="s">
        <v>865</v>
      </c>
      <c r="G398" s="21" t="s">
        <v>866</v>
      </c>
      <c r="H398" s="21" t="s">
        <v>866</v>
      </c>
      <c r="I398" s="23" t="s">
        <v>866</v>
      </c>
      <c r="J398" s="21" t="s">
        <v>866</v>
      </c>
    </row>
    <row r="399" spans="1:10" x14ac:dyDescent="0.2">
      <c r="A399">
        <v>720151</v>
      </c>
      <c r="B399" t="s">
        <v>21</v>
      </c>
      <c r="C399">
        <v>0</v>
      </c>
      <c r="D399" t="s">
        <v>36</v>
      </c>
      <c r="E399" t="s">
        <v>1260</v>
      </c>
      <c r="F399" t="s">
        <v>865</v>
      </c>
      <c r="G399" s="21" t="s">
        <v>866</v>
      </c>
      <c r="H399" s="21" t="s">
        <v>866</v>
      </c>
      <c r="I399" s="23" t="s">
        <v>866</v>
      </c>
      <c r="J399" s="21" t="s">
        <v>866</v>
      </c>
    </row>
    <row r="400" spans="1:10" x14ac:dyDescent="0.2">
      <c r="A400">
        <v>720160</v>
      </c>
      <c r="B400" t="s">
        <v>21</v>
      </c>
      <c r="C400">
        <v>0</v>
      </c>
      <c r="D400" t="s">
        <v>36</v>
      </c>
      <c r="E400" t="s">
        <v>1261</v>
      </c>
      <c r="F400" t="s">
        <v>865</v>
      </c>
      <c r="G400" s="21" t="s">
        <v>866</v>
      </c>
      <c r="H400" s="21" t="s">
        <v>866</v>
      </c>
      <c r="I400" s="23" t="s">
        <v>866</v>
      </c>
      <c r="J400" s="21" t="s">
        <v>866</v>
      </c>
    </row>
    <row r="401" spans="1:10" x14ac:dyDescent="0.2">
      <c r="A401">
        <v>720178</v>
      </c>
      <c r="B401" t="s">
        <v>21</v>
      </c>
      <c r="C401">
        <v>0</v>
      </c>
      <c r="D401" t="s">
        <v>36</v>
      </c>
      <c r="E401" t="s">
        <v>1262</v>
      </c>
      <c r="F401" t="s">
        <v>865</v>
      </c>
      <c r="G401" s="21" t="s">
        <v>866</v>
      </c>
      <c r="H401" s="21" t="s">
        <v>866</v>
      </c>
      <c r="I401" s="23" t="s">
        <v>866</v>
      </c>
      <c r="J401" s="21" t="s">
        <v>866</v>
      </c>
    </row>
    <row r="402" spans="1:10" x14ac:dyDescent="0.2">
      <c r="A402">
        <v>720186</v>
      </c>
      <c r="B402" t="s">
        <v>21</v>
      </c>
      <c r="C402">
        <v>0</v>
      </c>
      <c r="D402" t="s">
        <v>36</v>
      </c>
      <c r="E402" t="s">
        <v>1263</v>
      </c>
      <c r="F402" t="s">
        <v>865</v>
      </c>
      <c r="G402" s="21" t="s">
        <v>866</v>
      </c>
      <c r="H402" s="21" t="s">
        <v>866</v>
      </c>
      <c r="I402" s="23" t="s">
        <v>866</v>
      </c>
      <c r="J402" s="21" t="s">
        <v>866</v>
      </c>
    </row>
    <row r="403" spans="1:10" x14ac:dyDescent="0.2">
      <c r="A403">
        <v>720194</v>
      </c>
      <c r="B403" t="s">
        <v>21</v>
      </c>
      <c r="C403">
        <v>0</v>
      </c>
      <c r="D403" t="s">
        <v>36</v>
      </c>
      <c r="E403" t="s">
        <v>1264</v>
      </c>
      <c r="F403" t="s">
        <v>865</v>
      </c>
      <c r="G403" s="21" t="s">
        <v>866</v>
      </c>
      <c r="H403" s="21" t="s">
        <v>866</v>
      </c>
      <c r="I403" s="23" t="s">
        <v>866</v>
      </c>
      <c r="J403" s="21" t="s">
        <v>866</v>
      </c>
    </row>
    <row r="404" spans="1:10" x14ac:dyDescent="0.2">
      <c r="A404">
        <v>720208</v>
      </c>
      <c r="B404" t="s">
        <v>21</v>
      </c>
      <c r="C404">
        <v>0</v>
      </c>
      <c r="D404" t="s">
        <v>36</v>
      </c>
      <c r="E404" t="s">
        <v>1265</v>
      </c>
      <c r="F404" t="s">
        <v>865</v>
      </c>
      <c r="G404" s="21" t="s">
        <v>866</v>
      </c>
      <c r="H404" s="21" t="s">
        <v>866</v>
      </c>
      <c r="I404" s="23" t="s">
        <v>866</v>
      </c>
      <c r="J404" s="21" t="s">
        <v>866</v>
      </c>
    </row>
    <row r="405" spans="1:10" x14ac:dyDescent="0.2">
      <c r="A405">
        <v>720216</v>
      </c>
      <c r="B405" t="s">
        <v>21</v>
      </c>
      <c r="C405">
        <v>0</v>
      </c>
      <c r="D405" t="s">
        <v>36</v>
      </c>
      <c r="E405" t="s">
        <v>1266</v>
      </c>
      <c r="F405" t="s">
        <v>865</v>
      </c>
      <c r="G405" s="21" t="s">
        <v>866</v>
      </c>
      <c r="H405" s="21" t="s">
        <v>866</v>
      </c>
      <c r="I405" s="23" t="s">
        <v>866</v>
      </c>
      <c r="J405" s="21" t="s">
        <v>866</v>
      </c>
    </row>
    <row r="406" spans="1:10" x14ac:dyDescent="0.2">
      <c r="A406">
        <v>720224</v>
      </c>
      <c r="B406" t="s">
        <v>21</v>
      </c>
      <c r="C406">
        <v>0</v>
      </c>
      <c r="D406" t="s">
        <v>36</v>
      </c>
      <c r="E406" t="s">
        <v>1267</v>
      </c>
      <c r="F406" t="s">
        <v>865</v>
      </c>
      <c r="G406" s="21" t="s">
        <v>866</v>
      </c>
      <c r="H406" s="21" t="s">
        <v>866</v>
      </c>
      <c r="I406" s="23" t="s">
        <v>866</v>
      </c>
      <c r="J406" s="21" t="s">
        <v>866</v>
      </c>
    </row>
    <row r="407" spans="1:10" x14ac:dyDescent="0.2">
      <c r="A407">
        <v>720232</v>
      </c>
      <c r="B407" t="s">
        <v>21</v>
      </c>
      <c r="C407">
        <v>0</v>
      </c>
      <c r="D407" t="s">
        <v>36</v>
      </c>
      <c r="E407" t="s">
        <v>1268</v>
      </c>
      <c r="F407" t="s">
        <v>865</v>
      </c>
      <c r="G407" s="21" t="s">
        <v>866</v>
      </c>
      <c r="H407" s="21" t="s">
        <v>866</v>
      </c>
      <c r="I407" s="23" t="s">
        <v>866</v>
      </c>
      <c r="J407" s="21" t="s">
        <v>866</v>
      </c>
    </row>
    <row r="408" spans="1:10" x14ac:dyDescent="0.2">
      <c r="A408">
        <v>720241</v>
      </c>
      <c r="B408" t="s">
        <v>21</v>
      </c>
      <c r="C408">
        <v>0</v>
      </c>
      <c r="D408" t="s">
        <v>36</v>
      </c>
      <c r="E408" t="s">
        <v>1269</v>
      </c>
      <c r="F408" t="s">
        <v>865</v>
      </c>
      <c r="G408" s="21" t="s">
        <v>866</v>
      </c>
      <c r="H408" s="21" t="s">
        <v>866</v>
      </c>
      <c r="I408" s="23" t="s">
        <v>866</v>
      </c>
      <c r="J408" s="21" t="s">
        <v>866</v>
      </c>
    </row>
    <row r="409" spans="1:10" x14ac:dyDescent="0.2">
      <c r="A409">
        <v>720259</v>
      </c>
      <c r="B409" t="s">
        <v>21</v>
      </c>
      <c r="C409">
        <v>0</v>
      </c>
      <c r="D409" t="s">
        <v>36</v>
      </c>
      <c r="E409" t="s">
        <v>1270</v>
      </c>
      <c r="F409" t="s">
        <v>865</v>
      </c>
      <c r="G409" s="21" t="s">
        <v>866</v>
      </c>
      <c r="H409" s="21" t="s">
        <v>866</v>
      </c>
      <c r="I409" s="23" t="s">
        <v>866</v>
      </c>
      <c r="J409" s="21" t="s">
        <v>866</v>
      </c>
    </row>
    <row r="410" spans="1:10" x14ac:dyDescent="0.2">
      <c r="A410">
        <v>720267</v>
      </c>
      <c r="B410" t="s">
        <v>21</v>
      </c>
      <c r="C410">
        <v>0</v>
      </c>
      <c r="D410" t="s">
        <v>36</v>
      </c>
      <c r="E410" t="s">
        <v>1271</v>
      </c>
      <c r="F410" t="s">
        <v>865</v>
      </c>
      <c r="G410" s="21" t="s">
        <v>866</v>
      </c>
      <c r="H410" s="21" t="s">
        <v>866</v>
      </c>
      <c r="I410" s="23" t="s">
        <v>866</v>
      </c>
      <c r="J410" s="21" t="s">
        <v>866</v>
      </c>
    </row>
    <row r="411" spans="1:10" x14ac:dyDescent="0.2">
      <c r="A411">
        <v>720275</v>
      </c>
      <c r="B411" t="s">
        <v>21</v>
      </c>
      <c r="C411">
        <v>0</v>
      </c>
      <c r="D411" t="s">
        <v>36</v>
      </c>
      <c r="E411" t="s">
        <v>1272</v>
      </c>
      <c r="F411" t="s">
        <v>865</v>
      </c>
      <c r="G411" s="21" t="s">
        <v>866</v>
      </c>
      <c r="H411" s="21" t="s">
        <v>866</v>
      </c>
      <c r="I411" s="23" t="s">
        <v>866</v>
      </c>
      <c r="J411" s="21" t="s">
        <v>866</v>
      </c>
    </row>
    <row r="412" spans="1:10" x14ac:dyDescent="0.2">
      <c r="A412">
        <v>720283</v>
      </c>
      <c r="B412" t="s">
        <v>21</v>
      </c>
      <c r="C412">
        <v>0</v>
      </c>
      <c r="D412" t="s">
        <v>36</v>
      </c>
      <c r="E412" t="s">
        <v>1273</v>
      </c>
      <c r="F412" t="s">
        <v>865</v>
      </c>
      <c r="G412" s="21" t="s">
        <v>866</v>
      </c>
      <c r="H412" s="21" t="s">
        <v>866</v>
      </c>
      <c r="I412" s="23" t="s">
        <v>866</v>
      </c>
      <c r="J412" s="21" t="s">
        <v>866</v>
      </c>
    </row>
    <row r="413" spans="1:10" x14ac:dyDescent="0.2">
      <c r="A413">
        <v>720291</v>
      </c>
      <c r="B413" t="s">
        <v>21</v>
      </c>
      <c r="C413">
        <v>0</v>
      </c>
      <c r="D413" t="s">
        <v>36</v>
      </c>
      <c r="E413" t="s">
        <v>1274</v>
      </c>
      <c r="F413" t="s">
        <v>865</v>
      </c>
      <c r="G413" s="21" t="s">
        <v>866</v>
      </c>
      <c r="H413" s="21" t="s">
        <v>866</v>
      </c>
      <c r="I413" s="23" t="s">
        <v>866</v>
      </c>
      <c r="J413" s="21" t="s">
        <v>866</v>
      </c>
    </row>
    <row r="414" spans="1:10" x14ac:dyDescent="0.2">
      <c r="A414">
        <v>720305</v>
      </c>
      <c r="B414" t="s">
        <v>21</v>
      </c>
      <c r="C414">
        <v>0</v>
      </c>
      <c r="D414" t="s">
        <v>36</v>
      </c>
      <c r="E414" t="s">
        <v>1275</v>
      </c>
      <c r="F414" t="s">
        <v>865</v>
      </c>
      <c r="G414" s="21" t="s">
        <v>866</v>
      </c>
      <c r="H414" s="21" t="s">
        <v>866</v>
      </c>
      <c r="I414" s="23" t="s">
        <v>866</v>
      </c>
      <c r="J414" s="21" t="s">
        <v>866</v>
      </c>
    </row>
    <row r="415" spans="1:10" x14ac:dyDescent="0.2">
      <c r="A415">
        <v>720313</v>
      </c>
      <c r="B415" t="s">
        <v>21</v>
      </c>
      <c r="C415">
        <v>0</v>
      </c>
      <c r="D415" t="s">
        <v>36</v>
      </c>
      <c r="E415" t="s">
        <v>1276</v>
      </c>
      <c r="F415" t="s">
        <v>865</v>
      </c>
      <c r="G415" s="21" t="s">
        <v>866</v>
      </c>
      <c r="H415" s="21" t="s">
        <v>866</v>
      </c>
      <c r="I415" s="23" t="s">
        <v>866</v>
      </c>
      <c r="J415" s="21" t="s">
        <v>866</v>
      </c>
    </row>
    <row r="416" spans="1:10" x14ac:dyDescent="0.2">
      <c r="A416">
        <v>720321</v>
      </c>
      <c r="B416" t="s">
        <v>21</v>
      </c>
      <c r="C416">
        <v>0</v>
      </c>
      <c r="D416" t="s">
        <v>36</v>
      </c>
      <c r="E416" t="s">
        <v>1277</v>
      </c>
      <c r="F416" t="s">
        <v>865</v>
      </c>
      <c r="G416" s="21" t="s">
        <v>866</v>
      </c>
      <c r="H416" s="21" t="s">
        <v>866</v>
      </c>
      <c r="I416" s="23" t="s">
        <v>866</v>
      </c>
      <c r="J416" s="21" t="s">
        <v>866</v>
      </c>
    </row>
    <row r="417" spans="1:10" x14ac:dyDescent="0.2">
      <c r="A417">
        <v>720330</v>
      </c>
      <c r="B417" t="s">
        <v>21</v>
      </c>
      <c r="C417">
        <v>0</v>
      </c>
      <c r="D417" t="s">
        <v>36</v>
      </c>
      <c r="E417" t="s">
        <v>1278</v>
      </c>
      <c r="F417" t="s">
        <v>865</v>
      </c>
      <c r="G417" s="21" t="s">
        <v>866</v>
      </c>
      <c r="H417" s="21" t="s">
        <v>866</v>
      </c>
      <c r="I417" s="23" t="s">
        <v>866</v>
      </c>
      <c r="J417" s="21" t="s">
        <v>866</v>
      </c>
    </row>
    <row r="418" spans="1:10" x14ac:dyDescent="0.2">
      <c r="A418">
        <v>720348</v>
      </c>
      <c r="B418" t="s">
        <v>21</v>
      </c>
      <c r="C418">
        <v>0</v>
      </c>
      <c r="D418" t="s">
        <v>36</v>
      </c>
      <c r="E418" t="s">
        <v>1279</v>
      </c>
      <c r="F418" t="s">
        <v>865</v>
      </c>
      <c r="G418" s="21" t="s">
        <v>866</v>
      </c>
      <c r="H418" s="21" t="s">
        <v>866</v>
      </c>
      <c r="I418" s="23" t="s">
        <v>866</v>
      </c>
      <c r="J418" s="21" t="s">
        <v>866</v>
      </c>
    </row>
    <row r="419" spans="1:10" x14ac:dyDescent="0.2">
      <c r="A419">
        <v>720356</v>
      </c>
      <c r="B419" t="s">
        <v>21</v>
      </c>
      <c r="C419">
        <v>0</v>
      </c>
      <c r="D419" t="s">
        <v>36</v>
      </c>
      <c r="E419" t="s">
        <v>1280</v>
      </c>
      <c r="F419" t="s">
        <v>865</v>
      </c>
      <c r="G419" s="21" t="s">
        <v>866</v>
      </c>
      <c r="H419" s="21" t="s">
        <v>866</v>
      </c>
      <c r="I419" s="23" t="s">
        <v>866</v>
      </c>
      <c r="J419" s="21" t="s">
        <v>866</v>
      </c>
    </row>
    <row r="420" spans="1:10" x14ac:dyDescent="0.2">
      <c r="A420">
        <v>720364</v>
      </c>
      <c r="B420" t="s">
        <v>21</v>
      </c>
      <c r="C420">
        <v>0</v>
      </c>
      <c r="D420" t="s">
        <v>36</v>
      </c>
      <c r="E420" t="s">
        <v>1281</v>
      </c>
      <c r="F420" t="s">
        <v>865</v>
      </c>
      <c r="G420" s="21" t="s">
        <v>866</v>
      </c>
      <c r="H420" s="21" t="s">
        <v>866</v>
      </c>
      <c r="I420" s="23" t="s">
        <v>866</v>
      </c>
      <c r="J420" s="21" t="s">
        <v>866</v>
      </c>
    </row>
    <row r="421" spans="1:10" x14ac:dyDescent="0.2">
      <c r="A421">
        <v>720372</v>
      </c>
      <c r="B421" t="s">
        <v>21</v>
      </c>
      <c r="C421">
        <v>0</v>
      </c>
      <c r="D421" t="s">
        <v>36</v>
      </c>
      <c r="E421" t="s">
        <v>1282</v>
      </c>
      <c r="F421" t="s">
        <v>865</v>
      </c>
      <c r="G421" s="21" t="s">
        <v>866</v>
      </c>
      <c r="H421" s="21" t="s">
        <v>866</v>
      </c>
      <c r="I421" s="23" t="s">
        <v>866</v>
      </c>
      <c r="J421" s="21" t="s">
        <v>866</v>
      </c>
    </row>
    <row r="422" spans="1:10" x14ac:dyDescent="0.2">
      <c r="A422">
        <v>720399</v>
      </c>
      <c r="B422" t="s">
        <v>21</v>
      </c>
      <c r="C422">
        <v>0</v>
      </c>
      <c r="D422" t="s">
        <v>36</v>
      </c>
      <c r="E422" t="s">
        <v>1283</v>
      </c>
      <c r="F422" t="s">
        <v>865</v>
      </c>
      <c r="G422" s="21" t="s">
        <v>866</v>
      </c>
      <c r="H422" s="21" t="s">
        <v>866</v>
      </c>
      <c r="I422" s="23" t="s">
        <v>866</v>
      </c>
      <c r="J422" s="21" t="s">
        <v>866</v>
      </c>
    </row>
    <row r="423" spans="1:10" x14ac:dyDescent="0.2">
      <c r="A423">
        <v>720402</v>
      </c>
      <c r="B423" t="s">
        <v>21</v>
      </c>
      <c r="C423">
        <v>0</v>
      </c>
      <c r="D423" t="s">
        <v>36</v>
      </c>
      <c r="E423" t="s">
        <v>1284</v>
      </c>
      <c r="F423" t="s">
        <v>865</v>
      </c>
      <c r="G423" s="21" t="s">
        <v>866</v>
      </c>
      <c r="H423" s="21" t="s">
        <v>866</v>
      </c>
      <c r="I423" s="23" t="s">
        <v>866</v>
      </c>
      <c r="J423" s="21" t="s">
        <v>866</v>
      </c>
    </row>
    <row r="424" spans="1:10" x14ac:dyDescent="0.2">
      <c r="A424">
        <v>720411</v>
      </c>
      <c r="B424" t="s">
        <v>21</v>
      </c>
      <c r="C424">
        <v>0</v>
      </c>
      <c r="D424" t="s">
        <v>36</v>
      </c>
      <c r="E424" t="s">
        <v>1285</v>
      </c>
      <c r="F424" t="s">
        <v>865</v>
      </c>
      <c r="G424" s="21" t="s">
        <v>866</v>
      </c>
      <c r="H424" s="21" t="s">
        <v>866</v>
      </c>
      <c r="I424" s="23" t="s">
        <v>866</v>
      </c>
      <c r="J424" s="21" t="s">
        <v>866</v>
      </c>
    </row>
    <row r="425" spans="1:10" x14ac:dyDescent="0.2">
      <c r="A425">
        <v>720429</v>
      </c>
      <c r="B425" t="s">
        <v>21</v>
      </c>
      <c r="C425">
        <v>0</v>
      </c>
      <c r="D425" t="s">
        <v>36</v>
      </c>
      <c r="E425" t="s">
        <v>1286</v>
      </c>
      <c r="F425" t="s">
        <v>865</v>
      </c>
      <c r="G425" s="21" t="s">
        <v>866</v>
      </c>
      <c r="H425" s="21" t="s">
        <v>866</v>
      </c>
      <c r="I425" s="23" t="s">
        <v>866</v>
      </c>
      <c r="J425" s="21" t="s">
        <v>866</v>
      </c>
    </row>
    <row r="426" spans="1:10" x14ac:dyDescent="0.2">
      <c r="A426">
        <v>720437</v>
      </c>
      <c r="B426" t="s">
        <v>21</v>
      </c>
      <c r="C426">
        <v>0</v>
      </c>
      <c r="D426" t="s">
        <v>36</v>
      </c>
      <c r="E426" t="s">
        <v>1287</v>
      </c>
      <c r="F426" t="s">
        <v>865</v>
      </c>
      <c r="G426" s="21" t="s">
        <v>866</v>
      </c>
      <c r="H426" s="21" t="s">
        <v>866</v>
      </c>
      <c r="I426" s="23" t="s">
        <v>866</v>
      </c>
      <c r="J426" s="21" t="s">
        <v>866</v>
      </c>
    </row>
    <row r="427" spans="1:10" x14ac:dyDescent="0.2">
      <c r="A427">
        <v>720461</v>
      </c>
      <c r="B427" t="s">
        <v>21</v>
      </c>
      <c r="C427">
        <v>0</v>
      </c>
      <c r="D427" t="s">
        <v>36</v>
      </c>
      <c r="E427" t="s">
        <v>1288</v>
      </c>
      <c r="F427" t="s">
        <v>865</v>
      </c>
      <c r="G427" s="21" t="s">
        <v>866</v>
      </c>
      <c r="H427" s="21" t="s">
        <v>866</v>
      </c>
      <c r="I427" s="23" t="s">
        <v>866</v>
      </c>
      <c r="J427" s="21" t="s">
        <v>866</v>
      </c>
    </row>
    <row r="428" spans="1:10" x14ac:dyDescent="0.2">
      <c r="A428">
        <v>720470</v>
      </c>
      <c r="B428" t="s">
        <v>21</v>
      </c>
      <c r="C428">
        <v>0</v>
      </c>
      <c r="D428" t="s">
        <v>36</v>
      </c>
      <c r="E428" t="s">
        <v>1289</v>
      </c>
      <c r="F428" t="s">
        <v>865</v>
      </c>
      <c r="G428" s="21" t="s">
        <v>866</v>
      </c>
      <c r="H428" s="21" t="s">
        <v>866</v>
      </c>
      <c r="I428" s="23" t="s">
        <v>866</v>
      </c>
      <c r="J428" s="21" t="s">
        <v>866</v>
      </c>
    </row>
    <row r="429" spans="1:10" x14ac:dyDescent="0.2">
      <c r="A429">
        <v>720488</v>
      </c>
      <c r="B429" t="s">
        <v>21</v>
      </c>
      <c r="C429">
        <v>0</v>
      </c>
      <c r="D429" t="s">
        <v>36</v>
      </c>
      <c r="E429" t="s">
        <v>1290</v>
      </c>
      <c r="F429" t="s">
        <v>865</v>
      </c>
      <c r="G429" s="21" t="s">
        <v>866</v>
      </c>
      <c r="H429" s="21" t="s">
        <v>866</v>
      </c>
      <c r="I429" s="23" t="s">
        <v>866</v>
      </c>
      <c r="J429" s="21" t="s">
        <v>866</v>
      </c>
    </row>
    <row r="430" spans="1:10" x14ac:dyDescent="0.2">
      <c r="A430">
        <v>720496</v>
      </c>
      <c r="B430" t="s">
        <v>21</v>
      </c>
      <c r="C430">
        <v>0</v>
      </c>
      <c r="D430" t="s">
        <v>36</v>
      </c>
      <c r="E430" t="s">
        <v>1291</v>
      </c>
      <c r="F430" t="s">
        <v>865</v>
      </c>
      <c r="G430" s="21" t="s">
        <v>866</v>
      </c>
      <c r="H430" s="21" t="s">
        <v>866</v>
      </c>
      <c r="I430" s="23" t="s">
        <v>866</v>
      </c>
      <c r="J430" s="21" t="s">
        <v>866</v>
      </c>
    </row>
    <row r="431" spans="1:10" x14ac:dyDescent="0.2">
      <c r="A431">
        <v>720500</v>
      </c>
      <c r="B431" t="s">
        <v>21</v>
      </c>
      <c r="C431">
        <v>0</v>
      </c>
      <c r="D431" t="s">
        <v>36</v>
      </c>
      <c r="E431" t="s">
        <v>1292</v>
      </c>
      <c r="F431" t="s">
        <v>865</v>
      </c>
      <c r="G431" s="21" t="s">
        <v>866</v>
      </c>
      <c r="H431" s="21" t="s">
        <v>866</v>
      </c>
      <c r="I431" s="23" t="s">
        <v>866</v>
      </c>
      <c r="J431" s="21" t="s">
        <v>866</v>
      </c>
    </row>
    <row r="432" spans="1:10" x14ac:dyDescent="0.2">
      <c r="A432">
        <v>720518</v>
      </c>
      <c r="B432" t="s">
        <v>21</v>
      </c>
      <c r="C432">
        <v>0</v>
      </c>
      <c r="D432" t="s">
        <v>36</v>
      </c>
      <c r="E432" t="s">
        <v>1293</v>
      </c>
      <c r="F432" t="s">
        <v>865</v>
      </c>
      <c r="G432" s="21" t="s">
        <v>866</v>
      </c>
      <c r="H432" s="21" t="s">
        <v>866</v>
      </c>
      <c r="I432" s="23" t="s">
        <v>866</v>
      </c>
      <c r="J432" s="21" t="s">
        <v>866</v>
      </c>
    </row>
    <row r="433" spans="1:10" x14ac:dyDescent="0.2">
      <c r="A433">
        <v>720526</v>
      </c>
      <c r="B433" t="s">
        <v>21</v>
      </c>
      <c r="C433">
        <v>0</v>
      </c>
      <c r="D433" t="s">
        <v>36</v>
      </c>
      <c r="E433" t="s">
        <v>1294</v>
      </c>
      <c r="F433" t="s">
        <v>865</v>
      </c>
      <c r="G433" s="21" t="s">
        <v>866</v>
      </c>
      <c r="H433" s="21" t="s">
        <v>866</v>
      </c>
      <c r="I433" s="23" t="s">
        <v>866</v>
      </c>
      <c r="J433" s="21" t="s">
        <v>866</v>
      </c>
    </row>
    <row r="434" spans="1:10" x14ac:dyDescent="0.2">
      <c r="A434">
        <v>720534</v>
      </c>
      <c r="B434" t="s">
        <v>21</v>
      </c>
      <c r="C434">
        <v>0</v>
      </c>
      <c r="D434" t="s">
        <v>36</v>
      </c>
      <c r="E434" t="s">
        <v>1295</v>
      </c>
      <c r="F434" t="s">
        <v>865</v>
      </c>
      <c r="G434" s="21" t="s">
        <v>866</v>
      </c>
      <c r="H434" s="21" t="s">
        <v>866</v>
      </c>
      <c r="I434" s="23" t="s">
        <v>866</v>
      </c>
      <c r="J434" s="21" t="s">
        <v>866</v>
      </c>
    </row>
    <row r="435" spans="1:10" x14ac:dyDescent="0.2">
      <c r="A435">
        <v>720666</v>
      </c>
      <c r="B435" t="s">
        <v>21</v>
      </c>
      <c r="C435">
        <v>0</v>
      </c>
      <c r="D435" t="s">
        <v>36</v>
      </c>
      <c r="E435" t="s">
        <v>1296</v>
      </c>
      <c r="F435" t="s">
        <v>865</v>
      </c>
      <c r="G435" s="21" t="s">
        <v>866</v>
      </c>
      <c r="H435" s="21" t="s">
        <v>866</v>
      </c>
      <c r="I435" s="23" t="s">
        <v>866</v>
      </c>
      <c r="J435" s="21" t="s">
        <v>866</v>
      </c>
    </row>
    <row r="436" spans="1:10" x14ac:dyDescent="0.2">
      <c r="A436">
        <v>720674</v>
      </c>
      <c r="B436" t="s">
        <v>21</v>
      </c>
      <c r="C436">
        <v>0</v>
      </c>
      <c r="D436" t="s">
        <v>36</v>
      </c>
      <c r="E436" t="s">
        <v>1297</v>
      </c>
      <c r="F436" t="s">
        <v>865</v>
      </c>
      <c r="G436" s="21" t="s">
        <v>866</v>
      </c>
      <c r="H436" s="21" t="s">
        <v>866</v>
      </c>
      <c r="I436" s="23" t="s">
        <v>866</v>
      </c>
      <c r="J436" s="21" t="s">
        <v>866</v>
      </c>
    </row>
    <row r="437" spans="1:10" x14ac:dyDescent="0.2">
      <c r="A437">
        <v>720682</v>
      </c>
      <c r="B437" t="s">
        <v>21</v>
      </c>
      <c r="C437">
        <v>0</v>
      </c>
      <c r="D437" t="s">
        <v>36</v>
      </c>
      <c r="E437" t="s">
        <v>1298</v>
      </c>
      <c r="F437" t="s">
        <v>865</v>
      </c>
      <c r="G437" s="21" t="s">
        <v>866</v>
      </c>
      <c r="H437" s="21" t="s">
        <v>866</v>
      </c>
      <c r="I437" s="23" t="s">
        <v>866</v>
      </c>
      <c r="J437" s="21" t="s">
        <v>866</v>
      </c>
    </row>
    <row r="438" spans="1:10" x14ac:dyDescent="0.2">
      <c r="A438">
        <v>720691</v>
      </c>
      <c r="B438" t="s">
        <v>21</v>
      </c>
      <c r="C438">
        <v>0</v>
      </c>
      <c r="D438" t="s">
        <v>36</v>
      </c>
      <c r="E438" t="s">
        <v>1299</v>
      </c>
      <c r="F438" t="s">
        <v>865</v>
      </c>
      <c r="G438" s="21" t="s">
        <v>866</v>
      </c>
      <c r="H438" s="21" t="s">
        <v>866</v>
      </c>
      <c r="I438" s="23" t="s">
        <v>866</v>
      </c>
      <c r="J438" s="21" t="s">
        <v>866</v>
      </c>
    </row>
    <row r="439" spans="1:10" x14ac:dyDescent="0.2">
      <c r="A439">
        <v>720704</v>
      </c>
      <c r="B439" t="s">
        <v>21</v>
      </c>
      <c r="C439">
        <v>0</v>
      </c>
      <c r="D439" t="s">
        <v>36</v>
      </c>
      <c r="E439" t="s">
        <v>1300</v>
      </c>
      <c r="F439" t="s">
        <v>865</v>
      </c>
      <c r="G439" s="21" t="s">
        <v>866</v>
      </c>
      <c r="H439" s="21" t="s">
        <v>866</v>
      </c>
      <c r="I439" s="23" t="s">
        <v>866</v>
      </c>
      <c r="J439" s="21" t="s">
        <v>866</v>
      </c>
    </row>
    <row r="440" spans="1:10" x14ac:dyDescent="0.2">
      <c r="A440">
        <v>720712</v>
      </c>
      <c r="B440" t="s">
        <v>21</v>
      </c>
      <c r="C440">
        <v>0</v>
      </c>
      <c r="D440" t="s">
        <v>36</v>
      </c>
      <c r="E440" t="s">
        <v>1301</v>
      </c>
      <c r="F440" t="s">
        <v>865</v>
      </c>
      <c r="G440" s="21" t="s">
        <v>866</v>
      </c>
      <c r="H440" s="21" t="s">
        <v>866</v>
      </c>
      <c r="I440" s="23" t="s">
        <v>866</v>
      </c>
      <c r="J440" s="21" t="s">
        <v>866</v>
      </c>
    </row>
    <row r="441" spans="1:10" x14ac:dyDescent="0.2">
      <c r="A441">
        <v>720721</v>
      </c>
      <c r="B441" t="s">
        <v>21</v>
      </c>
      <c r="C441">
        <v>0</v>
      </c>
      <c r="D441" t="s">
        <v>36</v>
      </c>
      <c r="E441" t="s">
        <v>1302</v>
      </c>
      <c r="F441" t="s">
        <v>865</v>
      </c>
      <c r="G441" s="21" t="s">
        <v>866</v>
      </c>
      <c r="H441" s="21" t="s">
        <v>866</v>
      </c>
      <c r="I441" s="23" t="s">
        <v>866</v>
      </c>
      <c r="J441" s="21" t="s">
        <v>866</v>
      </c>
    </row>
    <row r="442" spans="1:10" x14ac:dyDescent="0.2">
      <c r="A442">
        <v>720739</v>
      </c>
      <c r="B442" t="s">
        <v>21</v>
      </c>
      <c r="C442">
        <v>0</v>
      </c>
      <c r="D442" t="s">
        <v>36</v>
      </c>
      <c r="E442" t="s">
        <v>1303</v>
      </c>
      <c r="F442" t="s">
        <v>865</v>
      </c>
      <c r="G442" s="21" t="s">
        <v>866</v>
      </c>
      <c r="H442" s="21" t="s">
        <v>866</v>
      </c>
      <c r="I442" s="23" t="s">
        <v>866</v>
      </c>
      <c r="J442" s="21" t="s">
        <v>866</v>
      </c>
    </row>
    <row r="443" spans="1:10" x14ac:dyDescent="0.2">
      <c r="A443">
        <v>720747</v>
      </c>
      <c r="B443" t="s">
        <v>21</v>
      </c>
      <c r="C443">
        <v>0</v>
      </c>
      <c r="D443" t="s">
        <v>36</v>
      </c>
      <c r="E443" t="s">
        <v>1304</v>
      </c>
      <c r="F443" t="s">
        <v>865</v>
      </c>
      <c r="G443" s="21" t="s">
        <v>866</v>
      </c>
      <c r="H443" s="21" t="s">
        <v>866</v>
      </c>
      <c r="I443" s="23" t="s">
        <v>866</v>
      </c>
      <c r="J443" s="21" t="s">
        <v>866</v>
      </c>
    </row>
    <row r="444" spans="1:10" x14ac:dyDescent="0.2">
      <c r="A444">
        <v>730017</v>
      </c>
      <c r="B444" t="s">
        <v>21</v>
      </c>
      <c r="C444">
        <v>0</v>
      </c>
      <c r="D444" t="s">
        <v>36</v>
      </c>
      <c r="E444" t="s">
        <v>1305</v>
      </c>
      <c r="F444" t="s">
        <v>865</v>
      </c>
      <c r="G444" s="21" t="s">
        <v>866</v>
      </c>
      <c r="H444" s="21" t="s">
        <v>866</v>
      </c>
      <c r="I444" s="23" t="s">
        <v>866</v>
      </c>
      <c r="J444" s="21" t="s">
        <v>866</v>
      </c>
    </row>
    <row r="445" spans="1:10" x14ac:dyDescent="0.2">
      <c r="A445">
        <v>730025</v>
      </c>
      <c r="B445" t="s">
        <v>21</v>
      </c>
      <c r="C445">
        <v>0</v>
      </c>
      <c r="D445" t="s">
        <v>36</v>
      </c>
      <c r="E445" t="s">
        <v>1306</v>
      </c>
      <c r="F445" t="s">
        <v>865</v>
      </c>
      <c r="G445" s="21" t="s">
        <v>866</v>
      </c>
      <c r="H445" s="21" t="s">
        <v>866</v>
      </c>
      <c r="I445" s="23" t="s">
        <v>866</v>
      </c>
      <c r="J445" s="21" t="s">
        <v>866</v>
      </c>
    </row>
    <row r="446" spans="1:10" x14ac:dyDescent="0.2">
      <c r="A446">
        <v>730033</v>
      </c>
      <c r="B446" t="s">
        <v>21</v>
      </c>
      <c r="C446">
        <v>0</v>
      </c>
      <c r="D446" t="s">
        <v>36</v>
      </c>
      <c r="E446" t="s">
        <v>1307</v>
      </c>
      <c r="F446" t="s">
        <v>865</v>
      </c>
      <c r="G446" s="21" t="s">
        <v>866</v>
      </c>
      <c r="H446" s="21" t="s">
        <v>866</v>
      </c>
      <c r="I446" s="23" t="s">
        <v>866</v>
      </c>
      <c r="J446" s="21" t="s">
        <v>866</v>
      </c>
    </row>
    <row r="447" spans="1:10" x14ac:dyDescent="0.2">
      <c r="A447">
        <v>730041</v>
      </c>
      <c r="B447" t="s">
        <v>21</v>
      </c>
      <c r="C447">
        <v>0</v>
      </c>
      <c r="D447" t="s">
        <v>36</v>
      </c>
      <c r="E447" t="s">
        <v>1308</v>
      </c>
      <c r="F447" t="s">
        <v>865</v>
      </c>
      <c r="G447" s="21" t="s">
        <v>866</v>
      </c>
      <c r="H447" s="21" t="s">
        <v>866</v>
      </c>
      <c r="I447" s="23" t="s">
        <v>866</v>
      </c>
      <c r="J447" s="21" t="s">
        <v>866</v>
      </c>
    </row>
    <row r="448" spans="1:10" x14ac:dyDescent="0.2">
      <c r="A448">
        <v>730050</v>
      </c>
      <c r="B448" t="s">
        <v>21</v>
      </c>
      <c r="C448">
        <v>0</v>
      </c>
      <c r="D448" t="s">
        <v>36</v>
      </c>
      <c r="E448" t="s">
        <v>1309</v>
      </c>
      <c r="F448" t="s">
        <v>865</v>
      </c>
      <c r="G448" s="21" t="s">
        <v>866</v>
      </c>
      <c r="H448" s="21" t="s">
        <v>866</v>
      </c>
      <c r="I448" s="23" t="s">
        <v>866</v>
      </c>
      <c r="J448" s="21" t="s">
        <v>866</v>
      </c>
    </row>
    <row r="449" spans="1:10" x14ac:dyDescent="0.2">
      <c r="A449">
        <v>730068</v>
      </c>
      <c r="B449" t="s">
        <v>21</v>
      </c>
      <c r="C449">
        <v>0</v>
      </c>
      <c r="D449" t="s">
        <v>36</v>
      </c>
      <c r="E449" t="s">
        <v>1310</v>
      </c>
      <c r="F449" t="s">
        <v>865</v>
      </c>
      <c r="G449" s="21" t="s">
        <v>866</v>
      </c>
      <c r="H449" s="21" t="s">
        <v>866</v>
      </c>
      <c r="I449" s="23" t="s">
        <v>866</v>
      </c>
      <c r="J449" s="21" t="s">
        <v>866</v>
      </c>
    </row>
    <row r="450" spans="1:10" x14ac:dyDescent="0.2">
      <c r="A450">
        <v>730076</v>
      </c>
      <c r="B450" t="s">
        <v>21</v>
      </c>
      <c r="C450">
        <v>0</v>
      </c>
      <c r="D450" t="s">
        <v>36</v>
      </c>
      <c r="E450" t="s">
        <v>1311</v>
      </c>
      <c r="F450" t="s">
        <v>865</v>
      </c>
      <c r="G450" s="21" t="s">
        <v>866</v>
      </c>
      <c r="H450" s="21" t="s">
        <v>866</v>
      </c>
      <c r="I450" s="23" t="s">
        <v>866</v>
      </c>
      <c r="J450" s="21" t="s">
        <v>866</v>
      </c>
    </row>
    <row r="451" spans="1:10" x14ac:dyDescent="0.2">
      <c r="A451">
        <v>730084</v>
      </c>
      <c r="B451" t="s">
        <v>21</v>
      </c>
      <c r="C451">
        <v>0</v>
      </c>
      <c r="D451" t="s">
        <v>36</v>
      </c>
      <c r="E451" t="s">
        <v>1276</v>
      </c>
      <c r="F451" t="s">
        <v>865</v>
      </c>
      <c r="G451" s="21" t="s">
        <v>866</v>
      </c>
      <c r="H451" s="21" t="s">
        <v>866</v>
      </c>
      <c r="I451" s="23" t="s">
        <v>866</v>
      </c>
      <c r="J451" s="21" t="s">
        <v>866</v>
      </c>
    </row>
    <row r="452" spans="1:10" x14ac:dyDescent="0.2">
      <c r="A452">
        <v>730092</v>
      </c>
      <c r="B452" t="s">
        <v>21</v>
      </c>
      <c r="C452">
        <v>0</v>
      </c>
      <c r="D452" t="s">
        <v>36</v>
      </c>
      <c r="E452" t="s">
        <v>1277</v>
      </c>
      <c r="F452" t="s">
        <v>865</v>
      </c>
      <c r="G452" s="21" t="s">
        <v>866</v>
      </c>
      <c r="H452" s="21" t="s">
        <v>866</v>
      </c>
      <c r="I452" s="23" t="s">
        <v>866</v>
      </c>
      <c r="J452" s="21" t="s">
        <v>866</v>
      </c>
    </row>
    <row r="453" spans="1:10" x14ac:dyDescent="0.2">
      <c r="A453">
        <v>730114</v>
      </c>
      <c r="B453" t="s">
        <v>21</v>
      </c>
      <c r="C453">
        <v>0</v>
      </c>
      <c r="D453" t="s">
        <v>36</v>
      </c>
      <c r="E453" t="s">
        <v>1312</v>
      </c>
      <c r="F453" t="s">
        <v>865</v>
      </c>
      <c r="G453" s="21" t="s">
        <v>866</v>
      </c>
      <c r="H453" s="21" t="s">
        <v>866</v>
      </c>
      <c r="I453" s="23" t="s">
        <v>866</v>
      </c>
      <c r="J453" s="21" t="s">
        <v>866</v>
      </c>
    </row>
    <row r="454" spans="1:10" x14ac:dyDescent="0.2">
      <c r="A454">
        <v>730122</v>
      </c>
      <c r="B454" t="s">
        <v>21</v>
      </c>
      <c r="C454">
        <v>0</v>
      </c>
      <c r="D454" t="s">
        <v>36</v>
      </c>
      <c r="E454" t="s">
        <v>1313</v>
      </c>
      <c r="F454" t="s">
        <v>865</v>
      </c>
      <c r="G454" s="21" t="s">
        <v>866</v>
      </c>
      <c r="H454" s="21" t="s">
        <v>866</v>
      </c>
      <c r="I454" s="23" t="s">
        <v>866</v>
      </c>
      <c r="J454" s="21" t="s">
        <v>866</v>
      </c>
    </row>
    <row r="455" spans="1:10" x14ac:dyDescent="0.2">
      <c r="A455">
        <v>730131</v>
      </c>
      <c r="B455" t="s">
        <v>21</v>
      </c>
      <c r="C455">
        <v>0</v>
      </c>
      <c r="D455" t="s">
        <v>36</v>
      </c>
      <c r="E455" t="s">
        <v>1314</v>
      </c>
      <c r="F455" t="s">
        <v>865</v>
      </c>
      <c r="G455" s="21" t="s">
        <v>866</v>
      </c>
      <c r="H455" s="21" t="s">
        <v>866</v>
      </c>
      <c r="I455" s="23" t="s">
        <v>866</v>
      </c>
      <c r="J455" s="21" t="s">
        <v>866</v>
      </c>
    </row>
    <row r="456" spans="1:10" x14ac:dyDescent="0.2">
      <c r="A456">
        <v>730149</v>
      </c>
      <c r="B456" t="s">
        <v>21</v>
      </c>
      <c r="C456">
        <v>0</v>
      </c>
      <c r="D456" t="s">
        <v>36</v>
      </c>
      <c r="E456" t="s">
        <v>1315</v>
      </c>
      <c r="F456" t="s">
        <v>865</v>
      </c>
      <c r="G456" s="21" t="s">
        <v>866</v>
      </c>
      <c r="H456" s="21" t="s">
        <v>866</v>
      </c>
      <c r="I456" s="23" t="s">
        <v>866</v>
      </c>
      <c r="J456" s="21" t="s">
        <v>866</v>
      </c>
    </row>
    <row r="457" spans="1:10" x14ac:dyDescent="0.2">
      <c r="A457">
        <v>730157</v>
      </c>
      <c r="B457" t="s">
        <v>21</v>
      </c>
      <c r="C457">
        <v>0</v>
      </c>
      <c r="D457" t="s">
        <v>36</v>
      </c>
      <c r="E457" t="s">
        <v>1316</v>
      </c>
      <c r="F457" t="s">
        <v>865</v>
      </c>
      <c r="G457" s="21" t="s">
        <v>866</v>
      </c>
      <c r="H457" s="21" t="s">
        <v>866</v>
      </c>
      <c r="I457" s="23" t="s">
        <v>866</v>
      </c>
      <c r="J457" s="21" t="s">
        <v>866</v>
      </c>
    </row>
    <row r="458" spans="1:10" x14ac:dyDescent="0.2">
      <c r="A458">
        <v>730165</v>
      </c>
      <c r="B458" t="s">
        <v>21</v>
      </c>
      <c r="C458">
        <v>0</v>
      </c>
      <c r="D458" t="s">
        <v>36</v>
      </c>
      <c r="E458" t="s">
        <v>1317</v>
      </c>
      <c r="F458" t="s">
        <v>865</v>
      </c>
      <c r="G458" s="21" t="s">
        <v>866</v>
      </c>
      <c r="H458" s="21" t="s">
        <v>866</v>
      </c>
      <c r="I458" s="23" t="s">
        <v>866</v>
      </c>
      <c r="J458" s="21" t="s">
        <v>866</v>
      </c>
    </row>
    <row r="459" spans="1:10" x14ac:dyDescent="0.2">
      <c r="A459">
        <v>730173</v>
      </c>
      <c r="B459" t="s">
        <v>21</v>
      </c>
      <c r="C459">
        <v>0</v>
      </c>
      <c r="D459" t="s">
        <v>36</v>
      </c>
      <c r="E459" t="s">
        <v>1318</v>
      </c>
      <c r="F459" t="s">
        <v>865</v>
      </c>
      <c r="G459" s="21" t="s">
        <v>866</v>
      </c>
      <c r="H459" s="21" t="s">
        <v>866</v>
      </c>
      <c r="I459" s="23" t="s">
        <v>866</v>
      </c>
      <c r="J459" s="21" t="s">
        <v>866</v>
      </c>
    </row>
    <row r="460" spans="1:10" x14ac:dyDescent="0.2">
      <c r="A460">
        <v>730211</v>
      </c>
      <c r="B460" t="s">
        <v>21</v>
      </c>
      <c r="C460">
        <v>0</v>
      </c>
      <c r="D460" t="s">
        <v>36</v>
      </c>
      <c r="E460" t="s">
        <v>1319</v>
      </c>
      <c r="F460" t="s">
        <v>865</v>
      </c>
      <c r="G460" s="21" t="s">
        <v>866</v>
      </c>
      <c r="H460" s="21" t="s">
        <v>866</v>
      </c>
      <c r="I460" s="23" t="s">
        <v>866</v>
      </c>
      <c r="J460" s="21" t="s">
        <v>866</v>
      </c>
    </row>
    <row r="461" spans="1:10" x14ac:dyDescent="0.2">
      <c r="A461">
        <v>730220</v>
      </c>
      <c r="B461" t="s">
        <v>21</v>
      </c>
      <c r="C461">
        <v>0</v>
      </c>
      <c r="D461" t="s">
        <v>36</v>
      </c>
      <c r="E461" t="s">
        <v>1320</v>
      </c>
      <c r="F461" t="s">
        <v>865</v>
      </c>
      <c r="G461" s="21" t="s">
        <v>866</v>
      </c>
      <c r="H461" s="21" t="s">
        <v>866</v>
      </c>
      <c r="I461" s="23" t="s">
        <v>866</v>
      </c>
      <c r="J461" s="21" t="s">
        <v>866</v>
      </c>
    </row>
    <row r="462" spans="1:10" x14ac:dyDescent="0.2">
      <c r="A462">
        <v>740012</v>
      </c>
      <c r="B462" t="s">
        <v>21</v>
      </c>
      <c r="C462">
        <v>0</v>
      </c>
      <c r="D462" t="s">
        <v>36</v>
      </c>
      <c r="E462" t="s">
        <v>1321</v>
      </c>
      <c r="F462" t="s">
        <v>865</v>
      </c>
      <c r="G462" s="21" t="s">
        <v>866</v>
      </c>
      <c r="H462" s="21" t="s">
        <v>866</v>
      </c>
      <c r="I462" s="23" t="s">
        <v>866</v>
      </c>
      <c r="J462" s="21" t="s">
        <v>866</v>
      </c>
    </row>
    <row r="463" spans="1:10" x14ac:dyDescent="0.2">
      <c r="A463">
        <v>740021</v>
      </c>
      <c r="B463" t="s">
        <v>21</v>
      </c>
      <c r="C463">
        <v>0</v>
      </c>
      <c r="D463" t="s">
        <v>36</v>
      </c>
      <c r="E463" t="s">
        <v>1322</v>
      </c>
      <c r="F463" t="s">
        <v>865</v>
      </c>
      <c r="G463" s="21" t="s">
        <v>866</v>
      </c>
      <c r="H463" s="21" t="s">
        <v>866</v>
      </c>
      <c r="I463" s="23" t="s">
        <v>866</v>
      </c>
      <c r="J463" s="21" t="s">
        <v>866</v>
      </c>
    </row>
    <row r="464" spans="1:10" x14ac:dyDescent="0.2">
      <c r="A464">
        <v>740039</v>
      </c>
      <c r="B464" t="s">
        <v>21</v>
      </c>
      <c r="C464">
        <v>0</v>
      </c>
      <c r="D464" t="s">
        <v>36</v>
      </c>
      <c r="E464" t="s">
        <v>1323</v>
      </c>
      <c r="F464" t="s">
        <v>865</v>
      </c>
      <c r="G464" s="21" t="s">
        <v>866</v>
      </c>
      <c r="H464" s="21" t="s">
        <v>866</v>
      </c>
      <c r="I464" s="23" t="s">
        <v>866</v>
      </c>
      <c r="J464" s="21" t="s">
        <v>866</v>
      </c>
    </row>
    <row r="465" spans="1:10" x14ac:dyDescent="0.2">
      <c r="A465">
        <v>740047</v>
      </c>
      <c r="B465" t="s">
        <v>21</v>
      </c>
      <c r="C465">
        <v>0</v>
      </c>
      <c r="D465" t="s">
        <v>36</v>
      </c>
      <c r="E465" t="s">
        <v>1324</v>
      </c>
      <c r="F465" t="s">
        <v>865</v>
      </c>
      <c r="G465" s="21" t="s">
        <v>866</v>
      </c>
      <c r="H465" s="21" t="s">
        <v>866</v>
      </c>
      <c r="I465" s="23" t="s">
        <v>866</v>
      </c>
      <c r="J465" s="21" t="s">
        <v>866</v>
      </c>
    </row>
    <row r="466" spans="1:10" x14ac:dyDescent="0.2">
      <c r="A466">
        <v>740055</v>
      </c>
      <c r="B466" t="s">
        <v>21</v>
      </c>
      <c r="C466">
        <v>0</v>
      </c>
      <c r="D466" t="s">
        <v>36</v>
      </c>
      <c r="E466" t="s">
        <v>1325</v>
      </c>
      <c r="F466" t="s">
        <v>865</v>
      </c>
      <c r="G466" s="21" t="s">
        <v>866</v>
      </c>
      <c r="H466" s="21" t="s">
        <v>866</v>
      </c>
      <c r="I466" s="23" t="s">
        <v>866</v>
      </c>
      <c r="J466" s="21" t="s">
        <v>866</v>
      </c>
    </row>
    <row r="467" spans="1:10" x14ac:dyDescent="0.2">
      <c r="A467">
        <v>740063</v>
      </c>
      <c r="B467" t="s">
        <v>21</v>
      </c>
      <c r="C467">
        <v>0</v>
      </c>
      <c r="D467" t="s">
        <v>36</v>
      </c>
      <c r="E467" t="s">
        <v>1326</v>
      </c>
      <c r="F467" t="s">
        <v>865</v>
      </c>
      <c r="G467" s="21" t="s">
        <v>866</v>
      </c>
      <c r="H467" s="21" t="s">
        <v>866</v>
      </c>
      <c r="I467" s="23" t="s">
        <v>866</v>
      </c>
      <c r="J467" s="21" t="s">
        <v>866</v>
      </c>
    </row>
    <row r="468" spans="1:10" x14ac:dyDescent="0.2">
      <c r="A468">
        <v>740071</v>
      </c>
      <c r="B468" t="s">
        <v>21</v>
      </c>
      <c r="C468">
        <v>0</v>
      </c>
      <c r="D468" t="s">
        <v>36</v>
      </c>
      <c r="E468" t="s">
        <v>1327</v>
      </c>
      <c r="F468" t="s">
        <v>865</v>
      </c>
      <c r="G468" s="21" t="s">
        <v>866</v>
      </c>
      <c r="H468" s="21" t="s">
        <v>866</v>
      </c>
      <c r="I468" s="23" t="s">
        <v>866</v>
      </c>
      <c r="J468" s="21" t="s">
        <v>866</v>
      </c>
    </row>
    <row r="469" spans="1:10" x14ac:dyDescent="0.2">
      <c r="A469">
        <v>740080</v>
      </c>
      <c r="B469" t="s">
        <v>21</v>
      </c>
      <c r="C469">
        <v>0</v>
      </c>
      <c r="D469" t="s">
        <v>36</v>
      </c>
      <c r="E469" t="s">
        <v>1328</v>
      </c>
      <c r="F469" t="s">
        <v>865</v>
      </c>
      <c r="G469" s="21" t="s">
        <v>866</v>
      </c>
      <c r="H469" s="21" t="s">
        <v>866</v>
      </c>
      <c r="I469" s="23" t="s">
        <v>866</v>
      </c>
      <c r="J469" s="21" t="s">
        <v>866</v>
      </c>
    </row>
    <row r="470" spans="1:10" x14ac:dyDescent="0.2">
      <c r="A470">
        <v>740098</v>
      </c>
      <c r="B470" t="s">
        <v>21</v>
      </c>
      <c r="C470">
        <v>0</v>
      </c>
      <c r="D470" t="s">
        <v>36</v>
      </c>
      <c r="E470" t="s">
        <v>1329</v>
      </c>
      <c r="F470" t="s">
        <v>865</v>
      </c>
      <c r="G470" s="21" t="s">
        <v>866</v>
      </c>
      <c r="H470" s="21" t="s">
        <v>866</v>
      </c>
      <c r="I470" s="23" t="s">
        <v>866</v>
      </c>
      <c r="J470" s="21" t="s">
        <v>866</v>
      </c>
    </row>
    <row r="471" spans="1:10" x14ac:dyDescent="0.2">
      <c r="A471">
        <v>740101</v>
      </c>
      <c r="B471" t="s">
        <v>21</v>
      </c>
      <c r="C471">
        <v>0</v>
      </c>
      <c r="D471" t="s">
        <v>36</v>
      </c>
      <c r="E471" t="s">
        <v>1330</v>
      </c>
      <c r="F471" t="s">
        <v>865</v>
      </c>
      <c r="G471" s="21" t="s">
        <v>866</v>
      </c>
      <c r="H471" s="21" t="s">
        <v>866</v>
      </c>
      <c r="I471" s="23" t="s">
        <v>866</v>
      </c>
      <c r="J471" s="21" t="s">
        <v>866</v>
      </c>
    </row>
    <row r="472" spans="1:10" x14ac:dyDescent="0.2">
      <c r="A472">
        <v>740110</v>
      </c>
      <c r="B472" t="s">
        <v>21</v>
      </c>
      <c r="C472">
        <v>0</v>
      </c>
      <c r="D472" t="s">
        <v>36</v>
      </c>
      <c r="E472" t="s">
        <v>1331</v>
      </c>
      <c r="F472" t="s">
        <v>865</v>
      </c>
      <c r="G472" s="21" t="s">
        <v>866</v>
      </c>
      <c r="H472" s="21" t="s">
        <v>866</v>
      </c>
      <c r="I472" s="23" t="s">
        <v>866</v>
      </c>
      <c r="J472" s="21" t="s">
        <v>866</v>
      </c>
    </row>
    <row r="473" spans="1:10" x14ac:dyDescent="0.2">
      <c r="A473">
        <v>740128</v>
      </c>
      <c r="B473" t="s">
        <v>21</v>
      </c>
      <c r="C473">
        <v>0</v>
      </c>
      <c r="D473" t="s">
        <v>36</v>
      </c>
      <c r="E473" t="s">
        <v>1332</v>
      </c>
      <c r="F473" t="s">
        <v>865</v>
      </c>
      <c r="G473" s="21" t="s">
        <v>866</v>
      </c>
      <c r="H473" s="21" t="s">
        <v>866</v>
      </c>
      <c r="I473" s="23" t="s">
        <v>866</v>
      </c>
      <c r="J473" s="21" t="s">
        <v>866</v>
      </c>
    </row>
    <row r="474" spans="1:10" x14ac:dyDescent="0.2">
      <c r="A474">
        <v>740136</v>
      </c>
      <c r="B474" t="s">
        <v>21</v>
      </c>
      <c r="C474">
        <v>0</v>
      </c>
      <c r="D474" t="s">
        <v>36</v>
      </c>
      <c r="E474" t="s">
        <v>1333</v>
      </c>
      <c r="F474" t="s">
        <v>865</v>
      </c>
      <c r="G474" s="21" t="s">
        <v>866</v>
      </c>
      <c r="H474" s="21" t="s">
        <v>866</v>
      </c>
      <c r="I474" s="23" t="s">
        <v>866</v>
      </c>
      <c r="J474" s="21" t="s">
        <v>866</v>
      </c>
    </row>
    <row r="475" spans="1:10" x14ac:dyDescent="0.2">
      <c r="A475">
        <v>740144</v>
      </c>
      <c r="B475" t="s">
        <v>21</v>
      </c>
      <c r="C475">
        <v>0</v>
      </c>
      <c r="D475" t="s">
        <v>36</v>
      </c>
      <c r="E475" t="s">
        <v>1334</v>
      </c>
      <c r="F475" t="s">
        <v>865</v>
      </c>
      <c r="G475" s="21" t="s">
        <v>866</v>
      </c>
      <c r="H475" s="21" t="s">
        <v>866</v>
      </c>
      <c r="I475" s="23" t="s">
        <v>866</v>
      </c>
      <c r="J475" s="21" t="s">
        <v>866</v>
      </c>
    </row>
    <row r="476" spans="1:10" x14ac:dyDescent="0.2">
      <c r="A476">
        <v>740152</v>
      </c>
      <c r="B476" t="s">
        <v>21</v>
      </c>
      <c r="C476">
        <v>0</v>
      </c>
      <c r="D476" t="s">
        <v>36</v>
      </c>
      <c r="E476" t="s">
        <v>1335</v>
      </c>
      <c r="F476" t="s">
        <v>865</v>
      </c>
      <c r="G476" s="21" t="s">
        <v>866</v>
      </c>
      <c r="H476" s="21" t="s">
        <v>866</v>
      </c>
      <c r="I476" s="23" t="s">
        <v>866</v>
      </c>
      <c r="J476" s="21" t="s">
        <v>866</v>
      </c>
    </row>
    <row r="477" spans="1:10" x14ac:dyDescent="0.2">
      <c r="A477">
        <v>740161</v>
      </c>
      <c r="B477" t="s">
        <v>21</v>
      </c>
      <c r="C477">
        <v>0</v>
      </c>
      <c r="D477" t="s">
        <v>36</v>
      </c>
      <c r="E477" t="s">
        <v>1336</v>
      </c>
      <c r="F477" t="s">
        <v>865</v>
      </c>
      <c r="G477" s="21" t="s">
        <v>866</v>
      </c>
      <c r="H477" s="21" t="s">
        <v>866</v>
      </c>
      <c r="I477" s="23" t="s">
        <v>866</v>
      </c>
      <c r="J477" s="21" t="s">
        <v>866</v>
      </c>
    </row>
    <row r="478" spans="1:10" x14ac:dyDescent="0.2">
      <c r="A478">
        <v>740179</v>
      </c>
      <c r="B478" t="s">
        <v>21</v>
      </c>
      <c r="C478">
        <v>0</v>
      </c>
      <c r="D478" t="s">
        <v>36</v>
      </c>
      <c r="E478" t="s">
        <v>1337</v>
      </c>
      <c r="F478" t="s">
        <v>865</v>
      </c>
      <c r="G478" s="21" t="s">
        <v>866</v>
      </c>
      <c r="H478" s="21" t="s">
        <v>866</v>
      </c>
      <c r="I478" s="23" t="s">
        <v>866</v>
      </c>
      <c r="J478" s="21" t="s">
        <v>866</v>
      </c>
    </row>
    <row r="479" spans="1:10" x14ac:dyDescent="0.2">
      <c r="A479">
        <v>740187</v>
      </c>
      <c r="B479" t="s">
        <v>21</v>
      </c>
      <c r="C479">
        <v>0</v>
      </c>
      <c r="D479" t="s">
        <v>36</v>
      </c>
      <c r="E479" t="s">
        <v>1338</v>
      </c>
      <c r="F479" t="s">
        <v>865</v>
      </c>
      <c r="G479" s="21" t="s">
        <v>866</v>
      </c>
      <c r="H479" s="21" t="s">
        <v>866</v>
      </c>
      <c r="I479" s="23" t="s">
        <v>866</v>
      </c>
      <c r="J479" s="21" t="s">
        <v>866</v>
      </c>
    </row>
    <row r="480" spans="1:10" x14ac:dyDescent="0.2">
      <c r="A480">
        <v>740225</v>
      </c>
      <c r="B480" t="s">
        <v>21</v>
      </c>
      <c r="C480">
        <v>0</v>
      </c>
      <c r="D480" t="s">
        <v>36</v>
      </c>
      <c r="E480" t="s">
        <v>1339</v>
      </c>
      <c r="F480" t="s">
        <v>865</v>
      </c>
      <c r="G480" s="21" t="s">
        <v>866</v>
      </c>
      <c r="H480" s="21" t="s">
        <v>866</v>
      </c>
      <c r="I480" s="23" t="s">
        <v>866</v>
      </c>
      <c r="J480" s="21" t="s">
        <v>866</v>
      </c>
    </row>
    <row r="481" spans="1:10" x14ac:dyDescent="0.2">
      <c r="A481">
        <v>740233</v>
      </c>
      <c r="B481" t="s">
        <v>21</v>
      </c>
      <c r="C481">
        <v>0</v>
      </c>
      <c r="D481" t="s">
        <v>36</v>
      </c>
      <c r="E481" t="s">
        <v>1340</v>
      </c>
      <c r="F481" t="s">
        <v>865</v>
      </c>
      <c r="G481" s="21" t="s">
        <v>866</v>
      </c>
      <c r="H481" s="21" t="s">
        <v>866</v>
      </c>
      <c r="I481" s="23" t="s">
        <v>866</v>
      </c>
      <c r="J481" s="21" t="s">
        <v>866</v>
      </c>
    </row>
    <row r="482" spans="1:10" x14ac:dyDescent="0.2">
      <c r="A482">
        <v>740241</v>
      </c>
      <c r="B482" t="s">
        <v>21</v>
      </c>
      <c r="C482">
        <v>0</v>
      </c>
      <c r="D482" t="s">
        <v>36</v>
      </c>
      <c r="E482" t="s">
        <v>1341</v>
      </c>
      <c r="F482" t="s">
        <v>865</v>
      </c>
      <c r="G482" s="21" t="s">
        <v>866</v>
      </c>
      <c r="H482" s="21" t="s">
        <v>866</v>
      </c>
      <c r="I482" s="23" t="s">
        <v>866</v>
      </c>
      <c r="J482" s="21" t="s">
        <v>866</v>
      </c>
    </row>
    <row r="483" spans="1:10" x14ac:dyDescent="0.2">
      <c r="A483">
        <v>740250</v>
      </c>
      <c r="B483" t="s">
        <v>21</v>
      </c>
      <c r="C483">
        <v>0</v>
      </c>
      <c r="D483" t="s">
        <v>36</v>
      </c>
      <c r="E483" t="s">
        <v>1342</v>
      </c>
      <c r="F483" t="s">
        <v>865</v>
      </c>
      <c r="G483" s="21" t="s">
        <v>866</v>
      </c>
      <c r="H483" s="21" t="s">
        <v>866</v>
      </c>
      <c r="I483" s="23" t="s">
        <v>866</v>
      </c>
      <c r="J483" s="21" t="s">
        <v>866</v>
      </c>
    </row>
    <row r="484" spans="1:10" x14ac:dyDescent="0.2">
      <c r="A484">
        <v>740276</v>
      </c>
      <c r="B484" t="s">
        <v>21</v>
      </c>
      <c r="C484">
        <v>0</v>
      </c>
      <c r="D484" t="s">
        <v>36</v>
      </c>
      <c r="E484" t="s">
        <v>1343</v>
      </c>
      <c r="F484" t="s">
        <v>865</v>
      </c>
      <c r="G484" s="21" t="s">
        <v>866</v>
      </c>
      <c r="H484" s="21" t="s">
        <v>866</v>
      </c>
      <c r="I484" s="23" t="s">
        <v>866</v>
      </c>
      <c r="J484" s="21" t="s">
        <v>866</v>
      </c>
    </row>
    <row r="485" spans="1:10" x14ac:dyDescent="0.2">
      <c r="A485">
        <v>740284</v>
      </c>
      <c r="B485" t="s">
        <v>21</v>
      </c>
      <c r="C485">
        <v>0</v>
      </c>
      <c r="D485" t="s">
        <v>36</v>
      </c>
      <c r="E485" t="s">
        <v>1344</v>
      </c>
      <c r="F485" t="s">
        <v>865</v>
      </c>
      <c r="G485" s="21" t="s">
        <v>866</v>
      </c>
      <c r="H485" s="21" t="s">
        <v>866</v>
      </c>
      <c r="I485" s="23" t="s">
        <v>866</v>
      </c>
      <c r="J485" s="21" t="s">
        <v>866</v>
      </c>
    </row>
    <row r="486" spans="1:10" x14ac:dyDescent="0.2">
      <c r="A486">
        <v>740292</v>
      </c>
      <c r="B486" t="s">
        <v>21</v>
      </c>
      <c r="C486">
        <v>0</v>
      </c>
      <c r="D486" t="s">
        <v>36</v>
      </c>
      <c r="E486" t="s">
        <v>1345</v>
      </c>
      <c r="F486" t="s">
        <v>865</v>
      </c>
      <c r="G486" s="21" t="s">
        <v>866</v>
      </c>
      <c r="H486" s="21" t="s">
        <v>866</v>
      </c>
      <c r="I486" s="23" t="s">
        <v>866</v>
      </c>
      <c r="J486" s="21" t="s">
        <v>866</v>
      </c>
    </row>
    <row r="487" spans="1:10" x14ac:dyDescent="0.2">
      <c r="A487">
        <v>740306</v>
      </c>
      <c r="B487" t="s">
        <v>21</v>
      </c>
      <c r="C487">
        <v>0</v>
      </c>
      <c r="D487" t="s">
        <v>36</v>
      </c>
      <c r="E487" t="s">
        <v>1346</v>
      </c>
      <c r="F487" t="s">
        <v>865</v>
      </c>
      <c r="G487" s="21" t="s">
        <v>866</v>
      </c>
      <c r="H487" s="21" t="s">
        <v>866</v>
      </c>
      <c r="I487" s="23" t="s">
        <v>866</v>
      </c>
      <c r="J487" s="21" t="s">
        <v>866</v>
      </c>
    </row>
    <row r="488" spans="1:10" x14ac:dyDescent="0.2">
      <c r="A488">
        <v>740314</v>
      </c>
      <c r="B488" t="s">
        <v>21</v>
      </c>
      <c r="C488">
        <v>0</v>
      </c>
      <c r="D488" t="s">
        <v>36</v>
      </c>
      <c r="E488" t="s">
        <v>1347</v>
      </c>
      <c r="F488" t="s">
        <v>865</v>
      </c>
      <c r="G488" s="21" t="s">
        <v>866</v>
      </c>
      <c r="H488" s="21" t="s">
        <v>866</v>
      </c>
      <c r="I488" s="23" t="s">
        <v>866</v>
      </c>
      <c r="J488" s="21" t="s">
        <v>866</v>
      </c>
    </row>
    <row r="489" spans="1:10" x14ac:dyDescent="0.2">
      <c r="A489">
        <v>740322</v>
      </c>
      <c r="B489" t="s">
        <v>21</v>
      </c>
      <c r="C489">
        <v>0</v>
      </c>
      <c r="D489" t="s">
        <v>36</v>
      </c>
      <c r="E489" t="s">
        <v>1348</v>
      </c>
      <c r="F489" t="s">
        <v>865</v>
      </c>
      <c r="G489" s="21" t="s">
        <v>866</v>
      </c>
      <c r="H489" s="21" t="s">
        <v>866</v>
      </c>
      <c r="I489" s="23" t="s">
        <v>866</v>
      </c>
      <c r="J489" s="21" t="s">
        <v>866</v>
      </c>
    </row>
    <row r="490" spans="1:10" x14ac:dyDescent="0.2">
      <c r="A490">
        <v>740331</v>
      </c>
      <c r="B490" t="s">
        <v>21</v>
      </c>
      <c r="C490">
        <v>0</v>
      </c>
      <c r="D490" t="s">
        <v>36</v>
      </c>
      <c r="E490" t="s">
        <v>1349</v>
      </c>
      <c r="F490" t="s">
        <v>865</v>
      </c>
      <c r="G490" s="21" t="s">
        <v>866</v>
      </c>
      <c r="H490" s="21" t="s">
        <v>866</v>
      </c>
      <c r="I490" s="23" t="s">
        <v>866</v>
      </c>
      <c r="J490" s="21" t="s">
        <v>866</v>
      </c>
    </row>
    <row r="491" spans="1:10" x14ac:dyDescent="0.2">
      <c r="A491">
        <v>740349</v>
      </c>
      <c r="B491" t="s">
        <v>21</v>
      </c>
      <c r="C491">
        <v>0</v>
      </c>
      <c r="D491" t="s">
        <v>36</v>
      </c>
      <c r="E491" t="s">
        <v>1350</v>
      </c>
      <c r="F491" t="s">
        <v>865</v>
      </c>
      <c r="G491" s="21" t="s">
        <v>866</v>
      </c>
      <c r="H491" s="21" t="s">
        <v>866</v>
      </c>
      <c r="I491" s="23" t="s">
        <v>866</v>
      </c>
      <c r="J491" s="21" t="s">
        <v>866</v>
      </c>
    </row>
    <row r="492" spans="1:10" x14ac:dyDescent="0.2">
      <c r="A492">
        <v>740357</v>
      </c>
      <c r="B492" t="s">
        <v>21</v>
      </c>
      <c r="C492">
        <v>0</v>
      </c>
      <c r="D492" t="s">
        <v>36</v>
      </c>
      <c r="E492" t="s">
        <v>1351</v>
      </c>
      <c r="F492" t="s">
        <v>865</v>
      </c>
      <c r="G492" s="21" t="s">
        <v>866</v>
      </c>
      <c r="H492" s="21" t="s">
        <v>866</v>
      </c>
      <c r="I492" s="23" t="s">
        <v>866</v>
      </c>
      <c r="J492" s="21" t="s">
        <v>866</v>
      </c>
    </row>
    <row r="493" spans="1:10" x14ac:dyDescent="0.2">
      <c r="A493">
        <v>740403</v>
      </c>
      <c r="B493" t="s">
        <v>21</v>
      </c>
      <c r="C493">
        <v>0</v>
      </c>
      <c r="D493" t="s">
        <v>36</v>
      </c>
      <c r="E493" t="s">
        <v>1352</v>
      </c>
      <c r="F493" t="s">
        <v>865</v>
      </c>
      <c r="G493" s="21" t="s">
        <v>866</v>
      </c>
      <c r="H493" s="21" t="s">
        <v>866</v>
      </c>
      <c r="I493" s="23" t="s">
        <v>866</v>
      </c>
      <c r="J493" s="21" t="s">
        <v>866</v>
      </c>
    </row>
    <row r="494" spans="1:10" x14ac:dyDescent="0.2">
      <c r="A494">
        <v>740411</v>
      </c>
      <c r="B494" t="s">
        <v>21</v>
      </c>
      <c r="C494">
        <v>0</v>
      </c>
      <c r="D494" t="s">
        <v>36</v>
      </c>
      <c r="E494" t="s">
        <v>1353</v>
      </c>
      <c r="F494" t="s">
        <v>865</v>
      </c>
      <c r="G494" s="21" t="s">
        <v>866</v>
      </c>
      <c r="H494" s="21" t="s">
        <v>866</v>
      </c>
      <c r="I494" s="23" t="s">
        <v>866</v>
      </c>
      <c r="J494" s="21" t="s">
        <v>866</v>
      </c>
    </row>
    <row r="495" spans="1:10" x14ac:dyDescent="0.2">
      <c r="A495">
        <v>740420</v>
      </c>
      <c r="B495" t="s">
        <v>21</v>
      </c>
      <c r="C495">
        <v>0</v>
      </c>
      <c r="D495" t="s">
        <v>36</v>
      </c>
      <c r="E495" t="s">
        <v>1354</v>
      </c>
      <c r="F495" t="s">
        <v>865</v>
      </c>
      <c r="G495" s="21" t="s">
        <v>866</v>
      </c>
      <c r="H495" s="21" t="s">
        <v>866</v>
      </c>
      <c r="I495" s="23" t="s">
        <v>866</v>
      </c>
      <c r="J495" s="21" t="s">
        <v>866</v>
      </c>
    </row>
    <row r="496" spans="1:10" x14ac:dyDescent="0.2">
      <c r="A496">
        <v>740438</v>
      </c>
      <c r="B496" t="s">
        <v>21</v>
      </c>
      <c r="C496">
        <v>0</v>
      </c>
      <c r="D496" t="s">
        <v>36</v>
      </c>
      <c r="E496" t="s">
        <v>1355</v>
      </c>
      <c r="F496" t="s">
        <v>865</v>
      </c>
      <c r="G496" s="21" t="s">
        <v>866</v>
      </c>
      <c r="H496" s="21" t="s">
        <v>866</v>
      </c>
      <c r="I496" s="23" t="s">
        <v>866</v>
      </c>
      <c r="J496" s="21" t="s">
        <v>866</v>
      </c>
    </row>
    <row r="497" spans="1:10" x14ac:dyDescent="0.2">
      <c r="A497">
        <v>780014</v>
      </c>
      <c r="B497" t="s">
        <v>21</v>
      </c>
      <c r="C497">
        <v>0</v>
      </c>
      <c r="D497" t="s">
        <v>36</v>
      </c>
      <c r="E497" t="s">
        <v>1356</v>
      </c>
      <c r="F497" t="s">
        <v>865</v>
      </c>
      <c r="G497" s="21" t="s">
        <v>866</v>
      </c>
      <c r="H497" s="21" t="s">
        <v>866</v>
      </c>
      <c r="I497" s="23" t="s">
        <v>866</v>
      </c>
      <c r="J497" s="21" t="s">
        <v>866</v>
      </c>
    </row>
    <row r="498" spans="1:10" x14ac:dyDescent="0.2">
      <c r="A498">
        <v>780022</v>
      </c>
      <c r="B498" t="s">
        <v>21</v>
      </c>
      <c r="C498">
        <v>0</v>
      </c>
      <c r="D498" t="s">
        <v>36</v>
      </c>
      <c r="E498" t="s">
        <v>1357</v>
      </c>
      <c r="F498" t="s">
        <v>865</v>
      </c>
      <c r="G498" s="21" t="s">
        <v>866</v>
      </c>
      <c r="H498" s="21" t="s">
        <v>866</v>
      </c>
      <c r="I498" s="23" t="s">
        <v>866</v>
      </c>
      <c r="J498" s="21" t="s">
        <v>866</v>
      </c>
    </row>
    <row r="499" spans="1:10" x14ac:dyDescent="0.2">
      <c r="A499">
        <v>780031</v>
      </c>
      <c r="B499" t="s">
        <v>21</v>
      </c>
      <c r="C499">
        <v>0</v>
      </c>
      <c r="D499" t="s">
        <v>36</v>
      </c>
      <c r="E499" t="s">
        <v>1358</v>
      </c>
      <c r="F499" t="s">
        <v>865</v>
      </c>
      <c r="G499" s="21" t="s">
        <v>866</v>
      </c>
      <c r="H499" s="21" t="s">
        <v>866</v>
      </c>
      <c r="I499" s="23" t="s">
        <v>866</v>
      </c>
      <c r="J499" s="21" t="s">
        <v>866</v>
      </c>
    </row>
    <row r="500" spans="1:10" x14ac:dyDescent="0.2">
      <c r="A500">
        <v>999995</v>
      </c>
      <c r="B500" t="s">
        <v>21</v>
      </c>
      <c r="C500">
        <v>0</v>
      </c>
      <c r="D500" t="s">
        <v>36</v>
      </c>
      <c r="E500" t="s">
        <v>878</v>
      </c>
      <c r="F500" t="s">
        <v>865</v>
      </c>
      <c r="G500" s="21" t="s">
        <v>866</v>
      </c>
      <c r="H500" s="21" t="s">
        <v>866</v>
      </c>
      <c r="I500" s="23" t="s">
        <v>866</v>
      </c>
      <c r="J500" s="21" t="s">
        <v>866</v>
      </c>
    </row>
    <row r="501" spans="1:10" x14ac:dyDescent="0.2">
      <c r="A501" t="s">
        <v>866</v>
      </c>
      <c r="B501" t="s">
        <v>866</v>
      </c>
      <c r="C501">
        <v>0</v>
      </c>
      <c r="D501" t="s">
        <v>866</v>
      </c>
      <c r="E501" t="s">
        <v>866</v>
      </c>
      <c r="F501" t="s">
        <v>866</v>
      </c>
      <c r="G501" s="21" t="s">
        <v>866</v>
      </c>
      <c r="H501" s="21" t="s">
        <v>866</v>
      </c>
      <c r="I501" s="23" t="s">
        <v>866</v>
      </c>
      <c r="J501" s="21" t="s">
        <v>866</v>
      </c>
    </row>
    <row r="502" spans="1:10" x14ac:dyDescent="0.2">
      <c r="G502" s="21"/>
      <c r="H502" s="21"/>
      <c r="I502" s="23"/>
      <c r="J502" s="21"/>
    </row>
    <row r="503" spans="1:10" x14ac:dyDescent="0.2">
      <c r="G503" s="21"/>
      <c r="H503" s="21"/>
      <c r="I503" s="23"/>
      <c r="J503" s="21"/>
    </row>
    <row r="504" spans="1:10" x14ac:dyDescent="0.2">
      <c r="G504" s="21"/>
      <c r="H504" s="21"/>
      <c r="I504" s="23"/>
      <c r="J504" s="21"/>
    </row>
    <row r="505" spans="1:10" x14ac:dyDescent="0.2">
      <c r="G505" s="21"/>
      <c r="H505" s="21"/>
      <c r="I505" s="23"/>
      <c r="J505" s="21"/>
    </row>
    <row r="506" spans="1:10" x14ac:dyDescent="0.2">
      <c r="G506" s="21"/>
      <c r="H506" s="21"/>
      <c r="I506" s="23"/>
      <c r="J506" s="21"/>
    </row>
    <row r="507" spans="1:10" x14ac:dyDescent="0.2">
      <c r="G507" s="21"/>
      <c r="H507" s="21"/>
      <c r="I507" s="23"/>
      <c r="J507" s="21"/>
    </row>
    <row r="508" spans="1:10" x14ac:dyDescent="0.2">
      <c r="G508" s="21"/>
      <c r="H508" s="21"/>
      <c r="I508" s="23"/>
      <c r="J508" s="21"/>
    </row>
    <row r="509" spans="1:10" x14ac:dyDescent="0.2">
      <c r="G509" s="21"/>
      <c r="H509" s="21"/>
      <c r="I509" s="23"/>
      <c r="J509" s="21"/>
    </row>
    <row r="510" spans="1:10" x14ac:dyDescent="0.2">
      <c r="G510" s="21"/>
      <c r="H510" s="21"/>
      <c r="I510" s="23"/>
      <c r="J510" s="21"/>
    </row>
    <row r="511" spans="1:10" x14ac:dyDescent="0.2">
      <c r="G511" s="21"/>
      <c r="H511" s="21"/>
      <c r="I511" s="23"/>
      <c r="J511" s="21"/>
    </row>
    <row r="512" spans="1:10" x14ac:dyDescent="0.2">
      <c r="G512" s="21"/>
      <c r="H512" s="21"/>
      <c r="I512" s="23"/>
      <c r="J512" s="21"/>
    </row>
    <row r="513" spans="7:10" x14ac:dyDescent="0.2">
      <c r="G513" s="21"/>
      <c r="H513" s="21"/>
      <c r="I513" s="23"/>
      <c r="J513" s="21"/>
    </row>
    <row r="514" spans="7:10" x14ac:dyDescent="0.2">
      <c r="G514" s="21"/>
      <c r="H514" s="21"/>
      <c r="I514" s="23"/>
      <c r="J514" s="21"/>
    </row>
    <row r="515" spans="7:10" x14ac:dyDescent="0.2">
      <c r="G515" s="21"/>
      <c r="H515" s="21"/>
      <c r="I515" s="23"/>
      <c r="J515" s="21"/>
    </row>
    <row r="516" spans="7:10" x14ac:dyDescent="0.2">
      <c r="G516" s="21"/>
      <c r="H516" s="21"/>
      <c r="I516" s="23"/>
      <c r="J516" s="21"/>
    </row>
    <row r="517" spans="7:10" x14ac:dyDescent="0.2">
      <c r="G517" s="21"/>
      <c r="H517" s="21"/>
      <c r="I517" s="23"/>
      <c r="J517" s="21"/>
    </row>
    <row r="518" spans="7:10" x14ac:dyDescent="0.2">
      <c r="G518" s="21"/>
      <c r="H518" s="21"/>
      <c r="I518" s="23"/>
      <c r="J518" s="21"/>
    </row>
    <row r="519" spans="7:10" x14ac:dyDescent="0.2">
      <c r="G519" s="21"/>
      <c r="H519" s="21"/>
      <c r="I519" s="23"/>
      <c r="J519" s="21"/>
    </row>
    <row r="520" spans="7:10" x14ac:dyDescent="0.2">
      <c r="G520" s="21"/>
      <c r="H520" s="21"/>
      <c r="I520" s="23"/>
      <c r="J520" s="21"/>
    </row>
    <row r="521" spans="7:10" x14ac:dyDescent="0.2">
      <c r="G521" s="21"/>
      <c r="H521" s="21"/>
      <c r="I521" s="23"/>
      <c r="J521" s="21"/>
    </row>
    <row r="522" spans="7:10" x14ac:dyDescent="0.2">
      <c r="G522" s="21"/>
      <c r="H522" s="21"/>
      <c r="I522" s="23"/>
      <c r="J522" s="21"/>
    </row>
    <row r="523" spans="7:10" x14ac:dyDescent="0.2">
      <c r="G523" s="21"/>
      <c r="H523" s="21"/>
      <c r="I523" s="23"/>
      <c r="J523" s="21"/>
    </row>
    <row r="524" spans="7:10" x14ac:dyDescent="0.2">
      <c r="G524" s="21"/>
      <c r="H524" s="21"/>
      <c r="I524" s="23"/>
      <c r="J524" s="21"/>
    </row>
    <row r="525" spans="7:10" x14ac:dyDescent="0.2">
      <c r="G525" s="21"/>
      <c r="H525" s="21"/>
      <c r="I525" s="23"/>
      <c r="J525" s="21"/>
    </row>
    <row r="526" spans="7:10" x14ac:dyDescent="0.2">
      <c r="G526" s="21"/>
      <c r="H526" s="21"/>
      <c r="I526" s="23"/>
      <c r="J526" s="21"/>
    </row>
    <row r="527" spans="7:10" x14ac:dyDescent="0.2">
      <c r="G527" s="21"/>
      <c r="H527" s="21"/>
      <c r="I527" s="23"/>
      <c r="J527" s="21"/>
    </row>
    <row r="528" spans="7:10" x14ac:dyDescent="0.2">
      <c r="G528" s="21"/>
      <c r="H528" s="21"/>
      <c r="I528" s="23"/>
      <c r="J528" s="21"/>
    </row>
    <row r="529" spans="7:10" x14ac:dyDescent="0.2">
      <c r="G529" s="21"/>
      <c r="H529" s="21"/>
      <c r="I529" s="23"/>
      <c r="J529" s="21"/>
    </row>
    <row r="530" spans="7:10" x14ac:dyDescent="0.2">
      <c r="G530" s="21"/>
      <c r="H530" s="21"/>
      <c r="I530" s="23"/>
      <c r="J530" s="21"/>
    </row>
    <row r="531" spans="7:10" x14ac:dyDescent="0.2">
      <c r="G531" s="21"/>
      <c r="H531" s="21"/>
      <c r="I531" s="23"/>
      <c r="J531" s="21"/>
    </row>
    <row r="532" spans="7:10" x14ac:dyDescent="0.2">
      <c r="G532" s="21"/>
      <c r="H532" s="21"/>
      <c r="I532" s="23"/>
      <c r="J532" s="21"/>
    </row>
    <row r="533" spans="7:10" x14ac:dyDescent="0.2">
      <c r="G533" s="21"/>
      <c r="H533" s="21"/>
      <c r="I533" s="23"/>
      <c r="J533" s="21"/>
    </row>
    <row r="534" spans="7:10" x14ac:dyDescent="0.2">
      <c r="G534" s="21"/>
      <c r="H534" s="21"/>
      <c r="I534" s="23"/>
      <c r="J534" s="21"/>
    </row>
    <row r="535" spans="7:10" x14ac:dyDescent="0.2">
      <c r="G535" s="21"/>
      <c r="H535" s="21"/>
      <c r="I535" s="23"/>
      <c r="J535" s="21"/>
    </row>
    <row r="536" spans="7:10" x14ac:dyDescent="0.2">
      <c r="G536" s="21"/>
      <c r="H536" s="21"/>
      <c r="I536" s="23"/>
      <c r="J536" s="21"/>
    </row>
    <row r="537" spans="7:10" x14ac:dyDescent="0.2">
      <c r="G537" s="21"/>
      <c r="H537" s="21"/>
      <c r="I537" s="23"/>
      <c r="J537" s="21"/>
    </row>
    <row r="538" spans="7:10" x14ac:dyDescent="0.2">
      <c r="G538" s="21"/>
      <c r="H538" s="21"/>
      <c r="I538" s="23"/>
      <c r="J538" s="21"/>
    </row>
    <row r="539" spans="7:10" x14ac:dyDescent="0.2">
      <c r="G539" s="21"/>
      <c r="H539" s="21"/>
      <c r="I539" s="23"/>
      <c r="J539" s="21"/>
    </row>
    <row r="540" spans="7:10" x14ac:dyDescent="0.2">
      <c r="G540" s="21"/>
      <c r="H540" s="21"/>
      <c r="I540" s="23"/>
      <c r="J540" s="21"/>
    </row>
    <row r="541" spans="7:10" x14ac:dyDescent="0.2">
      <c r="G541" s="21"/>
      <c r="H541" s="21"/>
      <c r="I541" s="23"/>
      <c r="J541" s="21"/>
    </row>
    <row r="542" spans="7:10" x14ac:dyDescent="0.2">
      <c r="G542" s="21"/>
      <c r="H542" s="21"/>
      <c r="I542" s="23"/>
      <c r="J542" s="21"/>
    </row>
    <row r="543" spans="7:10" x14ac:dyDescent="0.2">
      <c r="G543" s="21"/>
      <c r="H543" s="21"/>
      <c r="I543" s="23"/>
      <c r="J543" s="21"/>
    </row>
    <row r="544" spans="7:10" x14ac:dyDescent="0.2">
      <c r="G544" s="21"/>
      <c r="H544" s="21"/>
      <c r="I544" s="23"/>
      <c r="J544" s="21"/>
    </row>
    <row r="545" spans="7:10" x14ac:dyDescent="0.2">
      <c r="G545" s="21"/>
      <c r="H545" s="21"/>
      <c r="I545" s="23"/>
      <c r="J545" s="21"/>
    </row>
    <row r="546" spans="7:10" x14ac:dyDescent="0.2">
      <c r="G546" s="21"/>
      <c r="H546" s="21"/>
      <c r="I546" s="23"/>
      <c r="J546" s="21"/>
    </row>
    <row r="547" spans="7:10" x14ac:dyDescent="0.2">
      <c r="G547" s="21"/>
      <c r="H547" s="21"/>
      <c r="I547" s="23"/>
      <c r="J547" s="21"/>
    </row>
    <row r="548" spans="7:10" x14ac:dyDescent="0.2">
      <c r="G548" s="21"/>
      <c r="H548" s="21"/>
      <c r="I548" s="23"/>
      <c r="J548" s="21"/>
    </row>
    <row r="549" spans="7:10" x14ac:dyDescent="0.2">
      <c r="G549" s="21"/>
      <c r="H549" s="21"/>
      <c r="I549" s="23"/>
      <c r="J549" s="21"/>
    </row>
    <row r="550" spans="7:10" x14ac:dyDescent="0.2">
      <c r="G550" s="21"/>
      <c r="H550" s="21"/>
      <c r="I550" s="23"/>
      <c r="J550" s="21"/>
    </row>
    <row r="551" spans="7:10" x14ac:dyDescent="0.2">
      <c r="G551" s="21"/>
      <c r="H551" s="21"/>
      <c r="I551" s="23"/>
      <c r="J551" s="21"/>
    </row>
    <row r="552" spans="7:10" x14ac:dyDescent="0.2">
      <c r="G552" s="21"/>
      <c r="H552" s="21"/>
      <c r="I552" s="23"/>
      <c r="J552" s="21"/>
    </row>
    <row r="553" spans="7:10" x14ac:dyDescent="0.2">
      <c r="G553" s="21"/>
      <c r="H553" s="21"/>
      <c r="I553" s="23"/>
      <c r="J553" s="21"/>
    </row>
    <row r="554" spans="7:10" x14ac:dyDescent="0.2">
      <c r="G554" s="21"/>
      <c r="H554" s="21"/>
      <c r="I554" s="23"/>
      <c r="J554" s="21"/>
    </row>
    <row r="555" spans="7:10" x14ac:dyDescent="0.2">
      <c r="G555" s="21"/>
      <c r="H555" s="21"/>
      <c r="I555" s="23"/>
      <c r="J555" s="21"/>
    </row>
    <row r="556" spans="7:10" x14ac:dyDescent="0.2">
      <c r="G556" s="21"/>
      <c r="H556" s="21"/>
      <c r="I556" s="23"/>
      <c r="J556" s="21"/>
    </row>
    <row r="557" spans="7:10" x14ac:dyDescent="0.2">
      <c r="G557" s="21"/>
      <c r="H557" s="21"/>
      <c r="I557" s="23"/>
      <c r="J557" s="21"/>
    </row>
    <row r="558" spans="7:10" x14ac:dyDescent="0.2">
      <c r="G558" s="21"/>
      <c r="H558" s="21"/>
      <c r="I558" s="23"/>
      <c r="J558" s="21"/>
    </row>
    <row r="559" spans="7:10" x14ac:dyDescent="0.2">
      <c r="G559" s="21"/>
      <c r="H559" s="21"/>
      <c r="I559" s="23"/>
      <c r="J559" s="21"/>
    </row>
    <row r="560" spans="7:10" x14ac:dyDescent="0.2">
      <c r="G560" s="21"/>
      <c r="H560" s="21"/>
      <c r="I560" s="23"/>
      <c r="J560" s="21"/>
    </row>
    <row r="561" spans="7:10" x14ac:dyDescent="0.2">
      <c r="G561" s="21"/>
      <c r="H561" s="21"/>
      <c r="I561" s="23"/>
      <c r="J561" s="21"/>
    </row>
    <row r="562" spans="7:10" x14ac:dyDescent="0.2">
      <c r="G562" s="21"/>
      <c r="H562" s="21"/>
      <c r="I562" s="23"/>
      <c r="J562" s="21"/>
    </row>
    <row r="563" spans="7:10" x14ac:dyDescent="0.2">
      <c r="G563" s="21"/>
      <c r="H563" s="21"/>
      <c r="I563" s="23"/>
      <c r="J563" s="21"/>
    </row>
    <row r="564" spans="7:10" x14ac:dyDescent="0.2">
      <c r="G564" s="21"/>
      <c r="H564" s="21"/>
      <c r="I564" s="23"/>
      <c r="J564" s="21"/>
    </row>
    <row r="565" spans="7:10" x14ac:dyDescent="0.2">
      <c r="G565" s="21"/>
      <c r="H565" s="21"/>
      <c r="I565" s="23"/>
      <c r="J565" s="21"/>
    </row>
    <row r="566" spans="7:10" x14ac:dyDescent="0.2">
      <c r="G566" s="21"/>
      <c r="H566" s="21"/>
      <c r="I566" s="23"/>
      <c r="J566" s="21"/>
    </row>
    <row r="567" spans="7:10" x14ac:dyDescent="0.2">
      <c r="G567" s="21"/>
      <c r="H567" s="21"/>
      <c r="I567" s="23"/>
      <c r="J567" s="21"/>
    </row>
    <row r="568" spans="7:10" x14ac:dyDescent="0.2">
      <c r="G568" s="21"/>
      <c r="H568" s="21"/>
      <c r="I568" s="23"/>
      <c r="J568" s="21"/>
    </row>
    <row r="569" spans="7:10" x14ac:dyDescent="0.2">
      <c r="G569" s="21"/>
      <c r="H569" s="21"/>
      <c r="I569" s="23"/>
      <c r="J569" s="21"/>
    </row>
    <row r="570" spans="7:10" x14ac:dyDescent="0.2">
      <c r="G570" s="21"/>
      <c r="H570" s="21"/>
      <c r="I570" s="23"/>
      <c r="J570" s="21"/>
    </row>
    <row r="571" spans="7:10" x14ac:dyDescent="0.2">
      <c r="G571" s="21"/>
      <c r="H571" s="21"/>
      <c r="I571" s="23"/>
      <c r="J571" s="21"/>
    </row>
    <row r="572" spans="7:10" x14ac:dyDescent="0.2">
      <c r="G572" s="21"/>
      <c r="H572" s="21"/>
      <c r="I572" s="23"/>
      <c r="J572" s="21"/>
    </row>
    <row r="573" spans="7:10" x14ac:dyDescent="0.2">
      <c r="G573" s="21"/>
      <c r="H573" s="21"/>
      <c r="I573" s="23"/>
      <c r="J573" s="21"/>
    </row>
    <row r="574" spans="7:10" x14ac:dyDescent="0.2">
      <c r="G574" s="21"/>
      <c r="H574" s="21"/>
      <c r="I574" s="23"/>
      <c r="J574" s="21"/>
    </row>
    <row r="575" spans="7:10" x14ac:dyDescent="0.2">
      <c r="G575" s="21"/>
      <c r="H575" s="21"/>
      <c r="I575" s="23"/>
      <c r="J575" s="21"/>
    </row>
    <row r="576" spans="7:10" x14ac:dyDescent="0.2">
      <c r="G576" s="21"/>
      <c r="H576" s="21"/>
      <c r="I576" s="23"/>
      <c r="J576" s="21"/>
    </row>
    <row r="577" spans="7:10" x14ac:dyDescent="0.2">
      <c r="G577" s="21"/>
      <c r="H577" s="21"/>
      <c r="I577" s="23"/>
      <c r="J577" s="21"/>
    </row>
    <row r="578" spans="7:10" x14ac:dyDescent="0.2">
      <c r="G578" s="21"/>
      <c r="H578" s="21"/>
      <c r="I578" s="23"/>
      <c r="J578" s="21"/>
    </row>
    <row r="579" spans="7:10" x14ac:dyDescent="0.2">
      <c r="G579" s="21"/>
      <c r="H579" s="21"/>
      <c r="I579" s="23"/>
      <c r="J579" s="21"/>
    </row>
    <row r="580" spans="7:10" x14ac:dyDescent="0.2">
      <c r="G580" s="21"/>
      <c r="H580" s="21"/>
      <c r="I580" s="23"/>
      <c r="J580" s="21"/>
    </row>
    <row r="581" spans="7:10" x14ac:dyDescent="0.2">
      <c r="G581" s="21"/>
      <c r="H581" s="21"/>
      <c r="I581" s="23"/>
      <c r="J581" s="21"/>
    </row>
    <row r="582" spans="7:10" x14ac:dyDescent="0.2">
      <c r="G582" s="21"/>
      <c r="H582" s="21"/>
      <c r="I582" s="23"/>
      <c r="J582" s="21"/>
    </row>
    <row r="583" spans="7:10" x14ac:dyDescent="0.2">
      <c r="G583" s="21"/>
      <c r="H583" s="21"/>
      <c r="I583" s="23"/>
      <c r="J583" s="21"/>
    </row>
    <row r="584" spans="7:10" x14ac:dyDescent="0.2">
      <c r="G584" s="21"/>
      <c r="H584" s="21"/>
      <c r="I584" s="23"/>
      <c r="J584" s="21"/>
    </row>
    <row r="585" spans="7:10" x14ac:dyDescent="0.2">
      <c r="G585" s="21"/>
      <c r="H585" s="21"/>
      <c r="I585" s="23"/>
      <c r="J585" s="21"/>
    </row>
    <row r="586" spans="7:10" x14ac:dyDescent="0.2">
      <c r="G586" s="21"/>
      <c r="H586" s="21"/>
      <c r="I586" s="23"/>
      <c r="J586" s="21"/>
    </row>
    <row r="587" spans="7:10" x14ac:dyDescent="0.2">
      <c r="G587" s="21"/>
      <c r="H587" s="21"/>
      <c r="I587" s="23"/>
      <c r="J587" s="21"/>
    </row>
    <row r="588" spans="7:10" x14ac:dyDescent="0.2">
      <c r="G588" s="21"/>
      <c r="H588" s="21"/>
      <c r="I588" s="23"/>
      <c r="J588" s="21"/>
    </row>
    <row r="589" spans="7:10" x14ac:dyDescent="0.2">
      <c r="G589" s="21"/>
      <c r="H589" s="21"/>
      <c r="I589" s="23"/>
      <c r="J589" s="21"/>
    </row>
    <row r="590" spans="7:10" x14ac:dyDescent="0.2">
      <c r="G590" s="21"/>
      <c r="H590" s="21"/>
      <c r="I590" s="23"/>
      <c r="J590" s="21"/>
    </row>
    <row r="591" spans="7:10" x14ac:dyDescent="0.2">
      <c r="G591" s="21"/>
      <c r="H591" s="21"/>
      <c r="I591" s="23"/>
      <c r="J591" s="21"/>
    </row>
    <row r="592" spans="7:10" x14ac:dyDescent="0.2">
      <c r="G592" s="21"/>
      <c r="H592" s="21"/>
      <c r="I592" s="23"/>
      <c r="J592" s="21"/>
    </row>
    <row r="593" spans="7:10" x14ac:dyDescent="0.2">
      <c r="G593" s="21"/>
      <c r="H593" s="21"/>
      <c r="I593" s="23"/>
      <c r="J593" s="21"/>
    </row>
    <row r="594" spans="7:10" x14ac:dyDescent="0.2">
      <c r="G594" s="21"/>
      <c r="H594" s="21"/>
      <c r="I594" s="23"/>
      <c r="J594" s="21"/>
    </row>
    <row r="595" spans="7:10" x14ac:dyDescent="0.2">
      <c r="G595" s="21"/>
      <c r="H595" s="21"/>
      <c r="I595" s="23"/>
      <c r="J595" s="21"/>
    </row>
    <row r="596" spans="7:10" x14ac:dyDescent="0.2">
      <c r="G596" s="21"/>
      <c r="H596" s="21"/>
      <c r="I596" s="23"/>
      <c r="J596" s="21"/>
    </row>
    <row r="597" spans="7:10" x14ac:dyDescent="0.2">
      <c r="G597" s="21"/>
      <c r="H597" s="21"/>
      <c r="I597" s="23"/>
      <c r="J597" s="21"/>
    </row>
    <row r="598" spans="7:10" x14ac:dyDescent="0.2">
      <c r="G598" s="21"/>
      <c r="H598" s="21"/>
      <c r="I598" s="23"/>
      <c r="J598" s="21"/>
    </row>
    <row r="599" spans="7:10" x14ac:dyDescent="0.2">
      <c r="G599" s="21"/>
      <c r="H599" s="21"/>
      <c r="I599" s="23"/>
      <c r="J599" s="21"/>
    </row>
    <row r="600" spans="7:10" x14ac:dyDescent="0.2">
      <c r="G600" s="21"/>
      <c r="H600" s="21"/>
      <c r="I600" s="23"/>
      <c r="J600" s="21"/>
    </row>
    <row r="601" spans="7:10" x14ac:dyDescent="0.2">
      <c r="G601" s="21"/>
      <c r="H601" s="21"/>
      <c r="I601" s="23"/>
      <c r="J601" s="21"/>
    </row>
    <row r="602" spans="7:10" x14ac:dyDescent="0.2">
      <c r="G602" s="21"/>
      <c r="H602" s="21"/>
      <c r="I602" s="23"/>
      <c r="J602" s="21"/>
    </row>
    <row r="603" spans="7:10" x14ac:dyDescent="0.2">
      <c r="G603" s="21"/>
      <c r="H603" s="21"/>
      <c r="I603" s="23"/>
      <c r="J603" s="21"/>
    </row>
    <row r="604" spans="7:10" x14ac:dyDescent="0.2">
      <c r="G604" s="21"/>
      <c r="H604" s="21"/>
      <c r="I604" s="23"/>
      <c r="J604" s="21"/>
    </row>
    <row r="605" spans="7:10" x14ac:dyDescent="0.2">
      <c r="G605" s="21"/>
      <c r="H605" s="21"/>
      <c r="I605" s="23"/>
      <c r="J605" s="21"/>
    </row>
    <row r="606" spans="7:10" x14ac:dyDescent="0.2">
      <c r="G606" s="21"/>
      <c r="H606" s="21"/>
      <c r="I606" s="23"/>
      <c r="J606" s="21"/>
    </row>
    <row r="607" spans="7:10" x14ac:dyDescent="0.2">
      <c r="G607" s="21"/>
      <c r="H607" s="21"/>
      <c r="I607" s="23"/>
      <c r="J607" s="21"/>
    </row>
    <row r="608" spans="7:10" x14ac:dyDescent="0.2">
      <c r="G608" s="21"/>
      <c r="H608" s="21"/>
      <c r="I608" s="23"/>
      <c r="J608" s="21"/>
    </row>
    <row r="609" spans="7:10" x14ac:dyDescent="0.2">
      <c r="G609" s="21"/>
      <c r="H609" s="21"/>
      <c r="I609" s="23"/>
      <c r="J609" s="21"/>
    </row>
    <row r="610" spans="7:10" x14ac:dyDescent="0.2">
      <c r="G610" s="21"/>
      <c r="H610" s="21"/>
      <c r="I610" s="23"/>
      <c r="J610" s="21"/>
    </row>
    <row r="611" spans="7:10" x14ac:dyDescent="0.2">
      <c r="G611" s="21"/>
      <c r="H611" s="21"/>
      <c r="I611" s="23"/>
      <c r="J611" s="21"/>
    </row>
    <row r="612" spans="7:10" x14ac:dyDescent="0.2">
      <c r="G612" s="21"/>
      <c r="H612" s="21"/>
      <c r="I612" s="23"/>
      <c r="J612" s="21"/>
    </row>
    <row r="613" spans="7:10" x14ac:dyDescent="0.2">
      <c r="G613" s="21"/>
      <c r="H613" s="21"/>
      <c r="I613" s="23"/>
      <c r="J613" s="21"/>
    </row>
    <row r="614" spans="7:10" x14ac:dyDescent="0.2">
      <c r="G614" s="21"/>
      <c r="H614" s="21"/>
      <c r="I614" s="23"/>
      <c r="J614" s="21"/>
    </row>
    <row r="615" spans="7:10" x14ac:dyDescent="0.2">
      <c r="G615" s="21"/>
      <c r="H615" s="21"/>
      <c r="I615" s="23"/>
      <c r="J615" s="21"/>
    </row>
    <row r="616" spans="7:10" x14ac:dyDescent="0.2">
      <c r="G616" s="21"/>
      <c r="H616" s="21"/>
      <c r="I616" s="23"/>
      <c r="J616" s="21"/>
    </row>
    <row r="617" spans="7:10" x14ac:dyDescent="0.2">
      <c r="G617" s="21"/>
      <c r="H617" s="21"/>
      <c r="I617" s="23"/>
      <c r="J617" s="21"/>
    </row>
    <row r="618" spans="7:10" x14ac:dyDescent="0.2">
      <c r="G618" s="21"/>
      <c r="H618" s="21"/>
      <c r="I618" s="23"/>
      <c r="J618" s="21"/>
    </row>
    <row r="619" spans="7:10" x14ac:dyDescent="0.2">
      <c r="G619" s="21"/>
      <c r="H619" s="21"/>
      <c r="I619" s="23"/>
      <c r="J619" s="21"/>
    </row>
    <row r="620" spans="7:10" x14ac:dyDescent="0.2">
      <c r="G620" s="21"/>
      <c r="H620" s="21"/>
      <c r="I620" s="23"/>
      <c r="J620" s="21"/>
    </row>
    <row r="621" spans="7:10" x14ac:dyDescent="0.2">
      <c r="G621" s="21"/>
      <c r="H621" s="21"/>
      <c r="I621" s="23"/>
      <c r="J621" s="21"/>
    </row>
    <row r="622" spans="7:10" x14ac:dyDescent="0.2">
      <c r="G622" s="21"/>
      <c r="H622" s="21"/>
      <c r="I622" s="23"/>
      <c r="J622" s="21"/>
    </row>
    <row r="623" spans="7:10" x14ac:dyDescent="0.2">
      <c r="G623" s="21"/>
      <c r="H623" s="21"/>
      <c r="I623" s="23"/>
      <c r="J623" s="21"/>
    </row>
    <row r="624" spans="7:10" x14ac:dyDescent="0.2">
      <c r="G624" s="21"/>
      <c r="H624" s="21"/>
      <c r="I624" s="23"/>
      <c r="J624" s="21"/>
    </row>
    <row r="625" spans="7:10" x14ac:dyDescent="0.2">
      <c r="G625" s="21"/>
      <c r="H625" s="21"/>
      <c r="I625" s="23"/>
      <c r="J625" s="21"/>
    </row>
    <row r="626" spans="7:10" x14ac:dyDescent="0.2">
      <c r="G626" s="21"/>
      <c r="H626" s="21"/>
      <c r="I626" s="23"/>
      <c r="J626" s="21"/>
    </row>
    <row r="627" spans="7:10" x14ac:dyDescent="0.2">
      <c r="G627" s="21"/>
      <c r="H627" s="21"/>
      <c r="I627" s="23"/>
      <c r="J627" s="21"/>
    </row>
    <row r="628" spans="7:10" x14ac:dyDescent="0.2">
      <c r="G628" s="21"/>
      <c r="H628" s="21"/>
      <c r="I628" s="23"/>
      <c r="J628" s="21"/>
    </row>
    <row r="629" spans="7:10" x14ac:dyDescent="0.2">
      <c r="G629" s="21"/>
      <c r="H629" s="21"/>
      <c r="I629" s="23"/>
      <c r="J629" s="21"/>
    </row>
    <row r="630" spans="7:10" x14ac:dyDescent="0.2">
      <c r="G630" s="21"/>
      <c r="H630" s="21"/>
      <c r="I630" s="23"/>
      <c r="J630" s="21"/>
    </row>
    <row r="631" spans="7:10" x14ac:dyDescent="0.2">
      <c r="G631" s="21"/>
      <c r="H631" s="21"/>
      <c r="I631" s="23"/>
      <c r="J631" s="21"/>
    </row>
    <row r="632" spans="7:10" x14ac:dyDescent="0.2">
      <c r="G632" s="21"/>
      <c r="H632" s="21"/>
      <c r="I632" s="23"/>
      <c r="J632" s="21"/>
    </row>
    <row r="633" spans="7:10" x14ac:dyDescent="0.2">
      <c r="G633" s="21"/>
      <c r="H633" s="21"/>
      <c r="I633" s="23"/>
      <c r="J633" s="21"/>
    </row>
    <row r="634" spans="7:10" x14ac:dyDescent="0.2">
      <c r="G634" s="21"/>
      <c r="H634" s="21"/>
      <c r="I634" s="23"/>
      <c r="J634" s="21"/>
    </row>
    <row r="635" spans="7:10" x14ac:dyDescent="0.2">
      <c r="G635" s="21"/>
      <c r="H635" s="21"/>
      <c r="I635" s="23"/>
      <c r="J635" s="21"/>
    </row>
    <row r="636" spans="7:10" x14ac:dyDescent="0.2">
      <c r="G636" s="21"/>
      <c r="H636" s="21"/>
      <c r="I636" s="23"/>
      <c r="J636" s="21"/>
    </row>
    <row r="637" spans="7:10" x14ac:dyDescent="0.2">
      <c r="G637" s="21"/>
      <c r="H637" s="21"/>
      <c r="I637" s="23"/>
      <c r="J637" s="21"/>
    </row>
    <row r="638" spans="7:10" x14ac:dyDescent="0.2">
      <c r="G638" s="21"/>
      <c r="H638" s="21"/>
      <c r="I638" s="23"/>
      <c r="J638" s="21"/>
    </row>
    <row r="639" spans="7:10" x14ac:dyDescent="0.2">
      <c r="G639" s="21"/>
      <c r="H639" s="21"/>
      <c r="I639" s="23"/>
      <c r="J639" s="21"/>
    </row>
    <row r="640" spans="7:10" x14ac:dyDescent="0.2">
      <c r="G640" s="21"/>
      <c r="H640" s="21"/>
      <c r="I640" s="23"/>
      <c r="J640" s="21"/>
    </row>
    <row r="641" spans="7:10" x14ac:dyDescent="0.2">
      <c r="G641" s="21"/>
      <c r="H641" s="21"/>
      <c r="I641" s="23"/>
      <c r="J641" s="21"/>
    </row>
    <row r="642" spans="7:10" x14ac:dyDescent="0.2">
      <c r="G642" s="21"/>
      <c r="H642" s="21"/>
      <c r="I642" s="23"/>
      <c r="J642" s="21"/>
    </row>
    <row r="643" spans="7:10" x14ac:dyDescent="0.2">
      <c r="G643" s="21"/>
      <c r="H643" s="21"/>
      <c r="I643" s="23"/>
      <c r="J643" s="21"/>
    </row>
    <row r="644" spans="7:10" x14ac:dyDescent="0.2">
      <c r="G644" s="21"/>
      <c r="H644" s="21"/>
      <c r="I644" s="23"/>
      <c r="J644" s="21"/>
    </row>
    <row r="645" spans="7:10" x14ac:dyDescent="0.2">
      <c r="G645" s="21"/>
      <c r="H645" s="21"/>
      <c r="I645" s="23"/>
      <c r="J645" s="21"/>
    </row>
    <row r="646" spans="7:10" x14ac:dyDescent="0.2">
      <c r="G646" s="21"/>
      <c r="H646" s="21"/>
      <c r="I646" s="23"/>
      <c r="J646" s="21"/>
    </row>
    <row r="647" spans="7:10" x14ac:dyDescent="0.2">
      <c r="G647" s="21"/>
      <c r="H647" s="21"/>
      <c r="I647" s="23"/>
      <c r="J647" s="21"/>
    </row>
    <row r="648" spans="7:10" x14ac:dyDescent="0.2">
      <c r="G648" s="21"/>
      <c r="H648" s="21"/>
      <c r="I648" s="23"/>
      <c r="J648" s="21"/>
    </row>
    <row r="649" spans="7:10" x14ac:dyDescent="0.2">
      <c r="G649" s="21"/>
      <c r="H649" s="21"/>
      <c r="I649" s="23"/>
      <c r="J649" s="21"/>
    </row>
    <row r="650" spans="7:10" x14ac:dyDescent="0.2">
      <c r="G650" s="21"/>
      <c r="H650" s="21"/>
      <c r="I650" s="23"/>
      <c r="J650" s="21"/>
    </row>
    <row r="651" spans="7:10" x14ac:dyDescent="0.2">
      <c r="G651" s="21"/>
      <c r="H651" s="21"/>
      <c r="I651" s="23"/>
      <c r="J651" s="21"/>
    </row>
    <row r="652" spans="7:10" x14ac:dyDescent="0.2">
      <c r="G652" s="21"/>
      <c r="H652" s="21"/>
      <c r="I652" s="23"/>
      <c r="J652" s="21"/>
    </row>
    <row r="653" spans="7:10" x14ac:dyDescent="0.2">
      <c r="G653" s="21"/>
      <c r="H653" s="21"/>
      <c r="I653" s="23"/>
      <c r="J653" s="21"/>
    </row>
    <row r="654" spans="7:10" x14ac:dyDescent="0.2">
      <c r="G654" s="21"/>
      <c r="H654" s="21"/>
      <c r="I654" s="23"/>
      <c r="J654" s="21"/>
    </row>
    <row r="655" spans="7:10" x14ac:dyDescent="0.2">
      <c r="G655" s="21"/>
      <c r="H655" s="21"/>
      <c r="I655" s="23"/>
      <c r="J655" s="21"/>
    </row>
    <row r="656" spans="7:10" x14ac:dyDescent="0.2">
      <c r="G656" s="21"/>
      <c r="H656" s="21"/>
      <c r="I656" s="23"/>
      <c r="J656" s="21"/>
    </row>
    <row r="657" spans="7:10" x14ac:dyDescent="0.2">
      <c r="G657" s="21"/>
      <c r="H657" s="21"/>
      <c r="I657" s="23"/>
      <c r="J657" s="21"/>
    </row>
    <row r="658" spans="7:10" x14ac:dyDescent="0.2">
      <c r="G658" s="21"/>
      <c r="H658" s="21"/>
      <c r="I658" s="23"/>
      <c r="J658" s="21"/>
    </row>
    <row r="659" spans="7:10" x14ac:dyDescent="0.2">
      <c r="G659" s="21"/>
      <c r="H659" s="21"/>
      <c r="I659" s="23"/>
      <c r="J659" s="21"/>
    </row>
    <row r="660" spans="7:10" x14ac:dyDescent="0.2">
      <c r="G660" s="21"/>
      <c r="H660" s="21"/>
      <c r="I660" s="23"/>
      <c r="J660" s="21"/>
    </row>
    <row r="661" spans="7:10" x14ac:dyDescent="0.2">
      <c r="G661" s="21"/>
      <c r="H661" s="21"/>
      <c r="I661" s="23"/>
      <c r="J661" s="21"/>
    </row>
    <row r="662" spans="7:10" x14ac:dyDescent="0.2">
      <c r="G662" s="21"/>
      <c r="H662" s="21"/>
      <c r="I662" s="23"/>
      <c r="J662" s="21"/>
    </row>
    <row r="663" spans="7:10" x14ac:dyDescent="0.2">
      <c r="G663" s="21"/>
      <c r="H663" s="21"/>
      <c r="I663" s="23"/>
      <c r="J663" s="21"/>
    </row>
    <row r="664" spans="7:10" x14ac:dyDescent="0.2">
      <c r="G664" s="21"/>
      <c r="H664" s="21"/>
      <c r="I664" s="23"/>
      <c r="J664" s="21"/>
    </row>
    <row r="665" spans="7:10" x14ac:dyDescent="0.2">
      <c r="G665" s="21"/>
      <c r="H665" s="21"/>
      <c r="I665" s="23"/>
      <c r="J665" s="21"/>
    </row>
    <row r="666" spans="7:10" x14ac:dyDescent="0.2">
      <c r="G666" s="21"/>
      <c r="H666" s="21"/>
      <c r="I666" s="23"/>
      <c r="J666" s="21"/>
    </row>
    <row r="667" spans="7:10" x14ac:dyDescent="0.2">
      <c r="G667" s="21"/>
      <c r="H667" s="21"/>
      <c r="I667" s="23"/>
      <c r="J667" s="21"/>
    </row>
    <row r="668" spans="7:10" x14ac:dyDescent="0.2">
      <c r="G668" s="21"/>
      <c r="H668" s="21"/>
      <c r="I668" s="23"/>
      <c r="J668" s="21"/>
    </row>
    <row r="669" spans="7:10" x14ac:dyDescent="0.2">
      <c r="G669" s="21"/>
      <c r="H669" s="21"/>
      <c r="I669" s="23"/>
      <c r="J669" s="21"/>
    </row>
    <row r="670" spans="7:10" x14ac:dyDescent="0.2">
      <c r="G670" s="21"/>
      <c r="H670" s="21"/>
      <c r="I670" s="23"/>
      <c r="J670" s="21"/>
    </row>
    <row r="671" spans="7:10" x14ac:dyDescent="0.2">
      <c r="G671" s="21"/>
      <c r="H671" s="21"/>
      <c r="I671" s="23"/>
      <c r="J671" s="21"/>
    </row>
    <row r="672" spans="7:10" x14ac:dyDescent="0.2">
      <c r="G672" s="21"/>
      <c r="H672" s="21"/>
      <c r="I672" s="23"/>
      <c r="J672" s="21"/>
    </row>
    <row r="673" spans="7:10" x14ac:dyDescent="0.2">
      <c r="G673" s="21"/>
      <c r="H673" s="21"/>
      <c r="I673" s="23"/>
      <c r="J673" s="21"/>
    </row>
    <row r="674" spans="7:10" x14ac:dyDescent="0.2">
      <c r="G674" s="21"/>
      <c r="H674" s="21"/>
      <c r="I674" s="23"/>
      <c r="J674" s="21"/>
    </row>
    <row r="675" spans="7:10" x14ac:dyDescent="0.2">
      <c r="G675" s="21"/>
      <c r="H675" s="21"/>
      <c r="I675" s="23"/>
      <c r="J675" s="21"/>
    </row>
    <row r="676" spans="7:10" x14ac:dyDescent="0.2">
      <c r="G676" s="21"/>
      <c r="H676" s="21"/>
      <c r="I676" s="23"/>
      <c r="J676" s="21"/>
    </row>
    <row r="677" spans="7:10" x14ac:dyDescent="0.2">
      <c r="G677" s="21"/>
      <c r="H677" s="21"/>
      <c r="I677" s="23"/>
      <c r="J677" s="21"/>
    </row>
    <row r="678" spans="7:10" x14ac:dyDescent="0.2">
      <c r="G678" s="21"/>
      <c r="H678" s="21"/>
      <c r="I678" s="23"/>
      <c r="J678" s="21"/>
    </row>
    <row r="679" spans="7:10" x14ac:dyDescent="0.2">
      <c r="G679" s="21"/>
      <c r="H679" s="21"/>
      <c r="I679" s="23"/>
      <c r="J679" s="21"/>
    </row>
    <row r="680" spans="7:10" x14ac:dyDescent="0.2">
      <c r="G680" s="21"/>
      <c r="H680" s="21"/>
      <c r="I680" s="23"/>
      <c r="J680" s="21"/>
    </row>
    <row r="681" spans="7:10" x14ac:dyDescent="0.2">
      <c r="G681" s="21"/>
      <c r="H681" s="21"/>
      <c r="I681" s="23"/>
      <c r="J681" s="21"/>
    </row>
    <row r="682" spans="7:10" x14ac:dyDescent="0.2">
      <c r="G682" s="21"/>
      <c r="H682" s="21"/>
      <c r="I682" s="23"/>
      <c r="J682" s="21"/>
    </row>
    <row r="683" spans="7:10" x14ac:dyDescent="0.2">
      <c r="G683" s="21"/>
      <c r="H683" s="21"/>
      <c r="I683" s="23"/>
      <c r="J683" s="21"/>
    </row>
    <row r="684" spans="7:10" x14ac:dyDescent="0.2">
      <c r="G684" s="21"/>
      <c r="H684" s="21"/>
      <c r="I684" s="23"/>
      <c r="J684" s="21"/>
    </row>
    <row r="685" spans="7:10" x14ac:dyDescent="0.2">
      <c r="G685" s="21"/>
      <c r="H685" s="21"/>
      <c r="I685" s="23"/>
      <c r="J685" s="21"/>
    </row>
    <row r="686" spans="7:10" x14ac:dyDescent="0.2">
      <c r="G686" s="21"/>
      <c r="H686" s="21"/>
      <c r="I686" s="23"/>
      <c r="J686" s="21"/>
    </row>
    <row r="687" spans="7:10" x14ac:dyDescent="0.2">
      <c r="G687" s="21"/>
      <c r="H687" s="21"/>
      <c r="I687" s="23"/>
      <c r="J687" s="21"/>
    </row>
    <row r="688" spans="7:10" x14ac:dyDescent="0.2">
      <c r="G688" s="21"/>
      <c r="H688" s="21"/>
      <c r="I688" s="23"/>
      <c r="J688" s="21"/>
    </row>
    <row r="689" spans="7:10" x14ac:dyDescent="0.2">
      <c r="G689" s="21"/>
      <c r="H689" s="21"/>
      <c r="I689" s="23"/>
      <c r="J689" s="21"/>
    </row>
    <row r="690" spans="7:10" x14ac:dyDescent="0.2">
      <c r="G690" s="21"/>
      <c r="H690" s="21"/>
      <c r="I690" s="23"/>
      <c r="J690" s="21"/>
    </row>
    <row r="691" spans="7:10" x14ac:dyDescent="0.2">
      <c r="G691" s="21"/>
      <c r="H691" s="21"/>
      <c r="I691" s="23"/>
      <c r="J691" s="21"/>
    </row>
    <row r="692" spans="7:10" x14ac:dyDescent="0.2">
      <c r="G692" s="21"/>
      <c r="H692" s="21"/>
      <c r="I692" s="23"/>
      <c r="J692" s="21"/>
    </row>
    <row r="693" spans="7:10" x14ac:dyDescent="0.2">
      <c r="G693" s="21"/>
      <c r="H693" s="21"/>
      <c r="I693" s="23"/>
      <c r="J693" s="21"/>
    </row>
    <row r="694" spans="7:10" x14ac:dyDescent="0.2">
      <c r="G694" s="21"/>
      <c r="H694" s="21"/>
      <c r="I694" s="23"/>
      <c r="J694" s="21"/>
    </row>
    <row r="695" spans="7:10" x14ac:dyDescent="0.2">
      <c r="G695" s="21"/>
      <c r="H695" s="21"/>
      <c r="I695" s="23"/>
      <c r="J695" s="21"/>
    </row>
    <row r="696" spans="7:10" x14ac:dyDescent="0.2">
      <c r="G696" s="21"/>
      <c r="H696" s="21"/>
      <c r="I696" s="23"/>
      <c r="J696" s="21"/>
    </row>
    <row r="697" spans="7:10" x14ac:dyDescent="0.2">
      <c r="G697" s="21"/>
      <c r="H697" s="21"/>
      <c r="I697" s="23"/>
      <c r="J697" s="21"/>
    </row>
    <row r="698" spans="7:10" x14ac:dyDescent="0.2">
      <c r="G698" s="21"/>
      <c r="H698" s="21"/>
      <c r="I698" s="23"/>
      <c r="J698" s="21"/>
    </row>
    <row r="699" spans="7:10" x14ac:dyDescent="0.2">
      <c r="G699" s="21"/>
      <c r="H699" s="21"/>
      <c r="I699" s="23"/>
      <c r="J699" s="21"/>
    </row>
    <row r="700" spans="7:10" x14ac:dyDescent="0.2">
      <c r="G700" s="21"/>
      <c r="H700" s="21"/>
      <c r="I700" s="23"/>
      <c r="J700" s="21"/>
    </row>
    <row r="701" spans="7:10" x14ac:dyDescent="0.2">
      <c r="G701" s="21"/>
      <c r="H701" s="21"/>
      <c r="I701" s="23"/>
      <c r="J701" s="21"/>
    </row>
    <row r="702" spans="7:10" x14ac:dyDescent="0.2">
      <c r="G702" s="21"/>
      <c r="H702" s="21"/>
      <c r="I702" s="23"/>
      <c r="J702" s="21"/>
    </row>
    <row r="703" spans="7:10" x14ac:dyDescent="0.2">
      <c r="G703" s="21"/>
      <c r="H703" s="21"/>
      <c r="I703" s="23"/>
      <c r="J703" s="21"/>
    </row>
    <row r="704" spans="7:10" x14ac:dyDescent="0.2">
      <c r="G704" s="21"/>
      <c r="H704" s="21"/>
      <c r="I704" s="23"/>
      <c r="J704" s="21"/>
    </row>
    <row r="705" spans="7:10" x14ac:dyDescent="0.2">
      <c r="G705" s="21"/>
      <c r="H705" s="21"/>
      <c r="I705" s="23"/>
      <c r="J705" s="21"/>
    </row>
    <row r="706" spans="7:10" x14ac:dyDescent="0.2">
      <c r="G706" s="21"/>
      <c r="H706" s="21"/>
      <c r="I706" s="23"/>
      <c r="J706" s="21"/>
    </row>
    <row r="707" spans="7:10" x14ac:dyDescent="0.2">
      <c r="G707" s="21"/>
      <c r="H707" s="21"/>
      <c r="I707" s="23"/>
      <c r="J707" s="21"/>
    </row>
    <row r="708" spans="7:10" x14ac:dyDescent="0.2">
      <c r="G708" s="21"/>
      <c r="H708" s="21"/>
      <c r="I708" s="23"/>
      <c r="J708" s="21"/>
    </row>
    <row r="709" spans="7:10" x14ac:dyDescent="0.2">
      <c r="G709" s="21"/>
      <c r="H709" s="21"/>
      <c r="I709" s="23"/>
      <c r="J709" s="21"/>
    </row>
    <row r="710" spans="7:10" x14ac:dyDescent="0.2">
      <c r="G710" s="21"/>
      <c r="H710" s="21"/>
      <c r="I710" s="23"/>
      <c r="J710" s="21"/>
    </row>
    <row r="711" spans="7:10" x14ac:dyDescent="0.2">
      <c r="G711" s="21"/>
      <c r="H711" s="21"/>
      <c r="I711" s="23"/>
      <c r="J711" s="21"/>
    </row>
    <row r="712" spans="7:10" x14ac:dyDescent="0.2">
      <c r="G712" s="21"/>
      <c r="H712" s="21"/>
      <c r="I712" s="23"/>
      <c r="J712" s="21"/>
    </row>
    <row r="713" spans="7:10" x14ac:dyDescent="0.2">
      <c r="G713" s="21"/>
      <c r="H713" s="21"/>
      <c r="I713" s="23"/>
      <c r="J713" s="21"/>
    </row>
    <row r="714" spans="7:10" x14ac:dyDescent="0.2">
      <c r="G714" s="21"/>
      <c r="H714" s="21"/>
      <c r="I714" s="23"/>
      <c r="J714" s="21"/>
    </row>
    <row r="715" spans="7:10" x14ac:dyDescent="0.2">
      <c r="G715" s="21"/>
      <c r="H715" s="21"/>
      <c r="I715" s="23"/>
      <c r="J715" s="21"/>
    </row>
    <row r="716" spans="7:10" x14ac:dyDescent="0.2">
      <c r="G716" s="21"/>
      <c r="H716" s="21"/>
      <c r="I716" s="23"/>
      <c r="J716" s="21"/>
    </row>
    <row r="717" spans="7:10" x14ac:dyDescent="0.2">
      <c r="G717" s="21"/>
      <c r="H717" s="21"/>
      <c r="I717" s="23"/>
      <c r="J717" s="21"/>
    </row>
    <row r="718" spans="7:10" x14ac:dyDescent="0.2">
      <c r="G718" s="21"/>
      <c r="H718" s="21"/>
      <c r="I718" s="23"/>
      <c r="J718" s="21"/>
    </row>
    <row r="719" spans="7:10" x14ac:dyDescent="0.2">
      <c r="G719" s="21"/>
      <c r="H719" s="21"/>
      <c r="I719" s="23"/>
      <c r="J719" s="21"/>
    </row>
    <row r="720" spans="7:10" x14ac:dyDescent="0.2">
      <c r="G720" s="21"/>
      <c r="H720" s="21"/>
      <c r="I720" s="23"/>
      <c r="J720" s="21"/>
    </row>
    <row r="721" spans="7:10" x14ac:dyDescent="0.2">
      <c r="G721" s="21"/>
      <c r="H721" s="21"/>
      <c r="I721" s="23"/>
      <c r="J721" s="21"/>
    </row>
    <row r="722" spans="7:10" x14ac:dyDescent="0.2">
      <c r="G722" s="21"/>
      <c r="H722" s="21"/>
      <c r="I722" s="23"/>
      <c r="J722" s="21"/>
    </row>
    <row r="723" spans="7:10" x14ac:dyDescent="0.2">
      <c r="G723" s="21"/>
      <c r="H723" s="21"/>
      <c r="I723" s="23"/>
      <c r="J723" s="21"/>
    </row>
    <row r="724" spans="7:10" x14ac:dyDescent="0.2">
      <c r="G724" s="21"/>
      <c r="H724" s="21"/>
      <c r="I724" s="23"/>
      <c r="J724" s="21"/>
    </row>
    <row r="725" spans="7:10" x14ac:dyDescent="0.2">
      <c r="G725" s="21"/>
      <c r="H725" s="21"/>
      <c r="I725" s="23"/>
      <c r="J725" s="21"/>
    </row>
    <row r="726" spans="7:10" x14ac:dyDescent="0.2">
      <c r="G726" s="21"/>
      <c r="H726" s="21"/>
      <c r="I726" s="23"/>
      <c r="J726" s="21"/>
    </row>
    <row r="727" spans="7:10" x14ac:dyDescent="0.2">
      <c r="G727" s="21"/>
      <c r="H727" s="21"/>
      <c r="I727" s="23"/>
      <c r="J727" s="21"/>
    </row>
    <row r="728" spans="7:10" x14ac:dyDescent="0.2">
      <c r="G728" s="21"/>
      <c r="H728" s="21"/>
      <c r="I728" s="23"/>
      <c r="J728" s="21"/>
    </row>
    <row r="729" spans="7:10" x14ac:dyDescent="0.2">
      <c r="G729" s="21"/>
      <c r="H729" s="21"/>
      <c r="I729" s="23"/>
      <c r="J729" s="21"/>
    </row>
    <row r="730" spans="7:10" x14ac:dyDescent="0.2">
      <c r="G730" s="21"/>
      <c r="H730" s="21"/>
      <c r="I730" s="23"/>
      <c r="J730" s="21"/>
    </row>
    <row r="731" spans="7:10" x14ac:dyDescent="0.2">
      <c r="G731" s="21"/>
      <c r="H731" s="21"/>
      <c r="I731" s="23"/>
      <c r="J731" s="21"/>
    </row>
    <row r="732" spans="7:10" x14ac:dyDescent="0.2">
      <c r="G732" s="21"/>
      <c r="H732" s="21"/>
      <c r="I732" s="23"/>
      <c r="J732" s="21"/>
    </row>
    <row r="733" spans="7:10" x14ac:dyDescent="0.2">
      <c r="G733" s="21"/>
      <c r="H733" s="21"/>
      <c r="I733" s="23"/>
      <c r="J733" s="21"/>
    </row>
    <row r="734" spans="7:10" x14ac:dyDescent="0.2">
      <c r="G734" s="21"/>
      <c r="H734" s="21"/>
      <c r="I734" s="23"/>
      <c r="J734" s="21"/>
    </row>
    <row r="735" spans="7:10" x14ac:dyDescent="0.2">
      <c r="G735" s="21"/>
      <c r="H735" s="21"/>
      <c r="I735" s="23"/>
      <c r="J735" s="21"/>
    </row>
    <row r="736" spans="7:10" x14ac:dyDescent="0.2">
      <c r="G736" s="21"/>
      <c r="H736" s="21"/>
      <c r="I736" s="23"/>
      <c r="J736" s="21"/>
    </row>
    <row r="737" spans="7:10" x14ac:dyDescent="0.2">
      <c r="G737" s="21"/>
      <c r="H737" s="21"/>
      <c r="I737" s="23"/>
      <c r="J737" s="21"/>
    </row>
    <row r="738" spans="7:10" x14ac:dyDescent="0.2">
      <c r="G738" s="21"/>
      <c r="H738" s="21"/>
      <c r="I738" s="23"/>
      <c r="J738" s="21"/>
    </row>
    <row r="739" spans="7:10" x14ac:dyDescent="0.2">
      <c r="G739" s="21"/>
      <c r="H739" s="21"/>
      <c r="I739" s="23"/>
      <c r="J739" s="21"/>
    </row>
    <row r="740" spans="7:10" x14ac:dyDescent="0.2">
      <c r="G740" s="21"/>
      <c r="H740" s="21"/>
      <c r="I740" s="23"/>
      <c r="J740" s="21"/>
    </row>
    <row r="741" spans="7:10" x14ac:dyDescent="0.2">
      <c r="G741" s="21"/>
      <c r="H741" s="21"/>
      <c r="I741" s="23"/>
      <c r="J741" s="21"/>
    </row>
    <row r="742" spans="7:10" x14ac:dyDescent="0.2">
      <c r="G742" s="21"/>
      <c r="H742" s="21"/>
      <c r="I742" s="23"/>
      <c r="J742" s="21"/>
    </row>
    <row r="743" spans="7:10" x14ac:dyDescent="0.2">
      <c r="G743" s="21"/>
      <c r="H743" s="21"/>
      <c r="I743" s="23"/>
      <c r="J743" s="21"/>
    </row>
    <row r="744" spans="7:10" x14ac:dyDescent="0.2">
      <c r="G744" s="21"/>
      <c r="H744" s="21"/>
      <c r="I744" s="23"/>
      <c r="J744" s="21"/>
    </row>
    <row r="745" spans="7:10" x14ac:dyDescent="0.2">
      <c r="G745" s="21"/>
      <c r="H745" s="21"/>
      <c r="I745" s="23"/>
      <c r="J745" s="21"/>
    </row>
    <row r="746" spans="7:10" x14ac:dyDescent="0.2">
      <c r="G746" s="21"/>
      <c r="H746" s="21"/>
      <c r="I746" s="23"/>
      <c r="J746" s="21"/>
    </row>
    <row r="747" spans="7:10" x14ac:dyDescent="0.2">
      <c r="G747" s="21"/>
      <c r="H747" s="21"/>
      <c r="I747" s="23"/>
      <c r="J747" s="21"/>
    </row>
    <row r="748" spans="7:10" x14ac:dyDescent="0.2">
      <c r="G748" s="21"/>
      <c r="H748" s="21"/>
      <c r="I748" s="23"/>
      <c r="J748" s="21"/>
    </row>
    <row r="749" spans="7:10" x14ac:dyDescent="0.2">
      <c r="G749" s="21"/>
      <c r="H749" s="21"/>
      <c r="I749" s="23"/>
      <c r="J749" s="21"/>
    </row>
    <row r="750" spans="7:10" x14ac:dyDescent="0.2">
      <c r="G750" s="21"/>
      <c r="H750" s="21"/>
      <c r="I750" s="23"/>
      <c r="J750" s="21"/>
    </row>
    <row r="751" spans="7:10" x14ac:dyDescent="0.2">
      <c r="G751" s="21"/>
      <c r="H751" s="21"/>
      <c r="I751" s="23"/>
      <c r="J751" s="21"/>
    </row>
    <row r="752" spans="7:10" x14ac:dyDescent="0.2">
      <c r="G752" s="21"/>
      <c r="H752" s="21"/>
      <c r="I752" s="23"/>
      <c r="J752" s="21"/>
    </row>
    <row r="753" spans="7:10" x14ac:dyDescent="0.2">
      <c r="G753" s="21"/>
      <c r="H753" s="21"/>
      <c r="I753" s="23"/>
      <c r="J753" s="21"/>
    </row>
    <row r="754" spans="7:10" x14ac:dyDescent="0.2">
      <c r="G754" s="21"/>
      <c r="H754" s="21"/>
      <c r="I754" s="23"/>
      <c r="J754" s="21"/>
    </row>
    <row r="755" spans="7:10" x14ac:dyDescent="0.2">
      <c r="G755" s="21"/>
      <c r="H755" s="21"/>
      <c r="I755" s="23"/>
      <c r="J755" s="21"/>
    </row>
    <row r="756" spans="7:10" x14ac:dyDescent="0.2">
      <c r="G756" s="21"/>
      <c r="H756" s="21"/>
      <c r="I756" s="23"/>
      <c r="J756" s="21"/>
    </row>
    <row r="757" spans="7:10" x14ac:dyDescent="0.2">
      <c r="G757" s="21"/>
      <c r="H757" s="21"/>
      <c r="I757" s="23"/>
      <c r="J757" s="21"/>
    </row>
    <row r="758" spans="7:10" x14ac:dyDescent="0.2">
      <c r="G758" s="21"/>
      <c r="H758" s="21"/>
      <c r="I758" s="23"/>
      <c r="J758" s="21"/>
    </row>
    <row r="759" spans="7:10" x14ac:dyDescent="0.2">
      <c r="G759" s="21"/>
      <c r="H759" s="21"/>
      <c r="I759" s="23"/>
      <c r="J759" s="21"/>
    </row>
    <row r="760" spans="7:10" x14ac:dyDescent="0.2">
      <c r="G760" s="21"/>
      <c r="H760" s="21"/>
      <c r="I760" s="23"/>
      <c r="J760" s="21"/>
    </row>
    <row r="761" spans="7:10" x14ac:dyDescent="0.2">
      <c r="G761" s="21"/>
      <c r="H761" s="21"/>
      <c r="I761" s="23"/>
      <c r="J761" s="21"/>
    </row>
    <row r="762" spans="7:10" x14ac:dyDescent="0.2">
      <c r="G762" s="21"/>
      <c r="H762" s="21"/>
      <c r="I762" s="23"/>
      <c r="J762" s="21"/>
    </row>
    <row r="763" spans="7:10" x14ac:dyDescent="0.2">
      <c r="G763" s="21"/>
      <c r="H763" s="21"/>
      <c r="I763" s="23"/>
      <c r="J763" s="21"/>
    </row>
    <row r="764" spans="7:10" x14ac:dyDescent="0.2">
      <c r="G764" s="21"/>
      <c r="H764" s="21"/>
      <c r="I764" s="23"/>
      <c r="J764" s="21"/>
    </row>
    <row r="765" spans="7:10" x14ac:dyDescent="0.2">
      <c r="G765" s="21"/>
      <c r="H765" s="21"/>
      <c r="I765" s="23"/>
      <c r="J765" s="21"/>
    </row>
    <row r="766" spans="7:10" x14ac:dyDescent="0.2">
      <c r="G766" s="21"/>
      <c r="H766" s="21"/>
      <c r="I766" s="23"/>
      <c r="J766" s="21"/>
    </row>
    <row r="767" spans="7:10" x14ac:dyDescent="0.2">
      <c r="G767" s="21"/>
      <c r="H767" s="21"/>
      <c r="I767" s="23"/>
      <c r="J767" s="21"/>
    </row>
    <row r="768" spans="7:10" x14ac:dyDescent="0.2">
      <c r="G768" s="21"/>
      <c r="H768" s="21"/>
      <c r="I768" s="23"/>
      <c r="J768" s="21"/>
    </row>
    <row r="769" spans="7:10" x14ac:dyDescent="0.2">
      <c r="G769" s="21"/>
      <c r="H769" s="21"/>
      <c r="I769" s="23"/>
      <c r="J769" s="21"/>
    </row>
    <row r="770" spans="7:10" x14ac:dyDescent="0.2">
      <c r="G770" s="21"/>
      <c r="H770" s="21"/>
      <c r="I770" s="23"/>
      <c r="J770" s="21"/>
    </row>
    <row r="771" spans="7:10" x14ac:dyDescent="0.2">
      <c r="G771" s="21"/>
      <c r="H771" s="21"/>
      <c r="I771" s="23"/>
      <c r="J771" s="21"/>
    </row>
    <row r="772" spans="7:10" x14ac:dyDescent="0.2">
      <c r="G772" s="21"/>
      <c r="H772" s="21"/>
      <c r="I772" s="23"/>
      <c r="J772" s="21"/>
    </row>
    <row r="773" spans="7:10" x14ac:dyDescent="0.2">
      <c r="G773" s="21"/>
      <c r="H773" s="21"/>
      <c r="I773" s="23"/>
      <c r="J773" s="21"/>
    </row>
    <row r="774" spans="7:10" x14ac:dyDescent="0.2">
      <c r="G774" s="21"/>
      <c r="H774" s="21"/>
      <c r="I774" s="23"/>
      <c r="J774" s="21"/>
    </row>
    <row r="775" spans="7:10" x14ac:dyDescent="0.2">
      <c r="G775" s="21"/>
      <c r="H775" s="21"/>
      <c r="I775" s="23"/>
      <c r="J775" s="21"/>
    </row>
    <row r="776" spans="7:10" x14ac:dyDescent="0.2">
      <c r="G776" s="21"/>
      <c r="H776" s="21"/>
      <c r="I776" s="23"/>
      <c r="J776" s="21"/>
    </row>
    <row r="777" spans="7:10" x14ac:dyDescent="0.2">
      <c r="G777" s="21"/>
      <c r="H777" s="21"/>
      <c r="I777" s="23"/>
      <c r="J777" s="21"/>
    </row>
    <row r="778" spans="7:10" x14ac:dyDescent="0.2">
      <c r="G778" s="21"/>
      <c r="H778" s="21"/>
      <c r="I778" s="23"/>
      <c r="J778" s="21"/>
    </row>
    <row r="779" spans="7:10" x14ac:dyDescent="0.2">
      <c r="G779" s="21"/>
      <c r="H779" s="21"/>
      <c r="I779" s="23"/>
      <c r="J779" s="21"/>
    </row>
    <row r="780" spans="7:10" x14ac:dyDescent="0.2">
      <c r="G780" s="21"/>
      <c r="H780" s="21"/>
      <c r="I780" s="23"/>
      <c r="J780" s="21"/>
    </row>
    <row r="781" spans="7:10" x14ac:dyDescent="0.2">
      <c r="G781" s="21"/>
      <c r="H781" s="21"/>
      <c r="I781" s="23"/>
      <c r="J781" s="21"/>
    </row>
    <row r="782" spans="7:10" x14ac:dyDescent="0.2">
      <c r="G782" s="21"/>
      <c r="H782" s="21"/>
      <c r="I782" s="23"/>
      <c r="J782" s="21"/>
    </row>
    <row r="783" spans="7:10" x14ac:dyDescent="0.2">
      <c r="G783" s="21"/>
      <c r="H783" s="21"/>
      <c r="I783" s="23"/>
      <c r="J783" s="21"/>
    </row>
    <row r="784" spans="7:10" x14ac:dyDescent="0.2">
      <c r="G784" s="21"/>
      <c r="H784" s="21"/>
      <c r="I784" s="23"/>
      <c r="J784" s="21"/>
    </row>
    <row r="785" spans="7:10" x14ac:dyDescent="0.2">
      <c r="G785" s="21"/>
      <c r="H785" s="21"/>
      <c r="I785" s="23"/>
      <c r="J785" s="21"/>
    </row>
    <row r="786" spans="7:10" x14ac:dyDescent="0.2">
      <c r="G786" s="21"/>
      <c r="H786" s="21"/>
      <c r="I786" s="23"/>
      <c r="J786" s="21"/>
    </row>
    <row r="787" spans="7:10" x14ac:dyDescent="0.2">
      <c r="G787" s="21"/>
      <c r="H787" s="21"/>
      <c r="I787" s="23"/>
      <c r="J787" s="21"/>
    </row>
    <row r="788" spans="7:10" x14ac:dyDescent="0.2">
      <c r="G788" s="21"/>
      <c r="H788" s="21"/>
      <c r="I788" s="23"/>
      <c r="J788" s="21"/>
    </row>
    <row r="789" spans="7:10" x14ac:dyDescent="0.2">
      <c r="G789" s="21"/>
      <c r="H789" s="21"/>
      <c r="I789" s="23"/>
      <c r="J789" s="21"/>
    </row>
    <row r="790" spans="7:10" x14ac:dyDescent="0.2">
      <c r="G790" s="21"/>
      <c r="H790" s="21"/>
      <c r="I790" s="23"/>
      <c r="J790" s="21"/>
    </row>
    <row r="791" spans="7:10" x14ac:dyDescent="0.2">
      <c r="G791" s="21"/>
      <c r="H791" s="21"/>
      <c r="I791" s="23"/>
      <c r="J791" s="21"/>
    </row>
    <row r="792" spans="7:10" x14ac:dyDescent="0.2">
      <c r="G792" s="21"/>
      <c r="H792" s="21"/>
      <c r="I792" s="23"/>
      <c r="J792" s="21"/>
    </row>
    <row r="793" spans="7:10" x14ac:dyDescent="0.2">
      <c r="G793" s="21"/>
      <c r="H793" s="21"/>
      <c r="I793" s="23"/>
      <c r="J793" s="21"/>
    </row>
    <row r="794" spans="7:10" x14ac:dyDescent="0.2">
      <c r="G794" s="21"/>
      <c r="H794" s="21"/>
      <c r="I794" s="23"/>
      <c r="J794" s="21"/>
    </row>
    <row r="795" spans="7:10" x14ac:dyDescent="0.2">
      <c r="G795" s="21"/>
      <c r="H795" s="21"/>
      <c r="I795" s="23"/>
      <c r="J795" s="21"/>
    </row>
    <row r="796" spans="7:10" x14ac:dyDescent="0.2">
      <c r="G796" s="21"/>
      <c r="H796" s="21"/>
      <c r="I796" s="23"/>
      <c r="J796" s="21"/>
    </row>
    <row r="797" spans="7:10" x14ac:dyDescent="0.2">
      <c r="G797" s="21"/>
      <c r="H797" s="21"/>
      <c r="I797" s="23"/>
      <c r="J797" s="21"/>
    </row>
    <row r="798" spans="7:10" x14ac:dyDescent="0.2">
      <c r="G798" s="21"/>
      <c r="H798" s="21"/>
      <c r="I798" s="23"/>
      <c r="J798" s="21"/>
    </row>
    <row r="799" spans="7:10" x14ac:dyDescent="0.2">
      <c r="G799" s="21"/>
      <c r="H799" s="21"/>
      <c r="I799" s="23"/>
      <c r="J799" s="21"/>
    </row>
    <row r="800" spans="7:10" x14ac:dyDescent="0.2">
      <c r="G800" s="21"/>
      <c r="H800" s="21"/>
      <c r="I800" s="23"/>
      <c r="J800" s="21"/>
    </row>
    <row r="801" spans="7:10" x14ac:dyDescent="0.2">
      <c r="G801" s="21"/>
      <c r="H801" s="21"/>
      <c r="I801" s="23"/>
      <c r="J801" s="21"/>
    </row>
    <row r="802" spans="7:10" x14ac:dyDescent="0.2">
      <c r="G802" s="21"/>
      <c r="H802" s="21"/>
      <c r="I802" s="23"/>
      <c r="J802" s="21"/>
    </row>
    <row r="803" spans="7:10" x14ac:dyDescent="0.2">
      <c r="G803" s="21"/>
      <c r="H803" s="21"/>
      <c r="I803" s="23"/>
      <c r="J803" s="21"/>
    </row>
    <row r="804" spans="7:10" x14ac:dyDescent="0.2">
      <c r="G804" s="21"/>
      <c r="H804" s="21"/>
      <c r="I804" s="23"/>
      <c r="J804" s="21"/>
    </row>
    <row r="805" spans="7:10" x14ac:dyDescent="0.2">
      <c r="G805" s="21"/>
      <c r="H805" s="21"/>
      <c r="I805" s="23"/>
      <c r="J805" s="21"/>
    </row>
    <row r="806" spans="7:10" x14ac:dyDescent="0.2">
      <c r="G806" s="21"/>
      <c r="H806" s="21"/>
      <c r="I806" s="23"/>
      <c r="J806" s="21"/>
    </row>
    <row r="807" spans="7:10" x14ac:dyDescent="0.2">
      <c r="G807" s="21"/>
      <c r="H807" s="21"/>
      <c r="I807" s="23"/>
      <c r="J807" s="21"/>
    </row>
    <row r="808" spans="7:10" x14ac:dyDescent="0.2">
      <c r="G808" s="21"/>
      <c r="H808" s="21"/>
      <c r="I808" s="23"/>
      <c r="J808" s="21"/>
    </row>
    <row r="809" spans="7:10" x14ac:dyDescent="0.2">
      <c r="G809" s="21"/>
      <c r="H809" s="21"/>
      <c r="I809" s="23"/>
      <c r="J809" s="21"/>
    </row>
    <row r="810" spans="7:10" x14ac:dyDescent="0.2">
      <c r="G810" s="21"/>
      <c r="H810" s="21"/>
      <c r="I810" s="23"/>
      <c r="J810" s="21"/>
    </row>
    <row r="811" spans="7:10" x14ac:dyDescent="0.2">
      <c r="G811" s="21"/>
      <c r="H811" s="21"/>
      <c r="I811" s="23"/>
      <c r="J811" s="21"/>
    </row>
    <row r="812" spans="7:10" x14ac:dyDescent="0.2">
      <c r="G812" s="21"/>
      <c r="H812" s="21"/>
      <c r="I812" s="23"/>
      <c r="J812" s="21"/>
    </row>
    <row r="813" spans="7:10" x14ac:dyDescent="0.2">
      <c r="G813" s="21"/>
      <c r="H813" s="21"/>
      <c r="I813" s="23"/>
      <c r="J813" s="21"/>
    </row>
    <row r="814" spans="7:10" x14ac:dyDescent="0.2">
      <c r="G814" s="21"/>
      <c r="H814" s="21"/>
      <c r="I814" s="23"/>
      <c r="J814" s="21"/>
    </row>
    <row r="815" spans="7:10" x14ac:dyDescent="0.2">
      <c r="G815" s="21"/>
      <c r="H815" s="21"/>
      <c r="I815" s="23"/>
      <c r="J815" s="21"/>
    </row>
    <row r="816" spans="7:10" x14ac:dyDescent="0.2">
      <c r="G816" s="21"/>
      <c r="H816" s="21"/>
      <c r="I816" s="23"/>
      <c r="J816" s="21"/>
    </row>
    <row r="817" spans="7:10" x14ac:dyDescent="0.2">
      <c r="G817" s="21"/>
      <c r="H817" s="21"/>
      <c r="I817" s="23"/>
      <c r="J817" s="21"/>
    </row>
    <row r="818" spans="7:10" x14ac:dyDescent="0.2">
      <c r="G818" s="21"/>
      <c r="H818" s="21"/>
      <c r="I818" s="23"/>
      <c r="J818" s="21"/>
    </row>
    <row r="819" spans="7:10" x14ac:dyDescent="0.2">
      <c r="G819" s="21"/>
      <c r="H819" s="21"/>
      <c r="I819" s="23"/>
      <c r="J819" s="21"/>
    </row>
    <row r="820" spans="7:10" x14ac:dyDescent="0.2">
      <c r="G820" s="21"/>
      <c r="H820" s="21"/>
      <c r="I820" s="23"/>
      <c r="J820" s="21"/>
    </row>
    <row r="821" spans="7:10" x14ac:dyDescent="0.2">
      <c r="G821" s="21"/>
      <c r="H821" s="21"/>
      <c r="I821" s="23"/>
      <c r="J821" s="21"/>
    </row>
    <row r="822" spans="7:10" x14ac:dyDescent="0.2">
      <c r="G822" s="21"/>
      <c r="H822" s="21"/>
      <c r="I822" s="23"/>
      <c r="J822" s="21"/>
    </row>
    <row r="823" spans="7:10" x14ac:dyDescent="0.2">
      <c r="G823" s="21"/>
      <c r="H823" s="21"/>
      <c r="I823" s="23"/>
      <c r="J823" s="21"/>
    </row>
    <row r="824" spans="7:10" x14ac:dyDescent="0.2">
      <c r="G824" s="21"/>
      <c r="H824" s="21"/>
      <c r="I824" s="23"/>
      <c r="J824" s="21"/>
    </row>
    <row r="825" spans="7:10" x14ac:dyDescent="0.2">
      <c r="G825" s="21"/>
      <c r="H825" s="21"/>
      <c r="I825" s="23"/>
      <c r="J825" s="21"/>
    </row>
    <row r="826" spans="7:10" x14ac:dyDescent="0.2">
      <c r="G826" s="21"/>
      <c r="H826" s="21"/>
      <c r="I826" s="23"/>
      <c r="J826" s="21"/>
    </row>
    <row r="827" spans="7:10" x14ac:dyDescent="0.2">
      <c r="G827" s="21"/>
      <c r="H827" s="21"/>
      <c r="I827" s="23"/>
      <c r="J827" s="21"/>
    </row>
    <row r="828" spans="7:10" x14ac:dyDescent="0.2">
      <c r="G828" s="21"/>
      <c r="H828" s="21"/>
      <c r="I828" s="23"/>
      <c r="J828" s="21"/>
    </row>
    <row r="829" spans="7:10" x14ac:dyDescent="0.2">
      <c r="G829" s="21"/>
      <c r="H829" s="21"/>
      <c r="I829" s="23"/>
      <c r="J829" s="21"/>
    </row>
    <row r="830" spans="7:10" x14ac:dyDescent="0.2">
      <c r="G830" s="21"/>
      <c r="H830" s="21"/>
      <c r="I830" s="23"/>
      <c r="J830" s="21"/>
    </row>
    <row r="831" spans="7:10" x14ac:dyDescent="0.2">
      <c r="G831" s="21"/>
      <c r="H831" s="21"/>
      <c r="I831" s="23"/>
      <c r="J831" s="21"/>
    </row>
    <row r="832" spans="7:10" x14ac:dyDescent="0.2">
      <c r="G832" s="21"/>
      <c r="H832" s="21"/>
      <c r="I832" s="23"/>
      <c r="J832" s="21"/>
    </row>
    <row r="833" spans="7:10" x14ac:dyDescent="0.2">
      <c r="G833" s="21"/>
      <c r="H833" s="21"/>
      <c r="I833" s="23"/>
      <c r="J833" s="21"/>
    </row>
    <row r="834" spans="7:10" x14ac:dyDescent="0.2">
      <c r="G834" s="21"/>
      <c r="H834" s="21"/>
      <c r="I834" s="23"/>
      <c r="J834" s="21"/>
    </row>
    <row r="835" spans="7:10" x14ac:dyDescent="0.2">
      <c r="G835" s="21"/>
      <c r="H835" s="21"/>
      <c r="I835" s="23"/>
      <c r="J835" s="21"/>
    </row>
    <row r="836" spans="7:10" x14ac:dyDescent="0.2">
      <c r="G836" s="21"/>
      <c r="H836" s="21"/>
      <c r="I836" s="23"/>
      <c r="J836" s="21"/>
    </row>
    <row r="837" spans="7:10" x14ac:dyDescent="0.2">
      <c r="G837" s="21"/>
      <c r="H837" s="21"/>
      <c r="I837" s="23"/>
      <c r="J837" s="21"/>
    </row>
    <row r="838" spans="7:10" x14ac:dyDescent="0.2">
      <c r="G838" s="21"/>
      <c r="H838" s="21"/>
      <c r="I838" s="23"/>
      <c r="J838" s="21"/>
    </row>
    <row r="839" spans="7:10" x14ac:dyDescent="0.2">
      <c r="G839" s="21"/>
      <c r="H839" s="21"/>
      <c r="I839" s="23"/>
      <c r="J839" s="21"/>
    </row>
    <row r="840" spans="7:10" x14ac:dyDescent="0.2">
      <c r="G840" s="21"/>
      <c r="H840" s="21"/>
      <c r="I840" s="23"/>
      <c r="J840" s="21"/>
    </row>
    <row r="841" spans="7:10" x14ac:dyDescent="0.2">
      <c r="G841" s="21"/>
      <c r="H841" s="21"/>
      <c r="I841" s="23"/>
      <c r="J841" s="21"/>
    </row>
    <row r="842" spans="7:10" x14ac:dyDescent="0.2">
      <c r="G842" s="21"/>
      <c r="H842" s="21"/>
      <c r="I842" s="23"/>
      <c r="J842" s="21"/>
    </row>
    <row r="843" spans="7:10" x14ac:dyDescent="0.2">
      <c r="G843" s="21"/>
      <c r="H843" s="21"/>
      <c r="I843" s="23"/>
      <c r="J843" s="21"/>
    </row>
    <row r="844" spans="7:10" x14ac:dyDescent="0.2">
      <c r="G844" s="21"/>
      <c r="H844" s="21"/>
      <c r="I844" s="23"/>
      <c r="J844" s="21"/>
    </row>
    <row r="845" spans="7:10" x14ac:dyDescent="0.2">
      <c r="G845" s="21"/>
      <c r="H845" s="21"/>
      <c r="I845" s="23"/>
      <c r="J845" s="21"/>
    </row>
    <row r="846" spans="7:10" x14ac:dyDescent="0.2">
      <c r="G846" s="21"/>
      <c r="H846" s="21"/>
      <c r="I846" s="23"/>
      <c r="J846" s="21"/>
    </row>
    <row r="847" spans="7:10" x14ac:dyDescent="0.2">
      <c r="G847" s="21"/>
      <c r="H847" s="21"/>
      <c r="I847" s="23"/>
      <c r="J847" s="21"/>
    </row>
    <row r="848" spans="7:10" x14ac:dyDescent="0.2">
      <c r="G848" s="21"/>
      <c r="H848" s="21"/>
      <c r="I848" s="23"/>
      <c r="J848" s="21"/>
    </row>
    <row r="849" spans="7:10" x14ac:dyDescent="0.2">
      <c r="G849" s="21"/>
      <c r="H849" s="21"/>
      <c r="I849" s="23"/>
      <c r="J849" s="21"/>
    </row>
    <row r="850" spans="7:10" x14ac:dyDescent="0.2">
      <c r="G850" s="21"/>
      <c r="H850" s="21"/>
      <c r="I850" s="23"/>
      <c r="J850" s="21"/>
    </row>
    <row r="851" spans="7:10" x14ac:dyDescent="0.2">
      <c r="G851" s="21"/>
      <c r="H851" s="21"/>
      <c r="I851" s="23"/>
      <c r="J851" s="21"/>
    </row>
    <row r="852" spans="7:10" x14ac:dyDescent="0.2">
      <c r="G852" s="21"/>
      <c r="H852" s="21"/>
      <c r="I852" s="23"/>
      <c r="J852" s="21"/>
    </row>
    <row r="853" spans="7:10" x14ac:dyDescent="0.2">
      <c r="G853" s="21"/>
      <c r="H853" s="21"/>
      <c r="I853" s="23"/>
      <c r="J853" s="21"/>
    </row>
    <row r="854" spans="7:10" x14ac:dyDescent="0.2">
      <c r="G854" s="21"/>
      <c r="H854" s="21"/>
      <c r="I854" s="23"/>
      <c r="J854" s="21"/>
    </row>
    <row r="855" spans="7:10" x14ac:dyDescent="0.2">
      <c r="G855" s="21"/>
      <c r="H855" s="21"/>
      <c r="I855" s="23"/>
      <c r="J855" s="21"/>
    </row>
    <row r="856" spans="7:10" x14ac:dyDescent="0.2">
      <c r="G856" s="21"/>
      <c r="H856" s="21"/>
      <c r="I856" s="23"/>
      <c r="J856" s="21"/>
    </row>
    <row r="857" spans="7:10" x14ac:dyDescent="0.2">
      <c r="G857" s="21"/>
      <c r="H857" s="21"/>
      <c r="I857" s="23"/>
      <c r="J857" s="21"/>
    </row>
    <row r="858" spans="7:10" x14ac:dyDescent="0.2">
      <c r="G858" s="21"/>
      <c r="H858" s="21"/>
      <c r="I858" s="23"/>
      <c r="J858" s="21"/>
    </row>
    <row r="859" spans="7:10" x14ac:dyDescent="0.2">
      <c r="G859" s="21"/>
      <c r="H859" s="21"/>
      <c r="I859" s="23"/>
      <c r="J859" s="21"/>
    </row>
    <row r="860" spans="7:10" x14ac:dyDescent="0.2">
      <c r="G860" s="21"/>
      <c r="H860" s="21"/>
      <c r="I860" s="23"/>
      <c r="J860" s="21"/>
    </row>
    <row r="861" spans="7:10" x14ac:dyDescent="0.2">
      <c r="G861" s="21"/>
      <c r="H861" s="21"/>
      <c r="I861" s="23"/>
      <c r="J861" s="21"/>
    </row>
    <row r="862" spans="7:10" x14ac:dyDescent="0.2">
      <c r="G862" s="21"/>
      <c r="H862" s="21"/>
      <c r="I862" s="23"/>
      <c r="J862" s="21"/>
    </row>
    <row r="863" spans="7:10" x14ac:dyDescent="0.2">
      <c r="G863" s="21"/>
      <c r="H863" s="21"/>
      <c r="I863" s="23"/>
      <c r="J863" s="21"/>
    </row>
    <row r="864" spans="7:10" x14ac:dyDescent="0.2">
      <c r="G864" s="21"/>
      <c r="H864" s="21"/>
      <c r="I864" s="23"/>
      <c r="J864" s="21"/>
    </row>
    <row r="865" spans="7:10" x14ac:dyDescent="0.2">
      <c r="G865" s="21"/>
      <c r="H865" s="21"/>
      <c r="I865" s="23"/>
      <c r="J865" s="21"/>
    </row>
    <row r="866" spans="7:10" x14ac:dyDescent="0.2">
      <c r="G866" s="21"/>
      <c r="H866" s="21"/>
      <c r="I866" s="23"/>
      <c r="J866" s="21"/>
    </row>
    <row r="867" spans="7:10" x14ac:dyDescent="0.2">
      <c r="G867" s="21"/>
      <c r="H867" s="21"/>
      <c r="I867" s="23"/>
      <c r="J867" s="21"/>
    </row>
    <row r="868" spans="7:10" x14ac:dyDescent="0.2">
      <c r="G868" s="21"/>
      <c r="H868" s="21"/>
      <c r="I868" s="23"/>
      <c r="J868" s="21"/>
    </row>
    <row r="869" spans="7:10" x14ac:dyDescent="0.2">
      <c r="G869" s="21"/>
      <c r="H869" s="21"/>
      <c r="I869" s="23"/>
      <c r="J869" s="21"/>
    </row>
    <row r="870" spans="7:10" x14ac:dyDescent="0.2">
      <c r="G870" s="21"/>
      <c r="H870" s="21"/>
      <c r="I870" s="23"/>
      <c r="J870" s="21"/>
    </row>
    <row r="871" spans="7:10" x14ac:dyDescent="0.2">
      <c r="G871" s="21"/>
      <c r="H871" s="21"/>
      <c r="I871" s="23"/>
      <c r="J871" s="21"/>
    </row>
    <row r="872" spans="7:10" x14ac:dyDescent="0.2">
      <c r="G872" s="21"/>
      <c r="H872" s="21"/>
      <c r="I872" s="23"/>
      <c r="J872" s="21"/>
    </row>
    <row r="873" spans="7:10" x14ac:dyDescent="0.2">
      <c r="G873" s="21"/>
      <c r="H873" s="21"/>
      <c r="I873" s="23"/>
      <c r="J873" s="21"/>
    </row>
    <row r="874" spans="7:10" x14ac:dyDescent="0.2">
      <c r="G874" s="21"/>
      <c r="H874" s="21"/>
      <c r="I874" s="23"/>
      <c r="J874" s="21"/>
    </row>
    <row r="875" spans="7:10" x14ac:dyDescent="0.2">
      <c r="G875" s="21"/>
      <c r="H875" s="21"/>
      <c r="I875" s="23"/>
      <c r="J875" s="21"/>
    </row>
    <row r="876" spans="7:10" x14ac:dyDescent="0.2">
      <c r="G876" s="21"/>
      <c r="H876" s="21"/>
      <c r="I876" s="23"/>
      <c r="J876" s="21"/>
    </row>
    <row r="877" spans="7:10" x14ac:dyDescent="0.2">
      <c r="G877" s="21"/>
      <c r="H877" s="21"/>
      <c r="I877" s="23"/>
      <c r="J877" s="21"/>
    </row>
    <row r="878" spans="7:10" x14ac:dyDescent="0.2">
      <c r="G878" s="21"/>
      <c r="H878" s="21"/>
      <c r="I878" s="23"/>
      <c r="J878" s="21"/>
    </row>
    <row r="879" spans="7:10" x14ac:dyDescent="0.2">
      <c r="G879" s="21"/>
      <c r="H879" s="21"/>
      <c r="I879" s="23"/>
      <c r="J879" s="21"/>
    </row>
    <row r="880" spans="7:10" x14ac:dyDescent="0.2">
      <c r="G880" s="21"/>
      <c r="H880" s="21"/>
      <c r="I880" s="23"/>
      <c r="J880" s="21"/>
    </row>
    <row r="881" spans="7:10" x14ac:dyDescent="0.2">
      <c r="G881" s="21"/>
      <c r="H881" s="21"/>
      <c r="I881" s="23"/>
      <c r="J881" s="21"/>
    </row>
    <row r="882" spans="7:10" x14ac:dyDescent="0.2">
      <c r="G882" s="21"/>
      <c r="H882" s="21"/>
      <c r="I882" s="23"/>
      <c r="J882" s="21"/>
    </row>
    <row r="883" spans="7:10" x14ac:dyDescent="0.2">
      <c r="G883" s="21"/>
      <c r="H883" s="21"/>
      <c r="I883" s="23"/>
      <c r="J883" s="21"/>
    </row>
    <row r="884" spans="7:10" x14ac:dyDescent="0.2">
      <c r="G884" s="21"/>
      <c r="H884" s="21"/>
      <c r="I884" s="23"/>
      <c r="J884" s="21"/>
    </row>
    <row r="885" spans="7:10" x14ac:dyDescent="0.2">
      <c r="G885" s="21"/>
      <c r="H885" s="21"/>
      <c r="I885" s="23"/>
      <c r="J885" s="21"/>
    </row>
    <row r="886" spans="7:10" x14ac:dyDescent="0.2">
      <c r="G886" s="21"/>
      <c r="H886" s="21"/>
      <c r="I886" s="23"/>
      <c r="J886" s="21"/>
    </row>
    <row r="887" spans="7:10" x14ac:dyDescent="0.2">
      <c r="G887" s="21"/>
      <c r="H887" s="21"/>
      <c r="I887" s="23"/>
      <c r="J887" s="21"/>
    </row>
    <row r="888" spans="7:10" x14ac:dyDescent="0.2">
      <c r="G888" s="21"/>
      <c r="H888" s="21"/>
      <c r="I888" s="23"/>
      <c r="J888" s="21"/>
    </row>
    <row r="889" spans="7:10" x14ac:dyDescent="0.2">
      <c r="G889" s="21"/>
      <c r="H889" s="21"/>
      <c r="I889" s="23"/>
      <c r="J889" s="21"/>
    </row>
    <row r="890" spans="7:10" x14ac:dyDescent="0.2">
      <c r="G890" s="21"/>
      <c r="H890" s="21"/>
      <c r="I890" s="23"/>
      <c r="J890" s="21"/>
    </row>
    <row r="891" spans="7:10" x14ac:dyDescent="0.2">
      <c r="G891" s="21"/>
      <c r="H891" s="21"/>
      <c r="I891" s="23"/>
      <c r="J891" s="21"/>
    </row>
    <row r="892" spans="7:10" x14ac:dyDescent="0.2">
      <c r="G892" s="21"/>
      <c r="H892" s="21"/>
      <c r="I892" s="23"/>
      <c r="J892" s="21"/>
    </row>
    <row r="893" spans="7:10" x14ac:dyDescent="0.2">
      <c r="G893" s="21"/>
      <c r="H893" s="21"/>
      <c r="I893" s="23"/>
      <c r="J893" s="21"/>
    </row>
    <row r="894" spans="7:10" x14ac:dyDescent="0.2">
      <c r="G894" s="21"/>
      <c r="H894" s="21"/>
      <c r="I894" s="23"/>
      <c r="J894" s="21"/>
    </row>
    <row r="895" spans="7:10" x14ac:dyDescent="0.2">
      <c r="G895" s="21"/>
      <c r="H895" s="21"/>
      <c r="I895" s="23"/>
      <c r="J895" s="21"/>
    </row>
    <row r="896" spans="7:10" x14ac:dyDescent="0.2">
      <c r="G896" s="21"/>
      <c r="H896" s="21"/>
      <c r="I896" s="23"/>
      <c r="J896" s="21"/>
    </row>
    <row r="897" spans="7:10" x14ac:dyDescent="0.2">
      <c r="G897" s="21"/>
      <c r="H897" s="21"/>
      <c r="I897" s="23"/>
      <c r="J897" s="21"/>
    </row>
    <row r="898" spans="7:10" x14ac:dyDescent="0.2">
      <c r="G898" s="21"/>
      <c r="H898" s="21"/>
      <c r="I898" s="23"/>
      <c r="J898" s="21"/>
    </row>
    <row r="899" spans="7:10" x14ac:dyDescent="0.2">
      <c r="G899" s="21"/>
      <c r="H899" s="21"/>
      <c r="I899" s="23"/>
      <c r="J899" s="21"/>
    </row>
    <row r="900" spans="7:10" x14ac:dyDescent="0.2">
      <c r="G900" s="21"/>
      <c r="H900" s="21"/>
      <c r="I900" s="23"/>
      <c r="J900" s="21"/>
    </row>
    <row r="901" spans="7:10" x14ac:dyDescent="0.2">
      <c r="G901" s="21"/>
      <c r="H901" s="21"/>
      <c r="I901" s="23"/>
      <c r="J901" s="21"/>
    </row>
    <row r="902" spans="7:10" x14ac:dyDescent="0.2">
      <c r="G902" s="21"/>
      <c r="H902" s="21"/>
      <c r="I902" s="23"/>
      <c r="J902" s="21"/>
    </row>
    <row r="903" spans="7:10" x14ac:dyDescent="0.2">
      <c r="G903" s="21"/>
      <c r="H903" s="21"/>
      <c r="I903" s="23"/>
      <c r="J903" s="21"/>
    </row>
    <row r="904" spans="7:10" x14ac:dyDescent="0.2">
      <c r="G904" s="21"/>
      <c r="H904" s="21"/>
      <c r="I904" s="23"/>
      <c r="J904" s="21"/>
    </row>
    <row r="905" spans="7:10" x14ac:dyDescent="0.2">
      <c r="G905" s="21"/>
      <c r="H905" s="21"/>
      <c r="I905" s="23"/>
      <c r="J905" s="21"/>
    </row>
    <row r="906" spans="7:10" x14ac:dyDescent="0.2">
      <c r="G906" s="21"/>
      <c r="H906" s="21"/>
      <c r="I906" s="23"/>
      <c r="J906" s="21"/>
    </row>
    <row r="907" spans="7:10" x14ac:dyDescent="0.2">
      <c r="G907" s="21"/>
      <c r="H907" s="21"/>
      <c r="I907" s="23"/>
      <c r="J907" s="21"/>
    </row>
    <row r="908" spans="7:10" x14ac:dyDescent="0.2">
      <c r="G908" s="21"/>
      <c r="H908" s="21"/>
      <c r="I908" s="23"/>
      <c r="J908" s="21"/>
    </row>
    <row r="909" spans="7:10" x14ac:dyDescent="0.2">
      <c r="G909" s="21"/>
      <c r="H909" s="21"/>
      <c r="I909" s="23"/>
      <c r="J909" s="21"/>
    </row>
    <row r="910" spans="7:10" x14ac:dyDescent="0.2">
      <c r="G910" s="21"/>
      <c r="H910" s="21"/>
      <c r="I910" s="23"/>
      <c r="J910" s="21"/>
    </row>
    <row r="911" spans="7:10" x14ac:dyDescent="0.2">
      <c r="G911" s="21"/>
      <c r="H911" s="21"/>
      <c r="I911" s="23"/>
      <c r="J911" s="21"/>
    </row>
    <row r="912" spans="7:10" x14ac:dyDescent="0.2">
      <c r="G912" s="21"/>
      <c r="H912" s="21"/>
      <c r="I912" s="23"/>
      <c r="J912" s="21"/>
    </row>
    <row r="913" spans="7:10" x14ac:dyDescent="0.2">
      <c r="G913" s="21"/>
      <c r="H913" s="21"/>
      <c r="I913" s="23"/>
      <c r="J913" s="21"/>
    </row>
    <row r="914" spans="7:10" x14ac:dyDescent="0.2">
      <c r="G914" s="21"/>
      <c r="H914" s="21"/>
      <c r="I914" s="23"/>
      <c r="J914" s="21"/>
    </row>
    <row r="915" spans="7:10" x14ac:dyDescent="0.2">
      <c r="G915" s="21"/>
      <c r="H915" s="21"/>
      <c r="I915" s="23"/>
      <c r="J915" s="21"/>
    </row>
    <row r="916" spans="7:10" x14ac:dyDescent="0.2">
      <c r="G916" s="21"/>
      <c r="H916" s="21"/>
      <c r="I916" s="23"/>
      <c r="J916" s="21"/>
    </row>
    <row r="917" spans="7:10" x14ac:dyDescent="0.2">
      <c r="G917" s="21"/>
      <c r="H917" s="21"/>
      <c r="I917" s="23"/>
      <c r="J917" s="21"/>
    </row>
    <row r="918" spans="7:10" x14ac:dyDescent="0.2">
      <c r="G918" s="21"/>
      <c r="H918" s="21"/>
      <c r="I918" s="23"/>
      <c r="J918" s="21"/>
    </row>
    <row r="919" spans="7:10" x14ac:dyDescent="0.2">
      <c r="G919" s="21"/>
      <c r="H919" s="21"/>
      <c r="I919" s="23"/>
      <c r="J919" s="21"/>
    </row>
    <row r="920" spans="7:10" x14ac:dyDescent="0.2">
      <c r="G920" s="21"/>
      <c r="H920" s="21"/>
      <c r="I920" s="23"/>
      <c r="J920" s="21"/>
    </row>
    <row r="921" spans="7:10" x14ac:dyDescent="0.2">
      <c r="G921" s="21"/>
      <c r="H921" s="21"/>
      <c r="I921" s="23"/>
      <c r="J921" s="21"/>
    </row>
    <row r="922" spans="7:10" x14ac:dyDescent="0.2">
      <c r="G922" s="21"/>
      <c r="H922" s="21"/>
      <c r="I922" s="23"/>
      <c r="J922" s="21"/>
    </row>
    <row r="923" spans="7:10" x14ac:dyDescent="0.2">
      <c r="G923" s="21"/>
      <c r="H923" s="21"/>
      <c r="I923" s="23"/>
      <c r="J923" s="21"/>
    </row>
    <row r="924" spans="7:10" x14ac:dyDescent="0.2">
      <c r="G924" s="21"/>
      <c r="H924" s="21"/>
      <c r="I924" s="23"/>
      <c r="J924" s="21"/>
    </row>
    <row r="925" spans="7:10" x14ac:dyDescent="0.2">
      <c r="G925" s="21"/>
      <c r="H925" s="21"/>
      <c r="I925" s="23"/>
      <c r="J925" s="21"/>
    </row>
    <row r="926" spans="7:10" x14ac:dyDescent="0.2">
      <c r="G926" s="21"/>
      <c r="H926" s="21"/>
      <c r="I926" s="23"/>
      <c r="J926" s="21"/>
    </row>
    <row r="927" spans="7:10" x14ac:dyDescent="0.2">
      <c r="G927" s="21"/>
      <c r="H927" s="21"/>
      <c r="I927" s="23"/>
      <c r="J927" s="21"/>
    </row>
    <row r="928" spans="7:10" x14ac:dyDescent="0.2">
      <c r="G928" s="21"/>
      <c r="H928" s="21"/>
      <c r="I928" s="23"/>
      <c r="J928" s="21"/>
    </row>
    <row r="929" spans="7:10" x14ac:dyDescent="0.2">
      <c r="G929" s="21"/>
      <c r="H929" s="21"/>
      <c r="I929" s="23"/>
      <c r="J929" s="21"/>
    </row>
    <row r="930" spans="7:10" x14ac:dyDescent="0.2">
      <c r="G930" s="21"/>
      <c r="H930" s="21"/>
      <c r="I930" s="23"/>
      <c r="J930" s="21"/>
    </row>
    <row r="931" spans="7:10" x14ac:dyDescent="0.2">
      <c r="G931" s="21"/>
      <c r="H931" s="21"/>
      <c r="I931" s="23"/>
      <c r="J931" s="21"/>
    </row>
    <row r="932" spans="7:10" x14ac:dyDescent="0.2">
      <c r="G932" s="21"/>
      <c r="H932" s="21"/>
      <c r="I932" s="23"/>
      <c r="J932" s="21"/>
    </row>
    <row r="933" spans="7:10" x14ac:dyDescent="0.2">
      <c r="G933" s="21"/>
      <c r="H933" s="21"/>
      <c r="I933" s="23"/>
      <c r="J933" s="21"/>
    </row>
    <row r="934" spans="7:10" x14ac:dyDescent="0.2">
      <c r="G934" s="21"/>
      <c r="H934" s="21"/>
      <c r="I934" s="23"/>
      <c r="J934" s="21"/>
    </row>
    <row r="935" spans="7:10" x14ac:dyDescent="0.2">
      <c r="G935" s="21"/>
      <c r="H935" s="21"/>
      <c r="I935" s="23"/>
      <c r="J935" s="21"/>
    </row>
    <row r="936" spans="7:10" x14ac:dyDescent="0.2">
      <c r="G936" s="21"/>
      <c r="H936" s="21"/>
      <c r="I936" s="23"/>
      <c r="J936" s="21"/>
    </row>
    <row r="937" spans="7:10" x14ac:dyDescent="0.2">
      <c r="G937" s="21"/>
      <c r="H937" s="21"/>
      <c r="I937" s="23"/>
      <c r="J937" s="21"/>
    </row>
    <row r="938" spans="7:10" x14ac:dyDescent="0.2">
      <c r="G938" s="21"/>
      <c r="H938" s="21"/>
      <c r="I938" s="23"/>
      <c r="J938" s="21"/>
    </row>
    <row r="939" spans="7:10" x14ac:dyDescent="0.2">
      <c r="G939" s="21"/>
      <c r="H939" s="21"/>
      <c r="I939" s="23"/>
      <c r="J939" s="21"/>
    </row>
    <row r="940" spans="7:10" x14ac:dyDescent="0.2">
      <c r="G940" s="21"/>
      <c r="H940" s="21"/>
      <c r="I940" s="23"/>
      <c r="J940" s="21"/>
    </row>
    <row r="941" spans="7:10" x14ac:dyDescent="0.2">
      <c r="G941" s="21"/>
      <c r="H941" s="21"/>
      <c r="I941" s="23"/>
      <c r="J941" s="21"/>
    </row>
    <row r="942" spans="7:10" x14ac:dyDescent="0.2">
      <c r="G942" s="21"/>
      <c r="H942" s="21"/>
      <c r="I942" s="23"/>
      <c r="J942" s="21"/>
    </row>
    <row r="943" spans="7:10" x14ac:dyDescent="0.2">
      <c r="G943" s="21"/>
      <c r="H943" s="21"/>
      <c r="I943" s="23"/>
      <c r="J943" s="21"/>
    </row>
    <row r="944" spans="7:10" x14ac:dyDescent="0.2">
      <c r="G944" s="21"/>
      <c r="H944" s="21"/>
      <c r="I944" s="23"/>
      <c r="J944" s="21"/>
    </row>
    <row r="945" spans="7:10" x14ac:dyDescent="0.2">
      <c r="G945" s="21"/>
      <c r="H945" s="21"/>
      <c r="I945" s="23"/>
      <c r="J945" s="21"/>
    </row>
    <row r="946" spans="7:10" x14ac:dyDescent="0.2">
      <c r="G946" s="21"/>
      <c r="H946" s="21"/>
      <c r="I946" s="23"/>
      <c r="J946" s="21"/>
    </row>
    <row r="947" spans="7:10" x14ac:dyDescent="0.2">
      <c r="G947" s="21"/>
      <c r="H947" s="21"/>
      <c r="I947" s="23"/>
      <c r="J947" s="21"/>
    </row>
    <row r="948" spans="7:10" x14ac:dyDescent="0.2">
      <c r="G948" s="21"/>
      <c r="H948" s="21"/>
      <c r="I948" s="23"/>
      <c r="J948" s="21"/>
    </row>
    <row r="949" spans="7:10" x14ac:dyDescent="0.2">
      <c r="G949" s="21"/>
      <c r="H949" s="21"/>
      <c r="I949" s="23"/>
      <c r="J949" s="21"/>
    </row>
    <row r="950" spans="7:10" x14ac:dyDescent="0.2">
      <c r="G950" s="21"/>
      <c r="H950" s="21"/>
      <c r="I950" s="23"/>
      <c r="J950" s="21"/>
    </row>
    <row r="951" spans="7:10" x14ac:dyDescent="0.2">
      <c r="G951" s="21"/>
      <c r="H951" s="21"/>
      <c r="I951" s="23"/>
      <c r="J951" s="21"/>
    </row>
    <row r="952" spans="7:10" x14ac:dyDescent="0.2">
      <c r="G952" s="21"/>
      <c r="H952" s="21"/>
      <c r="I952" s="23"/>
      <c r="J952" s="21"/>
    </row>
    <row r="953" spans="7:10" x14ac:dyDescent="0.2">
      <c r="G953" s="21"/>
      <c r="H953" s="21"/>
      <c r="I953" s="23"/>
      <c r="J953" s="21"/>
    </row>
    <row r="954" spans="7:10" x14ac:dyDescent="0.2">
      <c r="G954" s="21"/>
      <c r="H954" s="21"/>
      <c r="I954" s="23"/>
      <c r="J954" s="21"/>
    </row>
    <row r="955" spans="7:10" x14ac:dyDescent="0.2">
      <c r="G955" s="21"/>
      <c r="H955" s="21"/>
      <c r="I955" s="23"/>
      <c r="J955" s="21"/>
    </row>
    <row r="956" spans="7:10" x14ac:dyDescent="0.2">
      <c r="G956" s="21"/>
      <c r="H956" s="21"/>
      <c r="I956" s="23"/>
      <c r="J956" s="21"/>
    </row>
    <row r="957" spans="7:10" x14ac:dyDescent="0.2">
      <c r="G957" s="21"/>
      <c r="H957" s="21"/>
      <c r="I957" s="23"/>
      <c r="J957" s="21"/>
    </row>
    <row r="958" spans="7:10" x14ac:dyDescent="0.2">
      <c r="G958" s="21"/>
      <c r="H958" s="21"/>
      <c r="I958" s="23"/>
      <c r="J958" s="21"/>
    </row>
    <row r="959" spans="7:10" x14ac:dyDescent="0.2">
      <c r="G959" s="21"/>
      <c r="H959" s="21"/>
      <c r="I959" s="23"/>
      <c r="J959" s="21"/>
    </row>
    <row r="960" spans="7:10" x14ac:dyDescent="0.2">
      <c r="G960" s="21"/>
      <c r="H960" s="21"/>
      <c r="I960" s="23"/>
      <c r="J960" s="21"/>
    </row>
    <row r="961" spans="7:10" x14ac:dyDescent="0.2">
      <c r="G961" s="21"/>
      <c r="H961" s="21"/>
      <c r="I961" s="23"/>
      <c r="J961" s="21"/>
    </row>
    <row r="962" spans="7:10" x14ac:dyDescent="0.2">
      <c r="G962" s="21"/>
      <c r="H962" s="21"/>
      <c r="I962" s="23"/>
      <c r="J962" s="21"/>
    </row>
    <row r="963" spans="7:10" x14ac:dyDescent="0.2">
      <c r="G963" s="21"/>
      <c r="H963" s="21"/>
      <c r="I963" s="23"/>
      <c r="J963" s="21"/>
    </row>
    <row r="964" spans="7:10" x14ac:dyDescent="0.2">
      <c r="G964" s="21"/>
      <c r="H964" s="21"/>
      <c r="I964" s="23"/>
      <c r="J964" s="21"/>
    </row>
    <row r="965" spans="7:10" x14ac:dyDescent="0.2">
      <c r="G965" s="21"/>
      <c r="H965" s="21"/>
      <c r="I965" s="23"/>
      <c r="J965" s="21"/>
    </row>
    <row r="966" spans="7:10" x14ac:dyDescent="0.2">
      <c r="G966" s="21"/>
      <c r="H966" s="21"/>
      <c r="I966" s="23"/>
      <c r="J966" s="21"/>
    </row>
    <row r="967" spans="7:10" x14ac:dyDescent="0.2">
      <c r="G967" s="21"/>
      <c r="H967" s="21"/>
      <c r="I967" s="23"/>
      <c r="J967" s="21"/>
    </row>
    <row r="968" spans="7:10" x14ac:dyDescent="0.2">
      <c r="G968" s="21"/>
      <c r="H968" s="21"/>
      <c r="I968" s="23"/>
      <c r="J968" s="21"/>
    </row>
    <row r="969" spans="7:10" x14ac:dyDescent="0.2">
      <c r="G969" s="21"/>
      <c r="H969" s="21"/>
      <c r="I969" s="23"/>
      <c r="J969" s="21"/>
    </row>
    <row r="970" spans="7:10" x14ac:dyDescent="0.2">
      <c r="G970" s="21"/>
      <c r="H970" s="21"/>
      <c r="I970" s="23"/>
      <c r="J970" s="21"/>
    </row>
    <row r="971" spans="7:10" x14ac:dyDescent="0.2">
      <c r="G971" s="21"/>
      <c r="H971" s="21"/>
      <c r="I971" s="23"/>
      <c r="J971" s="21"/>
    </row>
    <row r="972" spans="7:10" x14ac:dyDescent="0.2">
      <c r="G972" s="21"/>
      <c r="H972" s="21"/>
      <c r="I972" s="23"/>
      <c r="J972" s="21"/>
    </row>
    <row r="973" spans="7:10" x14ac:dyDescent="0.2">
      <c r="G973" s="21"/>
      <c r="H973" s="21"/>
      <c r="I973" s="23"/>
      <c r="J973" s="21"/>
    </row>
    <row r="974" spans="7:10" x14ac:dyDescent="0.2">
      <c r="G974" s="21"/>
      <c r="H974" s="21"/>
      <c r="I974" s="23"/>
      <c r="J974" s="21"/>
    </row>
    <row r="975" spans="7:10" x14ac:dyDescent="0.2">
      <c r="G975" s="21"/>
      <c r="H975" s="21"/>
      <c r="I975" s="23"/>
      <c r="J975" s="21"/>
    </row>
    <row r="976" spans="7:10" x14ac:dyDescent="0.2">
      <c r="G976" s="21"/>
      <c r="H976" s="21"/>
      <c r="I976" s="23"/>
      <c r="J976" s="21"/>
    </row>
    <row r="977" spans="7:10" x14ac:dyDescent="0.2">
      <c r="G977" s="21"/>
      <c r="H977" s="21"/>
      <c r="I977" s="23"/>
      <c r="J977" s="21"/>
    </row>
    <row r="978" spans="7:10" x14ac:dyDescent="0.2">
      <c r="G978" s="21"/>
      <c r="H978" s="21"/>
      <c r="I978" s="23"/>
      <c r="J978" s="21"/>
    </row>
    <row r="979" spans="7:10" x14ac:dyDescent="0.2">
      <c r="G979" s="21"/>
      <c r="H979" s="21"/>
      <c r="I979" s="23"/>
      <c r="J979" s="21"/>
    </row>
    <row r="980" spans="7:10" x14ac:dyDescent="0.2">
      <c r="G980" s="21"/>
      <c r="H980" s="21"/>
      <c r="I980" s="23"/>
      <c r="J980" s="21"/>
    </row>
    <row r="981" spans="7:10" x14ac:dyDescent="0.2">
      <c r="G981" s="21"/>
      <c r="H981" s="21"/>
      <c r="I981" s="23"/>
      <c r="J981" s="21"/>
    </row>
    <row r="982" spans="7:10" x14ac:dyDescent="0.2">
      <c r="G982" s="21"/>
      <c r="H982" s="21"/>
      <c r="I982" s="23"/>
      <c r="J982" s="21"/>
    </row>
    <row r="983" spans="7:10" x14ac:dyDescent="0.2">
      <c r="G983" s="21"/>
      <c r="H983" s="21"/>
      <c r="I983" s="23"/>
      <c r="J983" s="21"/>
    </row>
    <row r="984" spans="7:10" x14ac:dyDescent="0.2">
      <c r="G984" s="21"/>
      <c r="H984" s="21"/>
      <c r="I984" s="23"/>
      <c r="J984" s="21"/>
    </row>
    <row r="985" spans="7:10" x14ac:dyDescent="0.2">
      <c r="G985" s="21"/>
      <c r="H985" s="21"/>
      <c r="I985" s="23"/>
      <c r="J985" s="21"/>
    </row>
    <row r="986" spans="7:10" x14ac:dyDescent="0.2">
      <c r="G986" s="21"/>
      <c r="H986" s="21"/>
      <c r="I986" s="23"/>
      <c r="J986" s="21"/>
    </row>
    <row r="987" spans="7:10" x14ac:dyDescent="0.2">
      <c r="G987" s="21"/>
      <c r="H987" s="21"/>
      <c r="I987" s="23"/>
      <c r="J987" s="21"/>
    </row>
    <row r="988" spans="7:10" x14ac:dyDescent="0.2">
      <c r="G988" s="21"/>
      <c r="H988" s="21"/>
      <c r="I988" s="23"/>
      <c r="J988" s="21"/>
    </row>
    <row r="989" spans="7:10" x14ac:dyDescent="0.2">
      <c r="G989" s="21"/>
      <c r="H989" s="21"/>
      <c r="I989" s="23"/>
      <c r="J989" s="21"/>
    </row>
    <row r="990" spans="7:10" x14ac:dyDescent="0.2">
      <c r="G990" s="21"/>
      <c r="H990" s="21"/>
      <c r="I990" s="23"/>
      <c r="J990" s="21"/>
    </row>
    <row r="991" spans="7:10" x14ac:dyDescent="0.2">
      <c r="G991" s="21"/>
      <c r="H991" s="21"/>
      <c r="I991" s="23"/>
      <c r="J991" s="21"/>
    </row>
    <row r="992" spans="7:10" x14ac:dyDescent="0.2">
      <c r="G992" s="21"/>
      <c r="H992" s="21"/>
      <c r="I992" s="23"/>
      <c r="J992" s="21"/>
    </row>
    <row r="993" spans="7:10" x14ac:dyDescent="0.2">
      <c r="G993" s="21"/>
      <c r="H993" s="21"/>
      <c r="I993" s="23"/>
      <c r="J993" s="21"/>
    </row>
    <row r="994" spans="7:10" x14ac:dyDescent="0.2">
      <c r="G994" s="21"/>
      <c r="H994" s="21"/>
      <c r="I994" s="23"/>
      <c r="J994" s="21"/>
    </row>
    <row r="995" spans="7:10" x14ac:dyDescent="0.2">
      <c r="G995" s="21"/>
      <c r="H995" s="21"/>
      <c r="I995" s="23"/>
      <c r="J995" s="21"/>
    </row>
    <row r="996" spans="7:10" x14ac:dyDescent="0.2">
      <c r="G996" s="21"/>
      <c r="H996" s="21"/>
      <c r="I996" s="23"/>
      <c r="J996" s="21"/>
    </row>
    <row r="997" spans="7:10" x14ac:dyDescent="0.2">
      <c r="G997" s="21"/>
      <c r="H997" s="21"/>
      <c r="I997" s="23"/>
      <c r="J997" s="21"/>
    </row>
    <row r="998" spans="7:10" x14ac:dyDescent="0.2">
      <c r="G998" s="21"/>
      <c r="H998" s="21"/>
      <c r="I998" s="23"/>
      <c r="J998" s="21"/>
    </row>
    <row r="999" spans="7:10" x14ac:dyDescent="0.2">
      <c r="G999" s="21"/>
      <c r="H999" s="21"/>
      <c r="I999" s="23"/>
      <c r="J999" s="21"/>
    </row>
  </sheetData>
  <sheetProtection algorithmName="SHA-512" hashValue="fVZbzgZqU7oQcZizFhGLcCVB6y+8CePwl1+OOSiGfEaHG5j6D3uVel1BRSpzJ2CxLw6NzNyuYzARfKWq+fD8EA==" saltValue="XXDfd76j3WHr9sm6r2x0mw==" spinCount="100000"/>
  <autoFilter ref="A1:J504" xr:uid="{00000000-0009-0000-0000-000002000000}"/>
  <conditionalFormatting sqref="A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7"/>
  <sheetViews>
    <sheetView workbookViewId="0"/>
  </sheetViews>
  <sheetFormatPr baseColWidth="10" defaultColWidth="11.42578125" defaultRowHeight="12.75" x14ac:dyDescent="0.2"/>
  <cols>
    <col min="5" max="5" width="74" bestFit="1" customWidth="1"/>
    <col min="7" max="7" width="15" customWidth="1"/>
  </cols>
  <sheetData>
    <row r="1" spans="1:10" ht="15" x14ac:dyDescent="0.2">
      <c r="A1" s="24" t="s">
        <v>38</v>
      </c>
      <c r="B1" s="19" t="s">
        <v>21</v>
      </c>
      <c r="C1" s="20" t="s">
        <v>860</v>
      </c>
      <c r="D1" s="20" t="s">
        <v>861</v>
      </c>
      <c r="E1" s="20" t="s">
        <v>40</v>
      </c>
      <c r="F1" s="20" t="s">
        <v>862</v>
      </c>
      <c r="G1" s="22"/>
      <c r="H1" s="22"/>
      <c r="I1" s="22"/>
      <c r="J1" s="22"/>
    </row>
    <row r="2" spans="1:10" x14ac:dyDescent="0.2">
      <c r="A2" s="107">
        <v>940054</v>
      </c>
      <c r="B2" t="s">
        <v>21</v>
      </c>
      <c r="C2">
        <v>0</v>
      </c>
      <c r="D2" t="s">
        <v>1360</v>
      </c>
      <c r="E2" t="s">
        <v>1378</v>
      </c>
      <c r="F2" s="106" t="s">
        <v>1414</v>
      </c>
      <c r="G2" s="21" t="s">
        <v>866</v>
      </c>
      <c r="H2" s="21" t="s">
        <v>866</v>
      </c>
      <c r="I2" s="23" t="s">
        <v>866</v>
      </c>
      <c r="J2" s="21" t="s">
        <v>866</v>
      </c>
    </row>
    <row r="3" spans="1:10" x14ac:dyDescent="0.2">
      <c r="A3" s="107">
        <v>930016</v>
      </c>
      <c r="B3" t="s">
        <v>21</v>
      </c>
      <c r="C3">
        <v>0</v>
      </c>
      <c r="D3" t="s">
        <v>1360</v>
      </c>
      <c r="E3" t="s">
        <v>1242</v>
      </c>
      <c r="F3" s="106" t="s">
        <v>1414</v>
      </c>
      <c r="G3" s="21" t="s">
        <v>866</v>
      </c>
      <c r="H3" s="21" t="s">
        <v>866</v>
      </c>
      <c r="I3" s="23" t="s">
        <v>866</v>
      </c>
      <c r="J3" s="21" t="s">
        <v>866</v>
      </c>
    </row>
    <row r="4" spans="1:10" x14ac:dyDescent="0.2">
      <c r="A4" s="107">
        <v>921017</v>
      </c>
      <c r="B4" t="s">
        <v>21</v>
      </c>
      <c r="C4">
        <v>0</v>
      </c>
      <c r="D4" t="s">
        <v>1360</v>
      </c>
      <c r="E4" t="s">
        <v>1379</v>
      </c>
      <c r="F4" s="106" t="s">
        <v>1414</v>
      </c>
      <c r="G4" s="21" t="s">
        <v>866</v>
      </c>
      <c r="H4" s="21" t="s">
        <v>866</v>
      </c>
      <c r="I4" s="23" t="s">
        <v>866</v>
      </c>
      <c r="J4" s="21" t="s">
        <v>866</v>
      </c>
    </row>
    <row r="5" spans="1:10" x14ac:dyDescent="0.2">
      <c r="A5" s="107">
        <v>921009</v>
      </c>
      <c r="B5" t="s">
        <v>21</v>
      </c>
      <c r="C5">
        <v>0</v>
      </c>
      <c r="D5" t="s">
        <v>1360</v>
      </c>
      <c r="E5" t="s">
        <v>1380</v>
      </c>
      <c r="F5" s="106" t="s">
        <v>1414</v>
      </c>
      <c r="G5" s="21" t="s">
        <v>866</v>
      </c>
      <c r="H5" s="21" t="s">
        <v>866</v>
      </c>
      <c r="I5" s="23" t="s">
        <v>866</v>
      </c>
      <c r="J5" s="21" t="s">
        <v>866</v>
      </c>
    </row>
    <row r="6" spans="1:10" x14ac:dyDescent="0.2">
      <c r="A6" s="107">
        <v>920096</v>
      </c>
      <c r="B6" t="s">
        <v>21</v>
      </c>
      <c r="C6">
        <v>0</v>
      </c>
      <c r="D6" t="s">
        <v>1360</v>
      </c>
      <c r="E6" t="s">
        <v>1359</v>
      </c>
      <c r="F6" s="106" t="s">
        <v>1414</v>
      </c>
      <c r="G6" s="21" t="s">
        <v>866</v>
      </c>
      <c r="H6" s="21" t="s">
        <v>866</v>
      </c>
      <c r="I6" s="23" t="s">
        <v>866</v>
      </c>
      <c r="J6" s="21" t="s">
        <v>866</v>
      </c>
    </row>
    <row r="7" spans="1:10" x14ac:dyDescent="0.2">
      <c r="A7" s="107">
        <v>911241</v>
      </c>
      <c r="B7" t="s">
        <v>21</v>
      </c>
      <c r="C7">
        <v>0</v>
      </c>
      <c r="D7" t="s">
        <v>34</v>
      </c>
      <c r="E7" t="s">
        <v>1241</v>
      </c>
      <c r="F7" s="106" t="s">
        <v>1414</v>
      </c>
      <c r="G7" s="21" t="s">
        <v>866</v>
      </c>
      <c r="H7" s="21" t="s">
        <v>866</v>
      </c>
      <c r="I7" s="23" t="s">
        <v>866</v>
      </c>
      <c r="J7" s="21" t="s">
        <v>866</v>
      </c>
    </row>
    <row r="8" spans="1:10" x14ac:dyDescent="0.2">
      <c r="A8" s="107">
        <v>911232</v>
      </c>
      <c r="B8" t="s">
        <v>21</v>
      </c>
      <c r="C8">
        <v>0</v>
      </c>
      <c r="D8" t="s">
        <v>34</v>
      </c>
      <c r="E8" t="s">
        <v>1240</v>
      </c>
      <c r="F8" s="106" t="s">
        <v>1414</v>
      </c>
      <c r="G8" s="21" t="s">
        <v>866</v>
      </c>
      <c r="H8" s="21" t="s">
        <v>866</v>
      </c>
      <c r="I8" s="23" t="s">
        <v>866</v>
      </c>
      <c r="J8" s="21" t="s">
        <v>866</v>
      </c>
    </row>
    <row r="9" spans="1:10" x14ac:dyDescent="0.2">
      <c r="A9" s="107">
        <v>911224</v>
      </c>
      <c r="B9" t="s">
        <v>21</v>
      </c>
      <c r="C9">
        <v>0</v>
      </c>
      <c r="D9" t="s">
        <v>34</v>
      </c>
      <c r="E9" t="s">
        <v>1239</v>
      </c>
      <c r="F9" s="106" t="s">
        <v>1414</v>
      </c>
      <c r="G9" s="21" t="s">
        <v>866</v>
      </c>
      <c r="H9" s="21" t="s">
        <v>866</v>
      </c>
      <c r="I9" s="23" t="s">
        <v>866</v>
      </c>
      <c r="J9" s="21" t="s">
        <v>866</v>
      </c>
    </row>
    <row r="10" spans="1:10" x14ac:dyDescent="0.2">
      <c r="A10" s="107">
        <v>911216</v>
      </c>
      <c r="B10" t="s">
        <v>21</v>
      </c>
      <c r="C10">
        <v>0</v>
      </c>
      <c r="D10" t="s">
        <v>34</v>
      </c>
      <c r="E10" t="s">
        <v>1238</v>
      </c>
      <c r="F10" s="106" t="s">
        <v>1414</v>
      </c>
      <c r="G10" s="21" t="s">
        <v>866</v>
      </c>
      <c r="H10" s="21" t="s">
        <v>866</v>
      </c>
      <c r="I10" s="23" t="s">
        <v>866</v>
      </c>
      <c r="J10" s="21" t="s">
        <v>866</v>
      </c>
    </row>
    <row r="11" spans="1:10" x14ac:dyDescent="0.2">
      <c r="A11" s="107">
        <v>911186</v>
      </c>
      <c r="B11" t="s">
        <v>21</v>
      </c>
      <c r="C11">
        <v>0</v>
      </c>
      <c r="D11" t="s">
        <v>34</v>
      </c>
      <c r="E11" t="s">
        <v>1237</v>
      </c>
      <c r="F11" s="106" t="s">
        <v>1414</v>
      </c>
      <c r="G11" s="21" t="s">
        <v>866</v>
      </c>
      <c r="H11" s="21" t="s">
        <v>866</v>
      </c>
      <c r="I11" s="23" t="s">
        <v>866</v>
      </c>
      <c r="J11" s="21" t="s">
        <v>866</v>
      </c>
    </row>
    <row r="12" spans="1:10" x14ac:dyDescent="0.2">
      <c r="A12" s="107">
        <v>911119</v>
      </c>
      <c r="B12" t="s">
        <v>21</v>
      </c>
      <c r="C12">
        <v>0</v>
      </c>
      <c r="D12" t="s">
        <v>34</v>
      </c>
      <c r="E12" t="s">
        <v>1231</v>
      </c>
      <c r="F12" s="106" t="s">
        <v>1414</v>
      </c>
      <c r="G12" s="21" t="s">
        <v>866</v>
      </c>
      <c r="H12" s="21" t="s">
        <v>866</v>
      </c>
      <c r="I12" s="23" t="s">
        <v>866</v>
      </c>
      <c r="J12" s="21" t="s">
        <v>866</v>
      </c>
    </row>
    <row r="13" spans="1:10" x14ac:dyDescent="0.2">
      <c r="A13" s="107">
        <v>910236</v>
      </c>
      <c r="B13" t="s">
        <v>21</v>
      </c>
      <c r="C13">
        <v>0</v>
      </c>
      <c r="D13" t="s">
        <v>34</v>
      </c>
      <c r="E13" t="s">
        <v>1230</v>
      </c>
      <c r="F13" s="106" t="s">
        <v>1414</v>
      </c>
      <c r="G13" s="21" t="s">
        <v>866</v>
      </c>
      <c r="H13" s="21" t="s">
        <v>866</v>
      </c>
      <c r="I13" s="23" t="s">
        <v>866</v>
      </c>
      <c r="J13" s="21" t="s">
        <v>866</v>
      </c>
    </row>
    <row r="14" spans="1:10" x14ac:dyDescent="0.2">
      <c r="A14" s="107">
        <v>910228</v>
      </c>
      <c r="B14" t="s">
        <v>21</v>
      </c>
      <c r="C14">
        <v>0</v>
      </c>
      <c r="D14" t="s">
        <v>34</v>
      </c>
      <c r="E14" t="s">
        <v>1229</v>
      </c>
      <c r="F14" s="106" t="s">
        <v>1414</v>
      </c>
      <c r="G14" s="21" t="s">
        <v>866</v>
      </c>
      <c r="H14" s="21" t="s">
        <v>866</v>
      </c>
      <c r="I14" s="23" t="s">
        <v>866</v>
      </c>
      <c r="J14" s="21" t="s">
        <v>866</v>
      </c>
    </row>
    <row r="15" spans="1:10" x14ac:dyDescent="0.2">
      <c r="A15" s="107">
        <v>910210</v>
      </c>
      <c r="B15" t="s">
        <v>21</v>
      </c>
      <c r="C15">
        <v>0</v>
      </c>
      <c r="D15" t="s">
        <v>34</v>
      </c>
      <c r="E15" t="s">
        <v>1228</v>
      </c>
      <c r="F15" s="106" t="s">
        <v>1414</v>
      </c>
      <c r="G15" s="21" t="s">
        <v>866</v>
      </c>
      <c r="H15" s="21" t="s">
        <v>866</v>
      </c>
      <c r="I15" s="23" t="s">
        <v>866</v>
      </c>
      <c r="J15" s="21" t="s">
        <v>866</v>
      </c>
    </row>
    <row r="16" spans="1:10" x14ac:dyDescent="0.2">
      <c r="A16" s="107">
        <v>910201</v>
      </c>
      <c r="B16" t="s">
        <v>21</v>
      </c>
      <c r="C16">
        <v>0</v>
      </c>
      <c r="D16" t="s">
        <v>34</v>
      </c>
      <c r="E16" t="s">
        <v>1227</v>
      </c>
      <c r="F16" s="106" t="s">
        <v>1414</v>
      </c>
      <c r="G16" s="21" t="s">
        <v>866</v>
      </c>
      <c r="H16" s="21" t="s">
        <v>866</v>
      </c>
      <c r="I16" s="23" t="s">
        <v>866</v>
      </c>
      <c r="J16" s="21" t="s">
        <v>866</v>
      </c>
    </row>
    <row r="17" spans="1:10" x14ac:dyDescent="0.2">
      <c r="A17" s="107">
        <v>910139</v>
      </c>
      <c r="B17" t="s">
        <v>21</v>
      </c>
      <c r="C17">
        <v>0</v>
      </c>
      <c r="D17" t="s">
        <v>34</v>
      </c>
      <c r="E17" t="s">
        <v>1226</v>
      </c>
      <c r="F17" s="106" t="s">
        <v>1414</v>
      </c>
      <c r="G17" s="21" t="s">
        <v>866</v>
      </c>
      <c r="H17" s="21" t="s">
        <v>866</v>
      </c>
      <c r="I17" s="23" t="s">
        <v>866</v>
      </c>
      <c r="J17" s="21" t="s">
        <v>866</v>
      </c>
    </row>
    <row r="18" spans="1:10" x14ac:dyDescent="0.2">
      <c r="A18" s="107">
        <v>910121</v>
      </c>
      <c r="B18" t="s">
        <v>21</v>
      </c>
      <c r="C18">
        <v>0</v>
      </c>
      <c r="D18" t="s">
        <v>34</v>
      </c>
      <c r="E18" t="s">
        <v>1225</v>
      </c>
      <c r="F18" s="106" t="s">
        <v>1414</v>
      </c>
      <c r="G18" s="21" t="s">
        <v>866</v>
      </c>
      <c r="H18" s="21" t="s">
        <v>866</v>
      </c>
      <c r="I18" s="23" t="s">
        <v>866</v>
      </c>
      <c r="J18" s="21" t="s">
        <v>866</v>
      </c>
    </row>
    <row r="19" spans="1:10" x14ac:dyDescent="0.2">
      <c r="A19" s="107">
        <v>910112</v>
      </c>
      <c r="B19" t="s">
        <v>21</v>
      </c>
      <c r="C19">
        <v>0</v>
      </c>
      <c r="D19" t="s">
        <v>34</v>
      </c>
      <c r="E19" t="s">
        <v>1224</v>
      </c>
      <c r="F19" s="106" t="s">
        <v>1414</v>
      </c>
      <c r="G19" s="21" t="s">
        <v>866</v>
      </c>
      <c r="H19" s="21" t="s">
        <v>866</v>
      </c>
      <c r="I19" s="23" t="s">
        <v>866</v>
      </c>
      <c r="J19" s="21" t="s">
        <v>866</v>
      </c>
    </row>
    <row r="20" spans="1:10" x14ac:dyDescent="0.2">
      <c r="A20" s="107">
        <v>910104</v>
      </c>
      <c r="B20" t="s">
        <v>21</v>
      </c>
      <c r="C20">
        <v>0</v>
      </c>
      <c r="D20" t="s">
        <v>34</v>
      </c>
      <c r="E20" t="s">
        <v>1223</v>
      </c>
      <c r="F20" s="106" t="s">
        <v>1414</v>
      </c>
      <c r="G20" s="21" t="s">
        <v>866</v>
      </c>
      <c r="H20" s="21" t="s">
        <v>866</v>
      </c>
      <c r="I20" s="23" t="s">
        <v>866</v>
      </c>
      <c r="J20" s="21" t="s">
        <v>866</v>
      </c>
    </row>
    <row r="21" spans="1:10" x14ac:dyDescent="0.2">
      <c r="A21" s="107">
        <v>910091</v>
      </c>
      <c r="B21" t="s">
        <v>21</v>
      </c>
      <c r="C21">
        <v>0</v>
      </c>
      <c r="D21" t="s">
        <v>34</v>
      </c>
      <c r="E21" t="s">
        <v>1222</v>
      </c>
      <c r="F21" s="106" t="s">
        <v>1414</v>
      </c>
      <c r="G21" s="21" t="s">
        <v>866</v>
      </c>
      <c r="H21" s="21" t="s">
        <v>866</v>
      </c>
      <c r="I21" s="23" t="s">
        <v>866</v>
      </c>
      <c r="J21" s="21" t="s">
        <v>866</v>
      </c>
    </row>
    <row r="22" spans="1:10" x14ac:dyDescent="0.2">
      <c r="A22" s="107">
        <v>910082</v>
      </c>
      <c r="B22" t="s">
        <v>21</v>
      </c>
      <c r="C22">
        <v>0</v>
      </c>
      <c r="D22" t="s">
        <v>34</v>
      </c>
      <c r="E22" t="s">
        <v>1221</v>
      </c>
      <c r="F22" s="106" t="s">
        <v>1414</v>
      </c>
      <c r="G22" s="21" t="s">
        <v>866</v>
      </c>
      <c r="H22" s="21" t="s">
        <v>866</v>
      </c>
      <c r="I22" s="23" t="s">
        <v>866</v>
      </c>
      <c r="J22" s="21" t="s">
        <v>866</v>
      </c>
    </row>
    <row r="23" spans="1:10" x14ac:dyDescent="0.2">
      <c r="A23" s="107">
        <v>910074</v>
      </c>
      <c r="B23" t="s">
        <v>21</v>
      </c>
      <c r="C23">
        <v>0</v>
      </c>
      <c r="D23" t="s">
        <v>34</v>
      </c>
      <c r="E23" t="s">
        <v>1220</v>
      </c>
      <c r="F23" s="106" t="s">
        <v>1414</v>
      </c>
      <c r="G23" s="21" t="s">
        <v>866</v>
      </c>
      <c r="H23" s="21" t="s">
        <v>866</v>
      </c>
      <c r="I23" s="23" t="s">
        <v>866</v>
      </c>
      <c r="J23" s="21" t="s">
        <v>866</v>
      </c>
    </row>
    <row r="24" spans="1:10" x14ac:dyDescent="0.2">
      <c r="A24" s="107">
        <v>910066</v>
      </c>
      <c r="B24" t="s">
        <v>21</v>
      </c>
      <c r="C24">
        <v>0</v>
      </c>
      <c r="D24" t="s">
        <v>34</v>
      </c>
      <c r="E24" t="s">
        <v>1219</v>
      </c>
      <c r="F24" s="106" t="s">
        <v>1414</v>
      </c>
      <c r="G24" s="21" t="s">
        <v>866</v>
      </c>
      <c r="H24" s="21" t="s">
        <v>866</v>
      </c>
      <c r="I24" s="23" t="s">
        <v>866</v>
      </c>
      <c r="J24" s="21" t="s">
        <v>866</v>
      </c>
    </row>
    <row r="25" spans="1:10" x14ac:dyDescent="0.2">
      <c r="A25" s="107">
        <v>910058</v>
      </c>
      <c r="B25" t="s">
        <v>21</v>
      </c>
      <c r="C25">
        <v>0</v>
      </c>
      <c r="D25" t="s">
        <v>34</v>
      </c>
      <c r="E25" t="s">
        <v>1218</v>
      </c>
      <c r="F25" s="106" t="s">
        <v>1414</v>
      </c>
      <c r="G25" s="21" t="s">
        <v>866</v>
      </c>
      <c r="H25" s="21" t="s">
        <v>866</v>
      </c>
      <c r="I25" s="23" t="s">
        <v>866</v>
      </c>
      <c r="J25" s="21" t="s">
        <v>866</v>
      </c>
    </row>
    <row r="26" spans="1:10" x14ac:dyDescent="0.2">
      <c r="A26" s="107">
        <v>910040</v>
      </c>
      <c r="B26" t="s">
        <v>21</v>
      </c>
      <c r="C26">
        <v>0</v>
      </c>
      <c r="D26" t="s">
        <v>34</v>
      </c>
      <c r="E26" t="s">
        <v>1217</v>
      </c>
      <c r="F26" s="106" t="s">
        <v>1414</v>
      </c>
      <c r="G26" s="21" t="s">
        <v>866</v>
      </c>
      <c r="H26" s="21" t="s">
        <v>866</v>
      </c>
      <c r="I26" s="23" t="s">
        <v>866</v>
      </c>
      <c r="J26" s="21" t="s">
        <v>866</v>
      </c>
    </row>
    <row r="27" spans="1:10" x14ac:dyDescent="0.2">
      <c r="A27" s="107">
        <v>910031</v>
      </c>
      <c r="B27" t="s">
        <v>21</v>
      </c>
      <c r="C27">
        <v>0</v>
      </c>
      <c r="D27" t="s">
        <v>34</v>
      </c>
      <c r="E27" t="s">
        <v>1216</v>
      </c>
      <c r="F27" s="106" t="s">
        <v>1414</v>
      </c>
      <c r="G27" s="21" t="s">
        <v>866</v>
      </c>
      <c r="H27" s="21" t="s">
        <v>866</v>
      </c>
      <c r="I27" s="23" t="s">
        <v>866</v>
      </c>
      <c r="J27" s="21" t="s">
        <v>866</v>
      </c>
    </row>
    <row r="28" spans="1:10" x14ac:dyDescent="0.2">
      <c r="A28" s="107">
        <v>910023</v>
      </c>
      <c r="B28" t="s">
        <v>21</v>
      </c>
      <c r="C28">
        <v>0</v>
      </c>
      <c r="D28" t="s">
        <v>34</v>
      </c>
      <c r="E28" t="s">
        <v>1215</v>
      </c>
      <c r="F28" s="106" t="s">
        <v>1414</v>
      </c>
      <c r="G28" s="21" t="s">
        <v>866</v>
      </c>
      <c r="H28" s="21" t="s">
        <v>866</v>
      </c>
      <c r="I28" s="23" t="s">
        <v>866</v>
      </c>
      <c r="J28" s="21" t="s">
        <v>866</v>
      </c>
    </row>
    <row r="29" spans="1:10" x14ac:dyDescent="0.2">
      <c r="A29" s="107">
        <v>900079</v>
      </c>
      <c r="B29" t="s">
        <v>21</v>
      </c>
      <c r="C29">
        <v>0</v>
      </c>
      <c r="D29" t="s">
        <v>34</v>
      </c>
      <c r="E29" t="s">
        <v>1214</v>
      </c>
      <c r="F29" s="106" t="s">
        <v>1414</v>
      </c>
      <c r="G29" s="21" t="s">
        <v>866</v>
      </c>
      <c r="H29" s="21" t="s">
        <v>866</v>
      </c>
      <c r="I29" s="23" t="s">
        <v>866</v>
      </c>
      <c r="J29" s="21" t="s">
        <v>866</v>
      </c>
    </row>
    <row r="30" spans="1:10" x14ac:dyDescent="0.2">
      <c r="A30" s="107">
        <v>900061</v>
      </c>
      <c r="B30" t="s">
        <v>21</v>
      </c>
      <c r="C30">
        <v>0</v>
      </c>
      <c r="D30" t="s">
        <v>34</v>
      </c>
      <c r="E30" t="s">
        <v>1213</v>
      </c>
      <c r="F30" s="106" t="s">
        <v>1414</v>
      </c>
      <c r="G30" s="21" t="s">
        <v>866</v>
      </c>
      <c r="H30" s="21" t="s">
        <v>866</v>
      </c>
      <c r="I30" s="23" t="s">
        <v>866</v>
      </c>
      <c r="J30" s="21" t="s">
        <v>866</v>
      </c>
    </row>
    <row r="31" spans="1:10" x14ac:dyDescent="0.2">
      <c r="A31" s="107">
        <v>900052</v>
      </c>
      <c r="B31" t="s">
        <v>21</v>
      </c>
      <c r="C31">
        <v>0</v>
      </c>
      <c r="D31" t="s">
        <v>34</v>
      </c>
      <c r="E31" t="s">
        <v>1212</v>
      </c>
      <c r="F31" s="106" t="s">
        <v>1414</v>
      </c>
      <c r="G31" s="21" t="s">
        <v>866</v>
      </c>
      <c r="H31" s="21" t="s">
        <v>866</v>
      </c>
      <c r="I31" s="23" t="s">
        <v>866</v>
      </c>
      <c r="J31" s="21" t="s">
        <v>866</v>
      </c>
    </row>
    <row r="32" spans="1:10" x14ac:dyDescent="0.2">
      <c r="A32" s="107">
        <v>900036</v>
      </c>
      <c r="B32" t="s">
        <v>21</v>
      </c>
      <c r="C32">
        <v>0</v>
      </c>
      <c r="D32" t="s">
        <v>34</v>
      </c>
      <c r="E32" t="s">
        <v>1211</v>
      </c>
      <c r="F32" s="106" t="s">
        <v>1414</v>
      </c>
      <c r="G32" s="21" t="s">
        <v>866</v>
      </c>
      <c r="H32" s="21" t="s">
        <v>866</v>
      </c>
      <c r="I32" s="23" t="s">
        <v>866</v>
      </c>
      <c r="J32" s="21" t="s">
        <v>866</v>
      </c>
    </row>
    <row r="33" spans="1:10" x14ac:dyDescent="0.2">
      <c r="A33" s="107">
        <v>900010</v>
      </c>
      <c r="B33" t="s">
        <v>21</v>
      </c>
      <c r="C33">
        <v>0</v>
      </c>
      <c r="D33" t="s">
        <v>34</v>
      </c>
      <c r="E33" t="s">
        <v>1210</v>
      </c>
      <c r="F33" s="106" t="s">
        <v>1414</v>
      </c>
      <c r="G33" s="21" t="s">
        <v>866</v>
      </c>
      <c r="H33" s="21" t="s">
        <v>866</v>
      </c>
      <c r="I33" s="23" t="s">
        <v>866</v>
      </c>
      <c r="J33" s="21" t="s">
        <v>866</v>
      </c>
    </row>
    <row r="34" spans="1:10" x14ac:dyDescent="0.2">
      <c r="A34" s="107">
        <v>891029</v>
      </c>
      <c r="B34" t="s">
        <v>21</v>
      </c>
      <c r="C34">
        <v>0</v>
      </c>
      <c r="D34" t="s">
        <v>34</v>
      </c>
      <c r="E34" t="s">
        <v>1209</v>
      </c>
      <c r="F34" s="106" t="s">
        <v>1414</v>
      </c>
      <c r="G34" s="21" t="s">
        <v>866</v>
      </c>
      <c r="H34" s="21" t="s">
        <v>866</v>
      </c>
      <c r="I34" s="23" t="s">
        <v>866</v>
      </c>
      <c r="J34" s="21" t="s">
        <v>866</v>
      </c>
    </row>
    <row r="35" spans="1:10" x14ac:dyDescent="0.2">
      <c r="A35" s="107">
        <v>891011</v>
      </c>
      <c r="B35" t="s">
        <v>21</v>
      </c>
      <c r="C35">
        <v>0</v>
      </c>
      <c r="D35" t="s">
        <v>34</v>
      </c>
      <c r="E35" t="s">
        <v>1208</v>
      </c>
      <c r="F35" s="106" t="s">
        <v>1414</v>
      </c>
      <c r="G35" s="21" t="s">
        <v>866</v>
      </c>
      <c r="H35" s="21" t="s">
        <v>866</v>
      </c>
      <c r="I35" s="23" t="s">
        <v>866</v>
      </c>
      <c r="J35" s="21" t="s">
        <v>866</v>
      </c>
    </row>
    <row r="36" spans="1:10" x14ac:dyDescent="0.2">
      <c r="A36" s="107">
        <v>890138</v>
      </c>
      <c r="B36" t="s">
        <v>21</v>
      </c>
      <c r="C36">
        <v>0</v>
      </c>
      <c r="D36" t="s">
        <v>34</v>
      </c>
      <c r="E36" t="s">
        <v>1207</v>
      </c>
      <c r="F36" s="106" t="s">
        <v>1414</v>
      </c>
      <c r="G36" s="21" t="s">
        <v>866</v>
      </c>
      <c r="H36" s="21" t="s">
        <v>866</v>
      </c>
      <c r="I36" s="23" t="s">
        <v>866</v>
      </c>
      <c r="J36" s="21" t="s">
        <v>866</v>
      </c>
    </row>
    <row r="37" spans="1:10" x14ac:dyDescent="0.2">
      <c r="A37" s="107">
        <v>890111</v>
      </c>
      <c r="B37" t="s">
        <v>21</v>
      </c>
      <c r="C37">
        <v>0</v>
      </c>
      <c r="D37" t="s">
        <v>1360</v>
      </c>
      <c r="E37" t="s">
        <v>1206</v>
      </c>
      <c r="F37" s="106" t="s">
        <v>1414</v>
      </c>
      <c r="G37" s="21" t="s">
        <v>866</v>
      </c>
      <c r="H37" s="21" t="s">
        <v>866</v>
      </c>
      <c r="I37" s="23" t="s">
        <v>866</v>
      </c>
      <c r="J37" s="21" t="s">
        <v>866</v>
      </c>
    </row>
    <row r="38" spans="1:10" x14ac:dyDescent="0.2">
      <c r="A38" s="107">
        <v>890103</v>
      </c>
      <c r="B38" t="s">
        <v>21</v>
      </c>
      <c r="C38">
        <v>0</v>
      </c>
      <c r="D38" t="s">
        <v>34</v>
      </c>
      <c r="E38" t="s">
        <v>1205</v>
      </c>
      <c r="F38" s="106" t="s">
        <v>1414</v>
      </c>
      <c r="G38" s="21" t="s">
        <v>866</v>
      </c>
      <c r="H38" s="21" t="s">
        <v>866</v>
      </c>
      <c r="I38" s="23" t="s">
        <v>866</v>
      </c>
      <c r="J38" s="21" t="s">
        <v>866</v>
      </c>
    </row>
    <row r="39" spans="1:10" x14ac:dyDescent="0.2">
      <c r="A39" s="107">
        <v>890081</v>
      </c>
      <c r="B39" t="s">
        <v>21</v>
      </c>
      <c r="C39">
        <v>0</v>
      </c>
      <c r="D39" t="s">
        <v>34</v>
      </c>
      <c r="E39" t="s">
        <v>1204</v>
      </c>
      <c r="F39" s="106" t="s">
        <v>1414</v>
      </c>
      <c r="G39" s="21" t="s">
        <v>866</v>
      </c>
      <c r="H39" s="21" t="s">
        <v>866</v>
      </c>
      <c r="I39" s="23" t="s">
        <v>866</v>
      </c>
      <c r="J39" s="21" t="s">
        <v>866</v>
      </c>
    </row>
    <row r="40" spans="1:10" x14ac:dyDescent="0.2">
      <c r="A40" s="107">
        <v>890065</v>
      </c>
      <c r="B40" t="s">
        <v>21</v>
      </c>
      <c r="C40">
        <v>0</v>
      </c>
      <c r="D40" t="s">
        <v>1360</v>
      </c>
      <c r="E40" s="106" t="s">
        <v>1417</v>
      </c>
      <c r="F40" s="106" t="s">
        <v>1414</v>
      </c>
      <c r="G40" s="21" t="s">
        <v>866</v>
      </c>
      <c r="H40" s="21" t="s">
        <v>866</v>
      </c>
      <c r="I40" s="23" t="s">
        <v>866</v>
      </c>
      <c r="J40" s="21" t="s">
        <v>866</v>
      </c>
    </row>
    <row r="41" spans="1:10" x14ac:dyDescent="0.2">
      <c r="A41" s="107">
        <v>890049</v>
      </c>
      <c r="B41" t="s">
        <v>21</v>
      </c>
      <c r="C41">
        <v>0</v>
      </c>
      <c r="D41" t="s">
        <v>34</v>
      </c>
      <c r="E41" t="s">
        <v>1201</v>
      </c>
      <c r="F41" s="106" t="s">
        <v>1414</v>
      </c>
      <c r="G41" s="21" t="s">
        <v>866</v>
      </c>
      <c r="H41" s="21" t="s">
        <v>866</v>
      </c>
      <c r="I41" s="23" t="s">
        <v>866</v>
      </c>
      <c r="J41" s="21" t="s">
        <v>866</v>
      </c>
    </row>
    <row r="42" spans="1:10" x14ac:dyDescent="0.2">
      <c r="A42" s="107">
        <v>890031</v>
      </c>
      <c r="B42" t="s">
        <v>21</v>
      </c>
      <c r="C42">
        <v>0</v>
      </c>
      <c r="D42" t="s">
        <v>34</v>
      </c>
      <c r="E42" t="s">
        <v>1381</v>
      </c>
      <c r="F42" s="106" t="s">
        <v>1414</v>
      </c>
      <c r="G42" s="21" t="s">
        <v>866</v>
      </c>
      <c r="H42" s="21" t="s">
        <v>866</v>
      </c>
      <c r="I42" s="23" t="s">
        <v>866</v>
      </c>
      <c r="J42" s="21" t="s">
        <v>866</v>
      </c>
    </row>
    <row r="43" spans="1:10" x14ac:dyDescent="0.2">
      <c r="A43" s="107">
        <v>890022</v>
      </c>
      <c r="B43" t="s">
        <v>21</v>
      </c>
      <c r="C43">
        <v>0</v>
      </c>
      <c r="D43" t="s">
        <v>34</v>
      </c>
      <c r="E43" t="s">
        <v>1199</v>
      </c>
      <c r="F43" s="106" t="s">
        <v>1414</v>
      </c>
      <c r="G43" s="21" t="s">
        <v>866</v>
      </c>
      <c r="H43" s="21" t="s">
        <v>866</v>
      </c>
      <c r="I43" s="23" t="s">
        <v>866</v>
      </c>
      <c r="J43" s="21" t="s">
        <v>866</v>
      </c>
    </row>
    <row r="44" spans="1:10" x14ac:dyDescent="0.2">
      <c r="A44" s="107">
        <v>890014</v>
      </c>
      <c r="B44" t="s">
        <v>21</v>
      </c>
      <c r="C44">
        <v>0</v>
      </c>
      <c r="D44" t="s">
        <v>34</v>
      </c>
      <c r="E44" t="s">
        <v>1198</v>
      </c>
      <c r="F44" s="106" t="s">
        <v>1414</v>
      </c>
      <c r="G44" s="21" t="s">
        <v>866</v>
      </c>
      <c r="H44" s="21" t="s">
        <v>866</v>
      </c>
      <c r="I44" s="23" t="s">
        <v>866</v>
      </c>
      <c r="J44" s="21" t="s">
        <v>866</v>
      </c>
    </row>
    <row r="45" spans="1:10" x14ac:dyDescent="0.2">
      <c r="A45" s="107">
        <v>888907</v>
      </c>
      <c r="B45" t="s">
        <v>21</v>
      </c>
      <c r="C45">
        <v>0</v>
      </c>
      <c r="D45" t="s">
        <v>34</v>
      </c>
      <c r="E45" t="s">
        <v>1191</v>
      </c>
      <c r="F45" s="106" t="s">
        <v>1414</v>
      </c>
      <c r="G45" s="21" t="s">
        <v>866</v>
      </c>
      <c r="H45" s="21" t="s">
        <v>866</v>
      </c>
      <c r="I45" s="23" t="s">
        <v>866</v>
      </c>
      <c r="J45" s="21" t="s">
        <v>866</v>
      </c>
    </row>
    <row r="46" spans="1:10" x14ac:dyDescent="0.2">
      <c r="A46" s="107">
        <v>888893</v>
      </c>
      <c r="B46" t="s">
        <v>21</v>
      </c>
      <c r="C46">
        <v>0</v>
      </c>
      <c r="D46" t="s">
        <v>34</v>
      </c>
      <c r="E46" t="s">
        <v>1190</v>
      </c>
      <c r="F46" s="106" t="s">
        <v>1414</v>
      </c>
      <c r="G46" s="21" t="s">
        <v>866</v>
      </c>
      <c r="H46" s="21" t="s">
        <v>866</v>
      </c>
      <c r="I46" s="23" t="s">
        <v>866</v>
      </c>
      <c r="J46" s="21" t="s">
        <v>866</v>
      </c>
    </row>
    <row r="47" spans="1:10" x14ac:dyDescent="0.2">
      <c r="A47" s="107">
        <v>888885</v>
      </c>
      <c r="B47" t="s">
        <v>21</v>
      </c>
      <c r="C47">
        <v>0</v>
      </c>
      <c r="D47" t="s">
        <v>34</v>
      </c>
      <c r="E47" t="s">
        <v>1189</v>
      </c>
      <c r="F47" s="106" t="s">
        <v>1414</v>
      </c>
      <c r="G47" s="21" t="s">
        <v>866</v>
      </c>
      <c r="H47" s="21" t="s">
        <v>866</v>
      </c>
      <c r="I47" s="23" t="s">
        <v>866</v>
      </c>
      <c r="J47" s="21" t="s">
        <v>866</v>
      </c>
    </row>
    <row r="48" spans="1:10" x14ac:dyDescent="0.2">
      <c r="A48" s="107">
        <v>888877</v>
      </c>
      <c r="B48" t="s">
        <v>21</v>
      </c>
      <c r="C48">
        <v>0</v>
      </c>
      <c r="D48" t="s">
        <v>34</v>
      </c>
      <c r="E48" t="s">
        <v>1188</v>
      </c>
      <c r="F48" s="106" t="s">
        <v>1414</v>
      </c>
      <c r="G48" s="21" t="s">
        <v>866</v>
      </c>
      <c r="H48" s="21" t="s">
        <v>866</v>
      </c>
      <c r="I48" s="23" t="s">
        <v>866</v>
      </c>
      <c r="J48" s="21" t="s">
        <v>866</v>
      </c>
    </row>
    <row r="49" spans="1:10" x14ac:dyDescent="0.2">
      <c r="A49" s="107">
        <v>888869</v>
      </c>
      <c r="B49" t="s">
        <v>21</v>
      </c>
      <c r="C49">
        <v>0</v>
      </c>
      <c r="D49" t="s">
        <v>34</v>
      </c>
      <c r="E49" t="s">
        <v>1187</v>
      </c>
      <c r="F49" s="106" t="s">
        <v>1414</v>
      </c>
      <c r="G49" s="21" t="s">
        <v>866</v>
      </c>
      <c r="H49" s="21" t="s">
        <v>866</v>
      </c>
      <c r="I49" s="23" t="s">
        <v>866</v>
      </c>
      <c r="J49" s="21" t="s">
        <v>866</v>
      </c>
    </row>
    <row r="50" spans="1:10" x14ac:dyDescent="0.2">
      <c r="A50" s="107">
        <v>888851</v>
      </c>
      <c r="B50" t="s">
        <v>21</v>
      </c>
      <c r="C50">
        <v>0</v>
      </c>
      <c r="D50" t="s">
        <v>34</v>
      </c>
      <c r="E50" t="s">
        <v>1186</v>
      </c>
      <c r="F50" s="106" t="s">
        <v>1414</v>
      </c>
      <c r="G50" s="21" t="s">
        <v>866</v>
      </c>
      <c r="H50" s="21" t="s">
        <v>866</v>
      </c>
      <c r="I50" s="23" t="s">
        <v>866</v>
      </c>
      <c r="J50" s="21" t="s">
        <v>866</v>
      </c>
    </row>
    <row r="51" spans="1:10" x14ac:dyDescent="0.2">
      <c r="A51" s="107">
        <v>888842</v>
      </c>
      <c r="B51" t="s">
        <v>21</v>
      </c>
      <c r="C51">
        <v>0</v>
      </c>
      <c r="D51" t="s">
        <v>34</v>
      </c>
      <c r="E51" t="s">
        <v>1185</v>
      </c>
      <c r="F51" s="106" t="s">
        <v>1414</v>
      </c>
      <c r="G51" s="21" t="s">
        <v>866</v>
      </c>
      <c r="H51" s="21" t="s">
        <v>866</v>
      </c>
      <c r="I51" s="23" t="s">
        <v>866</v>
      </c>
      <c r="J51" s="21" t="s">
        <v>866</v>
      </c>
    </row>
    <row r="52" spans="1:10" x14ac:dyDescent="0.2">
      <c r="A52" s="107">
        <v>888834</v>
      </c>
      <c r="B52" t="s">
        <v>21</v>
      </c>
      <c r="C52">
        <v>0</v>
      </c>
      <c r="D52" t="s">
        <v>34</v>
      </c>
      <c r="E52" t="s">
        <v>1184</v>
      </c>
      <c r="F52" s="106" t="s">
        <v>1414</v>
      </c>
      <c r="G52" s="21" t="s">
        <v>866</v>
      </c>
      <c r="H52" s="21" t="s">
        <v>866</v>
      </c>
      <c r="I52" s="23" t="s">
        <v>866</v>
      </c>
      <c r="J52" s="21" t="s">
        <v>866</v>
      </c>
    </row>
    <row r="53" spans="1:10" x14ac:dyDescent="0.2">
      <c r="A53" s="107">
        <v>888826</v>
      </c>
      <c r="B53" t="s">
        <v>21</v>
      </c>
      <c r="C53">
        <v>0</v>
      </c>
      <c r="D53" t="s">
        <v>34</v>
      </c>
      <c r="E53" t="s">
        <v>1183</v>
      </c>
      <c r="F53" s="106" t="s">
        <v>1414</v>
      </c>
      <c r="G53" s="21" t="s">
        <v>866</v>
      </c>
      <c r="H53" s="21" t="s">
        <v>866</v>
      </c>
      <c r="I53" s="23" t="s">
        <v>866</v>
      </c>
      <c r="J53" s="21" t="s">
        <v>866</v>
      </c>
    </row>
    <row r="54" spans="1:10" x14ac:dyDescent="0.2">
      <c r="A54" s="107">
        <v>888818</v>
      </c>
      <c r="B54" t="s">
        <v>21</v>
      </c>
      <c r="C54">
        <v>0</v>
      </c>
      <c r="D54" t="s">
        <v>34</v>
      </c>
      <c r="E54" t="s">
        <v>1182</v>
      </c>
      <c r="F54" s="106" t="s">
        <v>1414</v>
      </c>
      <c r="G54" s="21" t="s">
        <v>866</v>
      </c>
      <c r="H54" s="21" t="s">
        <v>866</v>
      </c>
      <c r="I54" s="23" t="s">
        <v>866</v>
      </c>
      <c r="J54" s="21" t="s">
        <v>866</v>
      </c>
    </row>
    <row r="55" spans="1:10" x14ac:dyDescent="0.2">
      <c r="A55" s="107">
        <v>888800</v>
      </c>
      <c r="B55" t="s">
        <v>21</v>
      </c>
      <c r="C55">
        <v>0</v>
      </c>
      <c r="D55" t="s">
        <v>34</v>
      </c>
      <c r="E55" t="s">
        <v>1181</v>
      </c>
      <c r="F55" s="106" t="s">
        <v>1414</v>
      </c>
      <c r="G55" s="21" t="s">
        <v>866</v>
      </c>
      <c r="H55" s="21" t="s">
        <v>866</v>
      </c>
      <c r="I55" s="23" t="s">
        <v>866</v>
      </c>
      <c r="J55" s="21" t="s">
        <v>866</v>
      </c>
    </row>
    <row r="56" spans="1:10" x14ac:dyDescent="0.2">
      <c r="A56" s="107">
        <v>888796</v>
      </c>
      <c r="B56" t="s">
        <v>21</v>
      </c>
      <c r="C56">
        <v>0</v>
      </c>
      <c r="D56" t="s">
        <v>897</v>
      </c>
      <c r="E56" t="s">
        <v>968</v>
      </c>
      <c r="F56" s="106" t="s">
        <v>1414</v>
      </c>
      <c r="G56" s="21" t="s">
        <v>866</v>
      </c>
      <c r="H56" s="21" t="s">
        <v>866</v>
      </c>
      <c r="I56" s="23" t="s">
        <v>866</v>
      </c>
      <c r="J56" s="21" t="s">
        <v>866</v>
      </c>
    </row>
    <row r="57" spans="1:10" x14ac:dyDescent="0.2">
      <c r="A57" s="107">
        <v>888788</v>
      </c>
      <c r="B57" t="s">
        <v>21</v>
      </c>
      <c r="C57">
        <v>0</v>
      </c>
      <c r="D57" t="s">
        <v>34</v>
      </c>
      <c r="E57" t="s">
        <v>1382</v>
      </c>
      <c r="F57" s="106" t="s">
        <v>1414</v>
      </c>
      <c r="G57" s="21" t="s">
        <v>866</v>
      </c>
      <c r="H57" s="21" t="s">
        <v>866</v>
      </c>
      <c r="I57" s="23" t="s">
        <v>866</v>
      </c>
      <c r="J57" s="21" t="s">
        <v>866</v>
      </c>
    </row>
    <row r="58" spans="1:10" x14ac:dyDescent="0.2">
      <c r="A58" s="107">
        <v>888770</v>
      </c>
      <c r="B58" t="s">
        <v>21</v>
      </c>
      <c r="C58">
        <v>0</v>
      </c>
      <c r="D58" t="s">
        <v>34</v>
      </c>
      <c r="E58" t="s">
        <v>1383</v>
      </c>
      <c r="F58" s="106" t="s">
        <v>1414</v>
      </c>
      <c r="G58" s="21" t="s">
        <v>866</v>
      </c>
      <c r="H58" s="21" t="s">
        <v>866</v>
      </c>
      <c r="I58" s="23" t="s">
        <v>866</v>
      </c>
      <c r="J58" s="21" t="s">
        <v>866</v>
      </c>
    </row>
    <row r="59" spans="1:10" x14ac:dyDescent="0.2">
      <c r="A59" s="107">
        <v>888761</v>
      </c>
      <c r="B59" t="s">
        <v>21</v>
      </c>
      <c r="C59">
        <v>0</v>
      </c>
      <c r="D59" t="s">
        <v>34</v>
      </c>
      <c r="E59" t="s">
        <v>1384</v>
      </c>
      <c r="F59" s="106" t="s">
        <v>1414</v>
      </c>
      <c r="G59" s="21" t="s">
        <v>866</v>
      </c>
      <c r="H59" s="21" t="s">
        <v>866</v>
      </c>
      <c r="I59" s="23" t="s">
        <v>866</v>
      </c>
      <c r="J59" s="21" t="s">
        <v>866</v>
      </c>
    </row>
    <row r="60" spans="1:10" x14ac:dyDescent="0.2">
      <c r="A60" s="107">
        <v>888753</v>
      </c>
      <c r="B60" t="s">
        <v>21</v>
      </c>
      <c r="C60">
        <v>0</v>
      </c>
      <c r="D60" t="s">
        <v>34</v>
      </c>
      <c r="E60" t="s">
        <v>1385</v>
      </c>
      <c r="F60" s="106" t="s">
        <v>1414</v>
      </c>
      <c r="G60" s="21" t="s">
        <v>866</v>
      </c>
      <c r="H60" s="21" t="s">
        <v>866</v>
      </c>
      <c r="I60" s="23" t="s">
        <v>866</v>
      </c>
      <c r="J60" s="21" t="s">
        <v>866</v>
      </c>
    </row>
    <row r="61" spans="1:10" x14ac:dyDescent="0.2">
      <c r="A61" s="107">
        <v>888745</v>
      </c>
      <c r="B61" t="s">
        <v>21</v>
      </c>
      <c r="C61">
        <v>0</v>
      </c>
      <c r="D61" t="s">
        <v>34</v>
      </c>
      <c r="E61" t="s">
        <v>1386</v>
      </c>
      <c r="F61" s="106" t="s">
        <v>1414</v>
      </c>
      <c r="G61" s="21" t="s">
        <v>866</v>
      </c>
      <c r="H61" s="21" t="s">
        <v>866</v>
      </c>
      <c r="I61" s="23" t="s">
        <v>866</v>
      </c>
      <c r="J61" s="21" t="s">
        <v>866</v>
      </c>
    </row>
    <row r="62" spans="1:10" x14ac:dyDescent="0.2">
      <c r="A62" s="107">
        <v>888737</v>
      </c>
      <c r="B62" t="s">
        <v>21</v>
      </c>
      <c r="C62">
        <v>0</v>
      </c>
      <c r="D62" t="s">
        <v>34</v>
      </c>
      <c r="E62" t="s">
        <v>1387</v>
      </c>
      <c r="F62" s="106" t="s">
        <v>1414</v>
      </c>
      <c r="G62" s="21" t="s">
        <v>866</v>
      </c>
      <c r="H62" s="21" t="s">
        <v>866</v>
      </c>
      <c r="I62" s="23" t="s">
        <v>866</v>
      </c>
      <c r="J62" s="21" t="s">
        <v>866</v>
      </c>
    </row>
    <row r="63" spans="1:10" x14ac:dyDescent="0.2">
      <c r="A63" s="107">
        <v>888729</v>
      </c>
      <c r="B63" t="s">
        <v>21</v>
      </c>
      <c r="C63">
        <v>0</v>
      </c>
      <c r="D63" t="s">
        <v>34</v>
      </c>
      <c r="E63" t="s">
        <v>1174</v>
      </c>
      <c r="F63" s="106" t="s">
        <v>1414</v>
      </c>
      <c r="G63" s="21" t="s">
        <v>866</v>
      </c>
      <c r="H63" s="21" t="s">
        <v>866</v>
      </c>
      <c r="I63" s="23" t="s">
        <v>866</v>
      </c>
      <c r="J63" s="21" t="s">
        <v>866</v>
      </c>
    </row>
    <row r="64" spans="1:10" x14ac:dyDescent="0.2">
      <c r="A64" s="107">
        <v>888711</v>
      </c>
      <c r="B64" t="s">
        <v>21</v>
      </c>
      <c r="C64">
        <v>0</v>
      </c>
      <c r="D64" t="s">
        <v>34</v>
      </c>
      <c r="E64" t="s">
        <v>1388</v>
      </c>
      <c r="F64" s="106" t="s">
        <v>1414</v>
      </c>
      <c r="G64" s="21" t="s">
        <v>866</v>
      </c>
      <c r="H64" s="21" t="s">
        <v>866</v>
      </c>
      <c r="I64" s="23" t="s">
        <v>866</v>
      </c>
      <c r="J64" s="21" t="s">
        <v>866</v>
      </c>
    </row>
    <row r="65" spans="1:10" x14ac:dyDescent="0.2">
      <c r="A65" s="107">
        <v>861031</v>
      </c>
      <c r="B65" t="s">
        <v>21</v>
      </c>
      <c r="C65">
        <v>0</v>
      </c>
      <c r="D65" t="s">
        <v>34</v>
      </c>
      <c r="E65" t="s">
        <v>1168</v>
      </c>
      <c r="F65" s="106" t="s">
        <v>1414</v>
      </c>
      <c r="G65" s="21" t="s">
        <v>866</v>
      </c>
      <c r="H65" s="21" t="s">
        <v>866</v>
      </c>
      <c r="I65" s="23" t="s">
        <v>866</v>
      </c>
      <c r="J65" s="21" t="s">
        <v>866</v>
      </c>
    </row>
    <row r="66" spans="1:10" x14ac:dyDescent="0.2">
      <c r="A66" s="107">
        <v>861022</v>
      </c>
      <c r="B66" t="s">
        <v>21</v>
      </c>
      <c r="C66">
        <v>0</v>
      </c>
      <c r="D66" t="s">
        <v>34</v>
      </c>
      <c r="E66" t="s">
        <v>1167</v>
      </c>
      <c r="F66" s="106" t="s">
        <v>1414</v>
      </c>
      <c r="G66" s="21" t="s">
        <v>866</v>
      </c>
      <c r="H66" s="21" t="s">
        <v>866</v>
      </c>
      <c r="I66" s="23" t="s">
        <v>866</v>
      </c>
      <c r="J66" s="21" t="s">
        <v>866</v>
      </c>
    </row>
    <row r="67" spans="1:10" x14ac:dyDescent="0.2">
      <c r="A67" s="107">
        <v>861014</v>
      </c>
      <c r="B67" t="s">
        <v>21</v>
      </c>
      <c r="C67">
        <v>0</v>
      </c>
      <c r="D67" t="s">
        <v>34</v>
      </c>
      <c r="E67" t="s">
        <v>1166</v>
      </c>
      <c r="F67" s="106" t="s">
        <v>1414</v>
      </c>
      <c r="G67" s="21" t="s">
        <v>866</v>
      </c>
      <c r="H67" s="21" t="s">
        <v>866</v>
      </c>
      <c r="I67" s="23" t="s">
        <v>866</v>
      </c>
      <c r="J67" s="21" t="s">
        <v>866</v>
      </c>
    </row>
    <row r="68" spans="1:10" x14ac:dyDescent="0.2">
      <c r="A68" s="107">
        <v>861006</v>
      </c>
      <c r="B68" t="s">
        <v>21</v>
      </c>
      <c r="C68">
        <v>0</v>
      </c>
      <c r="D68" t="s">
        <v>897</v>
      </c>
      <c r="E68" t="s">
        <v>966</v>
      </c>
      <c r="F68" s="106" t="s">
        <v>1414</v>
      </c>
      <c r="G68" s="21" t="s">
        <v>866</v>
      </c>
      <c r="H68" s="21" t="s">
        <v>866</v>
      </c>
      <c r="I68" s="23" t="s">
        <v>866</v>
      </c>
      <c r="J68" s="21" t="s">
        <v>866</v>
      </c>
    </row>
    <row r="69" spans="1:10" x14ac:dyDescent="0.2">
      <c r="A69" s="107">
        <v>860182</v>
      </c>
      <c r="B69" t="s">
        <v>21</v>
      </c>
      <c r="C69">
        <v>0</v>
      </c>
      <c r="D69" t="s">
        <v>34</v>
      </c>
      <c r="E69" t="s">
        <v>1165</v>
      </c>
      <c r="F69" s="106" t="s">
        <v>1414</v>
      </c>
      <c r="G69" s="21" t="s">
        <v>866</v>
      </c>
      <c r="H69" s="21" t="s">
        <v>866</v>
      </c>
      <c r="I69" s="23" t="s">
        <v>866</v>
      </c>
      <c r="J69" s="21" t="s">
        <v>866</v>
      </c>
    </row>
    <row r="70" spans="1:10" x14ac:dyDescent="0.2">
      <c r="A70" s="107">
        <v>860140</v>
      </c>
      <c r="B70" t="s">
        <v>21</v>
      </c>
      <c r="C70">
        <v>0</v>
      </c>
      <c r="D70" t="s">
        <v>897</v>
      </c>
      <c r="E70" t="s">
        <v>965</v>
      </c>
      <c r="F70" s="106" t="s">
        <v>1414</v>
      </c>
      <c r="G70" s="21" t="s">
        <v>866</v>
      </c>
      <c r="H70" s="21" t="s">
        <v>866</v>
      </c>
      <c r="I70" s="23" t="s">
        <v>866</v>
      </c>
      <c r="J70" s="21" t="s">
        <v>866</v>
      </c>
    </row>
    <row r="71" spans="1:10" x14ac:dyDescent="0.2">
      <c r="A71" s="107">
        <v>860131</v>
      </c>
      <c r="B71" t="s">
        <v>21</v>
      </c>
      <c r="C71">
        <v>0</v>
      </c>
      <c r="D71" t="s">
        <v>34</v>
      </c>
      <c r="E71" t="s">
        <v>1162</v>
      </c>
      <c r="F71" s="106" t="s">
        <v>1414</v>
      </c>
      <c r="G71" s="21" t="s">
        <v>866</v>
      </c>
      <c r="H71" s="21" t="s">
        <v>866</v>
      </c>
      <c r="I71" s="23" t="s">
        <v>866</v>
      </c>
      <c r="J71" s="21" t="s">
        <v>866</v>
      </c>
    </row>
    <row r="72" spans="1:10" x14ac:dyDescent="0.2">
      <c r="A72" s="107">
        <v>860069</v>
      </c>
      <c r="B72" t="s">
        <v>21</v>
      </c>
      <c r="C72">
        <v>0</v>
      </c>
      <c r="D72" t="s">
        <v>897</v>
      </c>
      <c r="E72" t="s">
        <v>964</v>
      </c>
      <c r="F72" s="106" t="s">
        <v>1414</v>
      </c>
      <c r="G72" s="21" t="s">
        <v>866</v>
      </c>
      <c r="H72" s="21" t="s">
        <v>866</v>
      </c>
      <c r="I72" s="23" t="s">
        <v>866</v>
      </c>
      <c r="J72" s="21" t="s">
        <v>866</v>
      </c>
    </row>
    <row r="73" spans="1:10" x14ac:dyDescent="0.2">
      <c r="A73" s="107">
        <v>860051</v>
      </c>
      <c r="B73" t="s">
        <v>21</v>
      </c>
      <c r="C73">
        <v>0</v>
      </c>
      <c r="D73" t="s">
        <v>34</v>
      </c>
      <c r="E73" t="s">
        <v>1161</v>
      </c>
      <c r="F73" s="106" t="s">
        <v>1414</v>
      </c>
      <c r="G73" s="21" t="s">
        <v>866</v>
      </c>
      <c r="H73" s="21" t="s">
        <v>866</v>
      </c>
      <c r="I73" s="23" t="s">
        <v>866</v>
      </c>
      <c r="J73" s="21" t="s">
        <v>866</v>
      </c>
    </row>
    <row r="74" spans="1:10" x14ac:dyDescent="0.2">
      <c r="A74" s="107">
        <v>851418</v>
      </c>
      <c r="B74" t="s">
        <v>21</v>
      </c>
      <c r="C74">
        <v>0</v>
      </c>
      <c r="D74" t="s">
        <v>34</v>
      </c>
      <c r="E74" t="s">
        <v>1160</v>
      </c>
      <c r="F74" s="106" t="s">
        <v>1414</v>
      </c>
      <c r="G74" s="21" t="s">
        <v>866</v>
      </c>
      <c r="H74" s="21" t="s">
        <v>866</v>
      </c>
      <c r="I74" s="23" t="s">
        <v>866</v>
      </c>
      <c r="J74" s="21" t="s">
        <v>866</v>
      </c>
    </row>
    <row r="75" spans="1:10" x14ac:dyDescent="0.2">
      <c r="A75" s="107">
        <v>851248</v>
      </c>
      <c r="B75" t="s">
        <v>21</v>
      </c>
      <c r="C75">
        <v>0</v>
      </c>
      <c r="D75" t="s">
        <v>34</v>
      </c>
      <c r="E75" t="s">
        <v>1389</v>
      </c>
      <c r="F75" s="106" t="s">
        <v>1414</v>
      </c>
      <c r="G75" s="21" t="s">
        <v>866</v>
      </c>
      <c r="H75" s="21" t="s">
        <v>866</v>
      </c>
      <c r="I75" s="23" t="s">
        <v>866</v>
      </c>
      <c r="J75" s="21" t="s">
        <v>866</v>
      </c>
    </row>
    <row r="76" spans="1:10" x14ac:dyDescent="0.2">
      <c r="A76" s="107">
        <v>851230</v>
      </c>
      <c r="B76" t="s">
        <v>21</v>
      </c>
      <c r="C76">
        <v>0</v>
      </c>
      <c r="D76" t="s">
        <v>34</v>
      </c>
      <c r="E76" t="s">
        <v>1361</v>
      </c>
      <c r="F76" s="106" t="s">
        <v>1414</v>
      </c>
      <c r="G76" s="21" t="s">
        <v>866</v>
      </c>
      <c r="H76" s="21" t="s">
        <v>866</v>
      </c>
      <c r="I76" s="23" t="s">
        <v>866</v>
      </c>
      <c r="J76" s="21" t="s">
        <v>866</v>
      </c>
    </row>
    <row r="77" spans="1:10" x14ac:dyDescent="0.2">
      <c r="A77" s="107">
        <v>851221</v>
      </c>
      <c r="B77" t="s">
        <v>21</v>
      </c>
      <c r="C77">
        <v>0</v>
      </c>
      <c r="D77" t="s">
        <v>34</v>
      </c>
      <c r="E77" t="s">
        <v>1362</v>
      </c>
      <c r="F77" s="106" t="s">
        <v>1414</v>
      </c>
      <c r="G77" s="21" t="s">
        <v>866</v>
      </c>
      <c r="H77" s="21" t="s">
        <v>866</v>
      </c>
      <c r="I77" s="23" t="s">
        <v>866</v>
      </c>
      <c r="J77" s="21" t="s">
        <v>866</v>
      </c>
    </row>
    <row r="78" spans="1:10" x14ac:dyDescent="0.2">
      <c r="A78" s="107">
        <v>851213</v>
      </c>
      <c r="B78" t="s">
        <v>21</v>
      </c>
      <c r="C78">
        <v>0</v>
      </c>
      <c r="D78" t="s">
        <v>34</v>
      </c>
      <c r="E78" t="s">
        <v>1363</v>
      </c>
      <c r="F78" s="106" t="s">
        <v>1414</v>
      </c>
      <c r="G78" s="21" t="s">
        <v>866</v>
      </c>
      <c r="H78" s="21" t="s">
        <v>866</v>
      </c>
      <c r="I78" s="23" t="s">
        <v>866</v>
      </c>
      <c r="J78" s="21" t="s">
        <v>866</v>
      </c>
    </row>
    <row r="79" spans="1:10" x14ac:dyDescent="0.2">
      <c r="A79" s="107">
        <v>851205</v>
      </c>
      <c r="B79" t="s">
        <v>21</v>
      </c>
      <c r="C79">
        <v>0</v>
      </c>
      <c r="D79" t="s">
        <v>34</v>
      </c>
      <c r="E79" t="s">
        <v>1159</v>
      </c>
      <c r="F79" s="106" t="s">
        <v>1414</v>
      </c>
      <c r="G79" s="21" t="s">
        <v>866</v>
      </c>
      <c r="H79" s="21" t="s">
        <v>866</v>
      </c>
      <c r="I79" s="23" t="s">
        <v>866</v>
      </c>
      <c r="J79" s="21" t="s">
        <v>866</v>
      </c>
    </row>
    <row r="80" spans="1:10" x14ac:dyDescent="0.2">
      <c r="A80" s="107">
        <v>851027</v>
      </c>
      <c r="B80" t="s">
        <v>21</v>
      </c>
      <c r="C80">
        <v>0</v>
      </c>
      <c r="D80" t="s">
        <v>34</v>
      </c>
      <c r="E80" t="s">
        <v>1158</v>
      </c>
      <c r="F80" s="106" t="s">
        <v>1414</v>
      </c>
      <c r="G80" s="21" t="s">
        <v>866</v>
      </c>
      <c r="H80" s="21" t="s">
        <v>866</v>
      </c>
      <c r="I80" s="23" t="s">
        <v>866</v>
      </c>
      <c r="J80" s="21" t="s">
        <v>866</v>
      </c>
    </row>
    <row r="81" spans="1:10" x14ac:dyDescent="0.2">
      <c r="A81" s="107">
        <v>851019</v>
      </c>
      <c r="B81" t="s">
        <v>21</v>
      </c>
      <c r="C81">
        <v>0</v>
      </c>
      <c r="D81" t="s">
        <v>34</v>
      </c>
      <c r="E81" t="s">
        <v>1157</v>
      </c>
      <c r="F81" s="106" t="s">
        <v>1414</v>
      </c>
      <c r="G81" s="21" t="s">
        <v>866</v>
      </c>
      <c r="H81" s="21" t="s">
        <v>866</v>
      </c>
      <c r="I81" s="23" t="s">
        <v>866</v>
      </c>
      <c r="J81" s="21" t="s">
        <v>866</v>
      </c>
    </row>
    <row r="82" spans="1:10" x14ac:dyDescent="0.2">
      <c r="A82" s="107">
        <v>850853</v>
      </c>
      <c r="B82" t="s">
        <v>21</v>
      </c>
      <c r="C82">
        <v>0</v>
      </c>
      <c r="D82" t="s">
        <v>34</v>
      </c>
      <c r="E82" t="s">
        <v>1156</v>
      </c>
      <c r="F82" s="106" t="s">
        <v>1414</v>
      </c>
      <c r="G82" s="21" t="s">
        <v>866</v>
      </c>
      <c r="H82" s="21" t="s">
        <v>866</v>
      </c>
      <c r="I82" s="23" t="s">
        <v>866</v>
      </c>
      <c r="J82" s="21" t="s">
        <v>866</v>
      </c>
    </row>
    <row r="83" spans="1:10" x14ac:dyDescent="0.2">
      <c r="A83" s="107">
        <v>850845</v>
      </c>
      <c r="B83" t="s">
        <v>21</v>
      </c>
      <c r="C83">
        <v>0</v>
      </c>
      <c r="D83" t="s">
        <v>34</v>
      </c>
      <c r="E83" t="s">
        <v>1155</v>
      </c>
      <c r="F83" s="106" t="s">
        <v>1414</v>
      </c>
      <c r="G83" s="21" t="s">
        <v>866</v>
      </c>
      <c r="H83" s="21" t="s">
        <v>866</v>
      </c>
      <c r="I83" s="23" t="s">
        <v>866</v>
      </c>
      <c r="J83" s="21" t="s">
        <v>866</v>
      </c>
    </row>
    <row r="84" spans="1:10" x14ac:dyDescent="0.2">
      <c r="A84" s="107">
        <v>850802</v>
      </c>
      <c r="B84" t="s">
        <v>21</v>
      </c>
      <c r="C84">
        <v>0</v>
      </c>
      <c r="D84" t="s">
        <v>1360</v>
      </c>
      <c r="E84" t="s">
        <v>1152</v>
      </c>
      <c r="F84" s="106" t="s">
        <v>1414</v>
      </c>
      <c r="G84" s="21" t="s">
        <v>866</v>
      </c>
      <c r="H84" s="21" t="s">
        <v>866</v>
      </c>
      <c r="I84" s="23" t="s">
        <v>866</v>
      </c>
      <c r="J84" s="21" t="s">
        <v>866</v>
      </c>
    </row>
    <row r="85" spans="1:10" x14ac:dyDescent="0.2">
      <c r="A85" s="107">
        <v>850781</v>
      </c>
      <c r="B85" t="s">
        <v>21</v>
      </c>
      <c r="C85">
        <v>0</v>
      </c>
      <c r="D85" t="s">
        <v>1360</v>
      </c>
      <c r="E85" t="s">
        <v>1150</v>
      </c>
      <c r="F85" s="106" t="s">
        <v>1414</v>
      </c>
      <c r="G85" s="21" t="s">
        <v>866</v>
      </c>
      <c r="H85" s="21" t="s">
        <v>866</v>
      </c>
      <c r="I85" s="23" t="s">
        <v>866</v>
      </c>
      <c r="J85" s="21" t="s">
        <v>866</v>
      </c>
    </row>
    <row r="86" spans="1:10" x14ac:dyDescent="0.2">
      <c r="A86" s="107">
        <v>850772</v>
      </c>
      <c r="B86" t="s">
        <v>21</v>
      </c>
      <c r="C86">
        <v>0</v>
      </c>
      <c r="D86" t="s">
        <v>1360</v>
      </c>
      <c r="E86" t="s">
        <v>1416</v>
      </c>
      <c r="F86" s="106" t="s">
        <v>1414</v>
      </c>
      <c r="G86" s="21" t="s">
        <v>866</v>
      </c>
      <c r="H86" s="21" t="s">
        <v>866</v>
      </c>
      <c r="I86" s="23" t="s">
        <v>866</v>
      </c>
      <c r="J86" s="21" t="s">
        <v>866</v>
      </c>
    </row>
    <row r="87" spans="1:10" x14ac:dyDescent="0.2">
      <c r="A87" s="107">
        <v>850764</v>
      </c>
      <c r="B87" t="s">
        <v>21</v>
      </c>
      <c r="C87">
        <v>0</v>
      </c>
      <c r="D87" t="s">
        <v>1360</v>
      </c>
      <c r="E87" t="s">
        <v>1148</v>
      </c>
      <c r="F87" s="106" t="s">
        <v>1414</v>
      </c>
      <c r="G87" s="21" t="s">
        <v>866</v>
      </c>
      <c r="H87" s="21" t="s">
        <v>866</v>
      </c>
      <c r="I87" s="23" t="s">
        <v>866</v>
      </c>
      <c r="J87" s="21" t="s">
        <v>866</v>
      </c>
    </row>
    <row r="88" spans="1:10" x14ac:dyDescent="0.2">
      <c r="A88" s="107">
        <v>850756</v>
      </c>
      <c r="B88" t="s">
        <v>21</v>
      </c>
      <c r="C88">
        <v>0</v>
      </c>
      <c r="D88" t="s">
        <v>34</v>
      </c>
      <c r="E88" t="s">
        <v>1147</v>
      </c>
      <c r="F88" s="106" t="s">
        <v>1414</v>
      </c>
      <c r="G88" s="21" t="s">
        <v>866</v>
      </c>
      <c r="H88" s="21" t="s">
        <v>866</v>
      </c>
      <c r="I88" s="23" t="s">
        <v>866</v>
      </c>
      <c r="J88" s="21" t="s">
        <v>866</v>
      </c>
    </row>
    <row r="89" spans="1:10" x14ac:dyDescent="0.2">
      <c r="A89" s="107">
        <v>850730</v>
      </c>
      <c r="B89" t="s">
        <v>21</v>
      </c>
      <c r="C89">
        <v>0</v>
      </c>
      <c r="D89" t="s">
        <v>897</v>
      </c>
      <c r="E89" t="s">
        <v>963</v>
      </c>
      <c r="F89" s="106" t="s">
        <v>1414</v>
      </c>
      <c r="G89" s="21" t="s">
        <v>866</v>
      </c>
      <c r="H89" s="21" t="s">
        <v>866</v>
      </c>
      <c r="I89" s="23" t="s">
        <v>866</v>
      </c>
      <c r="J89" s="21" t="s">
        <v>866</v>
      </c>
    </row>
    <row r="90" spans="1:10" x14ac:dyDescent="0.2">
      <c r="A90" s="107">
        <v>850721</v>
      </c>
      <c r="B90" t="s">
        <v>21</v>
      </c>
      <c r="C90">
        <v>0</v>
      </c>
      <c r="D90" t="s">
        <v>34</v>
      </c>
      <c r="E90" t="s">
        <v>1145</v>
      </c>
      <c r="F90" s="106" t="s">
        <v>1414</v>
      </c>
      <c r="G90" s="21" t="s">
        <v>866</v>
      </c>
      <c r="H90" s="21" t="s">
        <v>866</v>
      </c>
      <c r="I90" s="23" t="s">
        <v>866</v>
      </c>
      <c r="J90" s="21" t="s">
        <v>866</v>
      </c>
    </row>
    <row r="91" spans="1:10" x14ac:dyDescent="0.2">
      <c r="A91" s="107">
        <v>850713</v>
      </c>
      <c r="B91" t="s">
        <v>21</v>
      </c>
      <c r="C91">
        <v>0</v>
      </c>
      <c r="D91" t="s">
        <v>34</v>
      </c>
      <c r="E91" t="s">
        <v>1144</v>
      </c>
      <c r="F91" s="106" t="s">
        <v>1414</v>
      </c>
      <c r="G91" s="21" t="s">
        <v>866</v>
      </c>
      <c r="H91" s="21" t="s">
        <v>866</v>
      </c>
      <c r="I91" s="23" t="s">
        <v>866</v>
      </c>
      <c r="J91" s="21" t="s">
        <v>866</v>
      </c>
    </row>
    <row r="92" spans="1:10" x14ac:dyDescent="0.2">
      <c r="A92" s="107">
        <v>850705</v>
      </c>
      <c r="B92" t="s">
        <v>21</v>
      </c>
      <c r="C92">
        <v>0</v>
      </c>
      <c r="D92" t="s">
        <v>897</v>
      </c>
      <c r="E92" t="s">
        <v>962</v>
      </c>
      <c r="F92" s="106" t="s">
        <v>1414</v>
      </c>
      <c r="G92" s="21" t="s">
        <v>866</v>
      </c>
      <c r="H92" s="21" t="s">
        <v>866</v>
      </c>
      <c r="I92" s="23" t="s">
        <v>866</v>
      </c>
      <c r="J92" s="21" t="s">
        <v>866</v>
      </c>
    </row>
    <row r="93" spans="1:10" x14ac:dyDescent="0.2">
      <c r="A93" s="107">
        <v>850691</v>
      </c>
      <c r="B93" t="s">
        <v>21</v>
      </c>
      <c r="C93">
        <v>0</v>
      </c>
      <c r="D93" t="s">
        <v>34</v>
      </c>
      <c r="E93" t="s">
        <v>1143</v>
      </c>
      <c r="F93" s="106" t="s">
        <v>1414</v>
      </c>
      <c r="G93" s="21" t="s">
        <v>866</v>
      </c>
      <c r="H93" s="21" t="s">
        <v>866</v>
      </c>
      <c r="I93" s="23" t="s">
        <v>866</v>
      </c>
      <c r="J93" s="21" t="s">
        <v>866</v>
      </c>
    </row>
    <row r="94" spans="1:10" x14ac:dyDescent="0.2">
      <c r="A94" s="107">
        <v>850683</v>
      </c>
      <c r="B94" t="s">
        <v>21</v>
      </c>
      <c r="C94">
        <v>0</v>
      </c>
      <c r="D94" t="s">
        <v>34</v>
      </c>
      <c r="E94" t="s">
        <v>1142</v>
      </c>
      <c r="F94" s="106" t="s">
        <v>1414</v>
      </c>
      <c r="G94" s="21" t="s">
        <v>866</v>
      </c>
      <c r="H94" s="21" t="s">
        <v>866</v>
      </c>
      <c r="I94" s="23" t="s">
        <v>866</v>
      </c>
      <c r="J94" s="21" t="s">
        <v>866</v>
      </c>
    </row>
    <row r="95" spans="1:10" x14ac:dyDescent="0.2">
      <c r="A95" s="107">
        <v>850667</v>
      </c>
      <c r="B95" t="s">
        <v>21</v>
      </c>
      <c r="C95">
        <v>0</v>
      </c>
      <c r="D95" t="s">
        <v>34</v>
      </c>
      <c r="E95" t="s">
        <v>1140</v>
      </c>
      <c r="F95" s="106" t="s">
        <v>1414</v>
      </c>
      <c r="G95" s="21" t="s">
        <v>866</v>
      </c>
      <c r="H95" s="21" t="s">
        <v>866</v>
      </c>
      <c r="I95" s="23" t="s">
        <v>866</v>
      </c>
      <c r="J95" s="21" t="s">
        <v>866</v>
      </c>
    </row>
    <row r="96" spans="1:10" x14ac:dyDescent="0.2">
      <c r="A96" s="107">
        <v>850659</v>
      </c>
      <c r="B96" t="s">
        <v>21</v>
      </c>
      <c r="C96">
        <v>0</v>
      </c>
      <c r="D96" t="s">
        <v>897</v>
      </c>
      <c r="E96" t="s">
        <v>961</v>
      </c>
      <c r="F96" s="106" t="s">
        <v>1414</v>
      </c>
      <c r="G96" s="21" t="s">
        <v>866</v>
      </c>
      <c r="H96" s="21" t="s">
        <v>866</v>
      </c>
      <c r="I96" s="23" t="s">
        <v>866</v>
      </c>
      <c r="J96" s="21" t="s">
        <v>866</v>
      </c>
    </row>
    <row r="97" spans="1:10" x14ac:dyDescent="0.2">
      <c r="A97" s="107">
        <v>850641</v>
      </c>
      <c r="B97" t="s">
        <v>21</v>
      </c>
      <c r="C97">
        <v>0</v>
      </c>
      <c r="D97" t="s">
        <v>34</v>
      </c>
      <c r="E97" t="s">
        <v>1139</v>
      </c>
      <c r="F97" s="106" t="s">
        <v>1414</v>
      </c>
      <c r="G97" s="21" t="s">
        <v>866</v>
      </c>
      <c r="H97" s="21" t="s">
        <v>866</v>
      </c>
      <c r="I97" s="23" t="s">
        <v>866</v>
      </c>
      <c r="J97" s="21" t="s">
        <v>866</v>
      </c>
    </row>
    <row r="98" spans="1:10" x14ac:dyDescent="0.2">
      <c r="A98" s="107">
        <v>850632</v>
      </c>
      <c r="B98" t="s">
        <v>21</v>
      </c>
      <c r="C98">
        <v>0</v>
      </c>
      <c r="D98" t="s">
        <v>897</v>
      </c>
      <c r="E98" t="s">
        <v>960</v>
      </c>
      <c r="F98" s="106" t="s">
        <v>1414</v>
      </c>
      <c r="G98" s="21" t="s">
        <v>866</v>
      </c>
      <c r="H98" s="21" t="s">
        <v>866</v>
      </c>
      <c r="I98" s="23" t="s">
        <v>866</v>
      </c>
      <c r="J98" s="21" t="s">
        <v>866</v>
      </c>
    </row>
    <row r="99" spans="1:10" x14ac:dyDescent="0.2">
      <c r="A99" s="107">
        <v>850624</v>
      </c>
      <c r="B99" t="s">
        <v>21</v>
      </c>
      <c r="C99">
        <v>0</v>
      </c>
      <c r="D99" t="s">
        <v>34</v>
      </c>
      <c r="E99" t="s">
        <v>1138</v>
      </c>
      <c r="F99" s="106" t="s">
        <v>1414</v>
      </c>
      <c r="G99" s="21" t="s">
        <v>866</v>
      </c>
      <c r="H99" s="21" t="s">
        <v>866</v>
      </c>
      <c r="I99" s="23" t="s">
        <v>866</v>
      </c>
      <c r="J99" s="21" t="s">
        <v>866</v>
      </c>
    </row>
    <row r="100" spans="1:10" x14ac:dyDescent="0.2">
      <c r="A100" s="107">
        <v>850616</v>
      </c>
      <c r="B100" t="s">
        <v>21</v>
      </c>
      <c r="C100">
        <v>0</v>
      </c>
      <c r="D100" t="s">
        <v>1360</v>
      </c>
      <c r="E100" t="s">
        <v>1137</v>
      </c>
      <c r="F100" s="106" t="s">
        <v>1414</v>
      </c>
      <c r="G100" s="21" t="s">
        <v>866</v>
      </c>
      <c r="H100" s="21" t="s">
        <v>866</v>
      </c>
      <c r="I100" s="23" t="s">
        <v>866</v>
      </c>
      <c r="J100" s="21" t="s">
        <v>866</v>
      </c>
    </row>
    <row r="101" spans="1:10" x14ac:dyDescent="0.2">
      <c r="A101" s="107">
        <v>850608</v>
      </c>
      <c r="B101" t="s">
        <v>21</v>
      </c>
      <c r="C101">
        <v>0</v>
      </c>
      <c r="D101" t="s">
        <v>1360</v>
      </c>
      <c r="E101" t="s">
        <v>1136</v>
      </c>
      <c r="F101" s="106" t="s">
        <v>1414</v>
      </c>
      <c r="G101" s="21" t="s">
        <v>866</v>
      </c>
      <c r="H101" s="21" t="s">
        <v>866</v>
      </c>
      <c r="I101" s="23" t="s">
        <v>866</v>
      </c>
      <c r="J101" s="21" t="s">
        <v>866</v>
      </c>
    </row>
    <row r="102" spans="1:10" x14ac:dyDescent="0.2">
      <c r="A102" s="107">
        <v>850594</v>
      </c>
      <c r="B102" t="s">
        <v>21</v>
      </c>
      <c r="C102">
        <v>0</v>
      </c>
      <c r="D102" t="s">
        <v>34</v>
      </c>
      <c r="E102" t="s">
        <v>1135</v>
      </c>
      <c r="F102" s="106" t="s">
        <v>1414</v>
      </c>
      <c r="G102" s="21" t="s">
        <v>866</v>
      </c>
      <c r="H102" s="21" t="s">
        <v>866</v>
      </c>
      <c r="I102" s="23" t="s">
        <v>866</v>
      </c>
      <c r="J102" s="21" t="s">
        <v>866</v>
      </c>
    </row>
    <row r="103" spans="1:10" x14ac:dyDescent="0.2">
      <c r="A103" s="107">
        <v>850535</v>
      </c>
      <c r="B103" t="s">
        <v>21</v>
      </c>
      <c r="C103">
        <v>0</v>
      </c>
      <c r="D103" t="s">
        <v>34</v>
      </c>
      <c r="E103" t="s">
        <v>1129</v>
      </c>
      <c r="F103" s="106" t="s">
        <v>1414</v>
      </c>
      <c r="G103" s="21" t="s">
        <v>866</v>
      </c>
      <c r="H103" s="21" t="s">
        <v>866</v>
      </c>
      <c r="I103" s="23" t="s">
        <v>866</v>
      </c>
      <c r="J103" s="21" t="s">
        <v>866</v>
      </c>
    </row>
    <row r="104" spans="1:10" x14ac:dyDescent="0.2">
      <c r="A104" s="107">
        <v>850501</v>
      </c>
      <c r="B104" t="s">
        <v>21</v>
      </c>
      <c r="C104">
        <v>0</v>
      </c>
      <c r="D104" t="s">
        <v>1360</v>
      </c>
      <c r="E104" t="s">
        <v>1128</v>
      </c>
      <c r="F104" s="106" t="s">
        <v>1414</v>
      </c>
      <c r="G104" s="21" t="s">
        <v>866</v>
      </c>
      <c r="H104" s="21" t="s">
        <v>866</v>
      </c>
      <c r="I104" s="23" t="s">
        <v>866</v>
      </c>
      <c r="J104" s="21" t="s">
        <v>866</v>
      </c>
    </row>
    <row r="105" spans="1:10" x14ac:dyDescent="0.2">
      <c r="A105" s="107">
        <v>850497</v>
      </c>
      <c r="B105" t="s">
        <v>21</v>
      </c>
      <c r="C105">
        <v>0</v>
      </c>
      <c r="D105" t="s">
        <v>897</v>
      </c>
      <c r="E105" t="s">
        <v>959</v>
      </c>
      <c r="F105" s="106" t="s">
        <v>1414</v>
      </c>
      <c r="G105" s="21" t="s">
        <v>866</v>
      </c>
      <c r="H105" s="21" t="s">
        <v>866</v>
      </c>
      <c r="I105" s="23" t="s">
        <v>866</v>
      </c>
      <c r="J105" s="21" t="s">
        <v>866</v>
      </c>
    </row>
    <row r="106" spans="1:10" x14ac:dyDescent="0.2">
      <c r="A106" s="107">
        <v>850489</v>
      </c>
      <c r="B106" t="s">
        <v>21</v>
      </c>
      <c r="C106">
        <v>0</v>
      </c>
      <c r="D106" t="s">
        <v>897</v>
      </c>
      <c r="E106" t="s">
        <v>958</v>
      </c>
      <c r="F106" s="106" t="s">
        <v>1414</v>
      </c>
      <c r="G106" s="21" t="s">
        <v>866</v>
      </c>
      <c r="H106" s="21" t="s">
        <v>866</v>
      </c>
      <c r="I106" s="23" t="s">
        <v>866</v>
      </c>
      <c r="J106" s="21" t="s">
        <v>866</v>
      </c>
    </row>
    <row r="107" spans="1:10" x14ac:dyDescent="0.2">
      <c r="A107" s="107">
        <v>850471</v>
      </c>
      <c r="B107" t="s">
        <v>21</v>
      </c>
      <c r="C107">
        <v>0</v>
      </c>
      <c r="D107" t="s">
        <v>897</v>
      </c>
      <c r="E107" t="s">
        <v>957</v>
      </c>
      <c r="F107" s="106" t="s">
        <v>1414</v>
      </c>
      <c r="G107" s="21" t="s">
        <v>866</v>
      </c>
      <c r="H107" s="21" t="s">
        <v>866</v>
      </c>
      <c r="I107" s="23" t="s">
        <v>866</v>
      </c>
      <c r="J107" s="21" t="s">
        <v>866</v>
      </c>
    </row>
    <row r="108" spans="1:10" x14ac:dyDescent="0.2">
      <c r="A108" s="107">
        <v>850462</v>
      </c>
      <c r="B108" t="s">
        <v>21</v>
      </c>
      <c r="C108">
        <v>0</v>
      </c>
      <c r="D108" t="s">
        <v>897</v>
      </c>
      <c r="E108" t="s">
        <v>956</v>
      </c>
      <c r="F108" s="106" t="s">
        <v>1414</v>
      </c>
      <c r="G108" s="21" t="s">
        <v>866</v>
      </c>
      <c r="H108" s="21" t="s">
        <v>866</v>
      </c>
      <c r="I108" s="23" t="s">
        <v>866</v>
      </c>
      <c r="J108" s="21" t="s">
        <v>866</v>
      </c>
    </row>
    <row r="109" spans="1:10" x14ac:dyDescent="0.2">
      <c r="A109" s="107">
        <v>850454</v>
      </c>
      <c r="B109" t="s">
        <v>21</v>
      </c>
      <c r="C109">
        <v>0</v>
      </c>
      <c r="D109" t="s">
        <v>897</v>
      </c>
      <c r="E109" t="s">
        <v>955</v>
      </c>
      <c r="F109" s="106" t="s">
        <v>1414</v>
      </c>
      <c r="G109" s="21" t="s">
        <v>866</v>
      </c>
      <c r="H109" s="21" t="s">
        <v>866</v>
      </c>
      <c r="I109" s="23" t="s">
        <v>866</v>
      </c>
      <c r="J109" s="21" t="s">
        <v>866</v>
      </c>
    </row>
    <row r="110" spans="1:10" x14ac:dyDescent="0.2">
      <c r="A110" s="107">
        <v>850446</v>
      </c>
      <c r="B110" t="s">
        <v>21</v>
      </c>
      <c r="C110">
        <v>0</v>
      </c>
      <c r="D110" t="s">
        <v>897</v>
      </c>
      <c r="E110" t="s">
        <v>954</v>
      </c>
      <c r="F110" s="106" t="s">
        <v>1414</v>
      </c>
      <c r="G110" s="21" t="s">
        <v>866</v>
      </c>
      <c r="H110" s="21" t="s">
        <v>866</v>
      </c>
      <c r="I110" s="23" t="s">
        <v>866</v>
      </c>
      <c r="J110" s="21" t="s">
        <v>866</v>
      </c>
    </row>
    <row r="111" spans="1:10" x14ac:dyDescent="0.2">
      <c r="A111" s="107">
        <v>850438</v>
      </c>
      <c r="B111" t="s">
        <v>21</v>
      </c>
      <c r="C111">
        <v>0</v>
      </c>
      <c r="D111" t="s">
        <v>34</v>
      </c>
      <c r="E111" t="s">
        <v>1127</v>
      </c>
      <c r="F111" s="106" t="s">
        <v>1414</v>
      </c>
      <c r="G111" s="21" t="s">
        <v>866</v>
      </c>
      <c r="H111" s="21" t="s">
        <v>866</v>
      </c>
      <c r="I111" s="23" t="s">
        <v>866</v>
      </c>
      <c r="J111" s="21" t="s">
        <v>866</v>
      </c>
    </row>
    <row r="112" spans="1:10" x14ac:dyDescent="0.2">
      <c r="A112" s="107">
        <v>850420</v>
      </c>
      <c r="B112" t="s">
        <v>21</v>
      </c>
      <c r="C112">
        <v>0</v>
      </c>
      <c r="D112" t="s">
        <v>34</v>
      </c>
      <c r="E112" t="s">
        <v>1126</v>
      </c>
      <c r="F112" s="106" t="s">
        <v>1414</v>
      </c>
      <c r="G112" s="21" t="s">
        <v>866</v>
      </c>
      <c r="H112" s="21" t="s">
        <v>866</v>
      </c>
      <c r="I112" s="23" t="s">
        <v>866</v>
      </c>
      <c r="J112" s="21" t="s">
        <v>866</v>
      </c>
    </row>
    <row r="113" spans="1:10" x14ac:dyDescent="0.2">
      <c r="A113" s="107">
        <v>850411</v>
      </c>
      <c r="B113" t="s">
        <v>21</v>
      </c>
      <c r="C113">
        <v>0</v>
      </c>
      <c r="D113" t="s">
        <v>34</v>
      </c>
      <c r="E113" t="s">
        <v>1125</v>
      </c>
      <c r="F113" s="106" t="s">
        <v>1414</v>
      </c>
      <c r="G113" s="21" t="s">
        <v>866</v>
      </c>
      <c r="H113" s="21" t="s">
        <v>866</v>
      </c>
      <c r="I113" s="23" t="s">
        <v>866</v>
      </c>
      <c r="J113" s="21" t="s">
        <v>866</v>
      </c>
    </row>
    <row r="114" spans="1:10" x14ac:dyDescent="0.2">
      <c r="A114" s="107">
        <v>850403</v>
      </c>
      <c r="B114" t="s">
        <v>21</v>
      </c>
      <c r="C114">
        <v>0</v>
      </c>
      <c r="D114" t="s">
        <v>34</v>
      </c>
      <c r="E114" t="s">
        <v>1124</v>
      </c>
      <c r="F114" s="106" t="s">
        <v>1414</v>
      </c>
      <c r="G114" s="21"/>
      <c r="H114" s="21"/>
      <c r="I114" s="23"/>
      <c r="J114" s="21"/>
    </row>
    <row r="115" spans="1:10" x14ac:dyDescent="0.2">
      <c r="A115" s="107">
        <v>850390</v>
      </c>
      <c r="B115" t="s">
        <v>21</v>
      </c>
      <c r="C115">
        <v>0</v>
      </c>
      <c r="D115" t="s">
        <v>34</v>
      </c>
      <c r="E115" t="s">
        <v>1123</v>
      </c>
      <c r="F115" s="106" t="s">
        <v>1414</v>
      </c>
      <c r="G115" s="21"/>
      <c r="H115" s="21"/>
      <c r="I115" s="23"/>
      <c r="J115" s="21"/>
    </row>
    <row r="116" spans="1:10" x14ac:dyDescent="0.2">
      <c r="A116" s="107">
        <v>850381</v>
      </c>
      <c r="B116" t="s">
        <v>21</v>
      </c>
      <c r="C116">
        <v>0</v>
      </c>
      <c r="D116" t="s">
        <v>34</v>
      </c>
      <c r="E116" t="s">
        <v>1122</v>
      </c>
      <c r="F116" s="106" t="s">
        <v>1414</v>
      </c>
      <c r="G116" s="21"/>
      <c r="H116" s="21"/>
      <c r="I116" s="23"/>
      <c r="J116" s="21"/>
    </row>
    <row r="117" spans="1:10" x14ac:dyDescent="0.2">
      <c r="A117" s="107">
        <v>850365</v>
      </c>
      <c r="B117" t="s">
        <v>21</v>
      </c>
      <c r="C117">
        <v>0</v>
      </c>
      <c r="D117" t="s">
        <v>34</v>
      </c>
      <c r="E117" t="s">
        <v>1120</v>
      </c>
      <c r="F117" s="106" t="s">
        <v>1414</v>
      </c>
      <c r="G117" s="21"/>
      <c r="H117" s="21"/>
      <c r="I117" s="23"/>
      <c r="J117" s="21"/>
    </row>
    <row r="118" spans="1:10" x14ac:dyDescent="0.2">
      <c r="A118" s="107">
        <v>850357</v>
      </c>
      <c r="B118" t="s">
        <v>21</v>
      </c>
      <c r="C118">
        <v>0</v>
      </c>
      <c r="D118" t="s">
        <v>34</v>
      </c>
      <c r="E118" t="s">
        <v>1119</v>
      </c>
      <c r="F118" s="106" t="s">
        <v>1414</v>
      </c>
      <c r="G118" s="21"/>
      <c r="H118" s="21"/>
      <c r="I118" s="23"/>
      <c r="J118" s="21"/>
    </row>
    <row r="119" spans="1:10" x14ac:dyDescent="0.2">
      <c r="A119" s="107">
        <v>850349</v>
      </c>
      <c r="B119" t="s">
        <v>21</v>
      </c>
      <c r="C119">
        <v>0</v>
      </c>
      <c r="D119" t="s">
        <v>34</v>
      </c>
      <c r="E119" t="s">
        <v>1118</v>
      </c>
      <c r="F119" s="106" t="s">
        <v>1414</v>
      </c>
      <c r="G119" s="21"/>
      <c r="H119" s="21"/>
      <c r="I119" s="23"/>
      <c r="J119" s="21"/>
    </row>
    <row r="120" spans="1:10" x14ac:dyDescent="0.2">
      <c r="A120" s="107">
        <v>850331</v>
      </c>
      <c r="B120" t="s">
        <v>21</v>
      </c>
      <c r="C120">
        <v>0</v>
      </c>
      <c r="D120" t="s">
        <v>34</v>
      </c>
      <c r="E120" t="s">
        <v>1117</v>
      </c>
      <c r="F120" s="106" t="s">
        <v>1414</v>
      </c>
      <c r="G120" s="21"/>
      <c r="H120" s="21"/>
      <c r="I120" s="23"/>
      <c r="J120" s="21"/>
    </row>
    <row r="121" spans="1:10" x14ac:dyDescent="0.2">
      <c r="A121" s="107">
        <v>850322</v>
      </c>
      <c r="B121" t="s">
        <v>21</v>
      </c>
      <c r="C121">
        <v>0</v>
      </c>
      <c r="D121" t="s">
        <v>897</v>
      </c>
      <c r="E121" t="s">
        <v>953</v>
      </c>
      <c r="F121" s="106" t="s">
        <v>1414</v>
      </c>
      <c r="G121" s="21"/>
      <c r="H121" s="21"/>
      <c r="I121" s="23"/>
      <c r="J121" s="21"/>
    </row>
    <row r="122" spans="1:10" x14ac:dyDescent="0.2">
      <c r="A122" s="107">
        <v>850314</v>
      </c>
      <c r="B122" t="s">
        <v>21</v>
      </c>
      <c r="C122">
        <v>0</v>
      </c>
      <c r="D122" t="s">
        <v>34</v>
      </c>
      <c r="E122" t="s">
        <v>1116</v>
      </c>
      <c r="F122" s="106" t="s">
        <v>1414</v>
      </c>
      <c r="G122" s="21"/>
      <c r="H122" s="21"/>
      <c r="I122" s="23"/>
      <c r="J122" s="21"/>
    </row>
    <row r="123" spans="1:10" x14ac:dyDescent="0.2">
      <c r="A123" s="107">
        <v>850292</v>
      </c>
      <c r="B123" t="s">
        <v>21</v>
      </c>
      <c r="C123">
        <v>0</v>
      </c>
      <c r="D123" t="s">
        <v>34</v>
      </c>
      <c r="E123" t="s">
        <v>1115</v>
      </c>
      <c r="F123" s="106" t="s">
        <v>1414</v>
      </c>
      <c r="G123" s="21"/>
      <c r="H123" s="21"/>
      <c r="I123" s="23"/>
      <c r="J123" s="21"/>
    </row>
    <row r="124" spans="1:10" x14ac:dyDescent="0.2">
      <c r="A124" s="107">
        <v>850284</v>
      </c>
      <c r="B124" t="s">
        <v>21</v>
      </c>
      <c r="C124">
        <v>0</v>
      </c>
      <c r="D124" t="s">
        <v>34</v>
      </c>
      <c r="E124" t="s">
        <v>1114</v>
      </c>
      <c r="F124" s="106" t="s">
        <v>1414</v>
      </c>
      <c r="G124" s="21"/>
      <c r="H124" s="21"/>
      <c r="I124" s="23"/>
      <c r="J124" s="21"/>
    </row>
    <row r="125" spans="1:10" x14ac:dyDescent="0.2">
      <c r="A125" s="107">
        <v>850276</v>
      </c>
      <c r="B125" t="s">
        <v>21</v>
      </c>
      <c r="C125">
        <v>0</v>
      </c>
      <c r="D125" t="s">
        <v>1360</v>
      </c>
      <c r="E125" t="s">
        <v>1113</v>
      </c>
      <c r="F125" s="106" t="s">
        <v>1414</v>
      </c>
      <c r="G125" s="21"/>
      <c r="H125" s="21"/>
      <c r="I125" s="23"/>
      <c r="J125" s="21"/>
    </row>
    <row r="126" spans="1:10" x14ac:dyDescent="0.2">
      <c r="A126" s="107">
        <v>850268</v>
      </c>
      <c r="B126" t="s">
        <v>21</v>
      </c>
      <c r="C126">
        <v>0</v>
      </c>
      <c r="D126" t="s">
        <v>34</v>
      </c>
      <c r="E126" t="s">
        <v>1112</v>
      </c>
      <c r="F126" s="106" t="s">
        <v>1414</v>
      </c>
      <c r="G126" s="21"/>
      <c r="H126" s="21"/>
      <c r="I126" s="23"/>
      <c r="J126" s="21"/>
    </row>
    <row r="127" spans="1:10" x14ac:dyDescent="0.2">
      <c r="A127" s="107">
        <v>850250</v>
      </c>
      <c r="B127" t="s">
        <v>21</v>
      </c>
      <c r="C127">
        <v>0</v>
      </c>
      <c r="D127" t="s">
        <v>34</v>
      </c>
      <c r="E127" t="s">
        <v>1111</v>
      </c>
      <c r="F127" s="106" t="s">
        <v>1414</v>
      </c>
      <c r="G127" s="21"/>
      <c r="H127" s="21"/>
      <c r="I127" s="23"/>
      <c r="J127" s="21"/>
    </row>
    <row r="128" spans="1:10" x14ac:dyDescent="0.2">
      <c r="A128" s="107">
        <v>850241</v>
      </c>
      <c r="B128" t="s">
        <v>21</v>
      </c>
      <c r="C128">
        <v>0</v>
      </c>
      <c r="D128" t="s">
        <v>34</v>
      </c>
      <c r="E128" t="s">
        <v>1110</v>
      </c>
      <c r="F128" s="106" t="s">
        <v>1414</v>
      </c>
      <c r="G128" s="21"/>
      <c r="H128" s="21"/>
      <c r="I128" s="23"/>
      <c r="J128" s="21"/>
    </row>
    <row r="129" spans="1:10" x14ac:dyDescent="0.2">
      <c r="A129" s="107">
        <v>850233</v>
      </c>
      <c r="B129" t="s">
        <v>21</v>
      </c>
      <c r="C129">
        <v>0</v>
      </c>
      <c r="D129" t="s">
        <v>34</v>
      </c>
      <c r="E129" t="s">
        <v>1109</v>
      </c>
      <c r="F129" s="106" t="s">
        <v>1414</v>
      </c>
      <c r="G129" s="21"/>
      <c r="H129" s="21"/>
      <c r="I129" s="23"/>
      <c r="J129" s="21"/>
    </row>
    <row r="130" spans="1:10" x14ac:dyDescent="0.2">
      <c r="A130" s="107">
        <v>850225</v>
      </c>
      <c r="B130" t="s">
        <v>21</v>
      </c>
      <c r="C130">
        <v>0</v>
      </c>
      <c r="D130" t="s">
        <v>34</v>
      </c>
      <c r="E130" t="s">
        <v>1108</v>
      </c>
      <c r="F130" s="106" t="s">
        <v>1414</v>
      </c>
      <c r="G130" s="21"/>
      <c r="H130" s="21"/>
      <c r="I130" s="23"/>
      <c r="J130" s="21"/>
    </row>
    <row r="131" spans="1:10" x14ac:dyDescent="0.2">
      <c r="A131" s="107">
        <v>850187</v>
      </c>
      <c r="B131" t="s">
        <v>21</v>
      </c>
      <c r="C131">
        <v>0</v>
      </c>
      <c r="D131" t="s">
        <v>34</v>
      </c>
      <c r="E131" t="s">
        <v>1105</v>
      </c>
      <c r="F131" s="106" t="s">
        <v>1414</v>
      </c>
      <c r="G131" s="21"/>
      <c r="H131" s="21"/>
      <c r="I131" s="23"/>
      <c r="J131" s="21"/>
    </row>
    <row r="132" spans="1:10" x14ac:dyDescent="0.2">
      <c r="A132" s="107">
        <v>850179</v>
      </c>
      <c r="B132" t="s">
        <v>21</v>
      </c>
      <c r="C132">
        <v>0</v>
      </c>
      <c r="D132" t="s">
        <v>34</v>
      </c>
      <c r="E132" t="s">
        <v>1390</v>
      </c>
      <c r="F132" s="106" t="s">
        <v>1414</v>
      </c>
      <c r="G132" s="21"/>
      <c r="H132" s="21"/>
      <c r="I132" s="23"/>
      <c r="J132" s="21"/>
    </row>
    <row r="133" spans="1:10" x14ac:dyDescent="0.2">
      <c r="A133" s="107">
        <v>850152</v>
      </c>
      <c r="B133" t="s">
        <v>21</v>
      </c>
      <c r="C133">
        <v>0</v>
      </c>
      <c r="D133" t="s">
        <v>897</v>
      </c>
      <c r="E133" t="s">
        <v>952</v>
      </c>
      <c r="F133" s="106" t="s">
        <v>1414</v>
      </c>
      <c r="G133" s="21"/>
      <c r="H133" s="21"/>
      <c r="I133" s="23"/>
      <c r="J133" s="21"/>
    </row>
    <row r="134" spans="1:10" x14ac:dyDescent="0.2">
      <c r="A134" s="107">
        <v>850144</v>
      </c>
      <c r="B134" t="s">
        <v>21</v>
      </c>
      <c r="C134">
        <v>0</v>
      </c>
      <c r="D134" t="s">
        <v>34</v>
      </c>
      <c r="E134" t="s">
        <v>1103</v>
      </c>
      <c r="F134" s="106" t="s">
        <v>1414</v>
      </c>
      <c r="G134" s="21"/>
      <c r="H134" s="21"/>
      <c r="I134" s="23"/>
      <c r="J134" s="21"/>
    </row>
    <row r="135" spans="1:10" x14ac:dyDescent="0.2">
      <c r="A135" s="107">
        <v>850136</v>
      </c>
      <c r="B135" t="s">
        <v>21</v>
      </c>
      <c r="C135">
        <v>0</v>
      </c>
      <c r="D135" t="s">
        <v>897</v>
      </c>
      <c r="E135" t="s">
        <v>951</v>
      </c>
      <c r="F135" s="106" t="s">
        <v>1414</v>
      </c>
      <c r="G135" s="21"/>
      <c r="H135" s="21"/>
      <c r="I135" s="23"/>
      <c r="J135" s="21"/>
    </row>
    <row r="136" spans="1:10" x14ac:dyDescent="0.2">
      <c r="A136" s="107">
        <v>850128</v>
      </c>
      <c r="B136" t="s">
        <v>21</v>
      </c>
      <c r="C136">
        <v>0</v>
      </c>
      <c r="D136" t="s">
        <v>34</v>
      </c>
      <c r="E136" t="s">
        <v>1102</v>
      </c>
      <c r="F136" s="106" t="s">
        <v>1414</v>
      </c>
      <c r="G136" s="21"/>
      <c r="H136" s="21"/>
      <c r="I136" s="23"/>
      <c r="J136" s="21"/>
    </row>
    <row r="137" spans="1:10" x14ac:dyDescent="0.2">
      <c r="A137" s="107">
        <v>850110</v>
      </c>
      <c r="B137" t="s">
        <v>21</v>
      </c>
      <c r="C137">
        <v>0</v>
      </c>
      <c r="D137" t="s">
        <v>897</v>
      </c>
      <c r="E137" t="s">
        <v>950</v>
      </c>
      <c r="F137" s="106" t="s">
        <v>1414</v>
      </c>
      <c r="G137" s="21"/>
      <c r="H137" s="21"/>
      <c r="I137" s="23"/>
      <c r="J137" s="21"/>
    </row>
    <row r="138" spans="1:10" x14ac:dyDescent="0.2">
      <c r="A138" s="107">
        <v>850101</v>
      </c>
      <c r="B138" t="s">
        <v>21</v>
      </c>
      <c r="C138">
        <v>0</v>
      </c>
      <c r="D138" t="s">
        <v>34</v>
      </c>
      <c r="E138" t="s">
        <v>1101</v>
      </c>
      <c r="F138" s="106" t="s">
        <v>1414</v>
      </c>
      <c r="G138" s="21"/>
      <c r="H138" s="21"/>
      <c r="I138" s="23"/>
      <c r="J138" s="21"/>
    </row>
    <row r="139" spans="1:10" x14ac:dyDescent="0.2">
      <c r="A139" s="107">
        <v>850098</v>
      </c>
      <c r="B139" t="s">
        <v>21</v>
      </c>
      <c r="C139">
        <v>0</v>
      </c>
      <c r="D139" t="s">
        <v>897</v>
      </c>
      <c r="E139" t="s">
        <v>949</v>
      </c>
      <c r="F139" s="106" t="s">
        <v>1414</v>
      </c>
      <c r="G139" s="21"/>
      <c r="H139" s="21"/>
      <c r="I139" s="23"/>
      <c r="J139" s="21"/>
    </row>
    <row r="140" spans="1:10" x14ac:dyDescent="0.2">
      <c r="A140" s="107">
        <v>850080</v>
      </c>
      <c r="B140" t="s">
        <v>21</v>
      </c>
      <c r="C140">
        <v>0</v>
      </c>
      <c r="D140" t="s">
        <v>34</v>
      </c>
      <c r="E140" t="s">
        <v>1100</v>
      </c>
      <c r="F140" s="106" t="s">
        <v>1414</v>
      </c>
      <c r="G140" s="21"/>
      <c r="H140" s="21"/>
      <c r="I140" s="23"/>
      <c r="J140" s="21"/>
    </row>
    <row r="141" spans="1:10" x14ac:dyDescent="0.2">
      <c r="A141" s="107">
        <v>850071</v>
      </c>
      <c r="B141" t="s">
        <v>21</v>
      </c>
      <c r="C141">
        <v>0</v>
      </c>
      <c r="D141" t="s">
        <v>897</v>
      </c>
      <c r="E141" t="s">
        <v>948</v>
      </c>
      <c r="F141" s="106" t="s">
        <v>1414</v>
      </c>
      <c r="G141" s="21"/>
      <c r="H141" s="21"/>
      <c r="I141" s="23"/>
      <c r="J141" s="21"/>
    </row>
    <row r="142" spans="1:10" x14ac:dyDescent="0.2">
      <c r="A142" s="107">
        <v>850063</v>
      </c>
      <c r="B142" t="s">
        <v>21</v>
      </c>
      <c r="C142">
        <v>0</v>
      </c>
      <c r="D142" t="s">
        <v>34</v>
      </c>
      <c r="E142" t="s">
        <v>1099</v>
      </c>
      <c r="F142" s="106" t="s">
        <v>1414</v>
      </c>
      <c r="G142" s="21"/>
      <c r="H142" s="21"/>
      <c r="I142" s="23"/>
      <c r="J142" s="21"/>
    </row>
    <row r="143" spans="1:10" x14ac:dyDescent="0.2">
      <c r="A143" s="107">
        <v>850055</v>
      </c>
      <c r="B143" t="s">
        <v>21</v>
      </c>
      <c r="C143">
        <v>0</v>
      </c>
      <c r="D143" t="s">
        <v>897</v>
      </c>
      <c r="E143" t="s">
        <v>947</v>
      </c>
      <c r="F143" s="106" t="s">
        <v>1414</v>
      </c>
      <c r="G143" s="21"/>
      <c r="H143" s="21"/>
      <c r="I143" s="23"/>
      <c r="J143" s="21"/>
    </row>
    <row r="144" spans="1:10" x14ac:dyDescent="0.2">
      <c r="A144" s="107">
        <v>850047</v>
      </c>
      <c r="B144" t="s">
        <v>21</v>
      </c>
      <c r="C144">
        <v>0</v>
      </c>
      <c r="D144" t="s">
        <v>34</v>
      </c>
      <c r="E144" t="s">
        <v>1098</v>
      </c>
      <c r="F144" s="106" t="s">
        <v>1414</v>
      </c>
      <c r="G144" s="21"/>
      <c r="H144" s="21"/>
      <c r="I144" s="23"/>
      <c r="J144" s="21"/>
    </row>
    <row r="145" spans="1:10" x14ac:dyDescent="0.2">
      <c r="A145" s="107">
        <v>850039</v>
      </c>
      <c r="B145" t="s">
        <v>21</v>
      </c>
      <c r="C145">
        <v>0</v>
      </c>
      <c r="D145" t="s">
        <v>34</v>
      </c>
      <c r="E145" t="s">
        <v>1097</v>
      </c>
      <c r="F145" s="106" t="s">
        <v>1414</v>
      </c>
      <c r="G145" s="21"/>
      <c r="H145" s="21"/>
      <c r="I145" s="23"/>
      <c r="J145" s="21"/>
    </row>
    <row r="146" spans="1:10" x14ac:dyDescent="0.2">
      <c r="A146" s="107">
        <v>850012</v>
      </c>
      <c r="B146" t="s">
        <v>21</v>
      </c>
      <c r="C146">
        <v>0</v>
      </c>
      <c r="D146" t="s">
        <v>34</v>
      </c>
      <c r="E146" t="s">
        <v>1096</v>
      </c>
      <c r="F146" s="106" t="s">
        <v>1414</v>
      </c>
      <c r="G146" s="21"/>
      <c r="H146" s="21"/>
      <c r="I146" s="23"/>
      <c r="J146" s="21"/>
    </row>
    <row r="147" spans="1:10" x14ac:dyDescent="0.2">
      <c r="A147" s="107">
        <v>843024</v>
      </c>
      <c r="B147" t="s">
        <v>21</v>
      </c>
      <c r="C147">
        <v>0</v>
      </c>
      <c r="D147" t="s">
        <v>34</v>
      </c>
      <c r="E147" t="s">
        <v>1095</v>
      </c>
      <c r="F147" s="106" t="s">
        <v>1414</v>
      </c>
      <c r="G147" s="21"/>
      <c r="H147" s="21"/>
      <c r="I147" s="23"/>
      <c r="J147" s="21"/>
    </row>
    <row r="148" spans="1:10" x14ac:dyDescent="0.2">
      <c r="A148" s="107">
        <v>843016</v>
      </c>
      <c r="B148" t="s">
        <v>21</v>
      </c>
      <c r="C148">
        <v>0</v>
      </c>
      <c r="D148" t="s">
        <v>34</v>
      </c>
      <c r="E148" t="s">
        <v>1094</v>
      </c>
      <c r="F148" s="106" t="s">
        <v>1414</v>
      </c>
      <c r="G148" s="21"/>
      <c r="H148" s="21"/>
      <c r="I148" s="23"/>
      <c r="J148" s="21"/>
    </row>
    <row r="149" spans="1:10" x14ac:dyDescent="0.2">
      <c r="A149" s="107">
        <v>842087</v>
      </c>
      <c r="B149" t="s">
        <v>21</v>
      </c>
      <c r="C149">
        <v>0</v>
      </c>
      <c r="D149" t="s">
        <v>897</v>
      </c>
      <c r="E149" t="s">
        <v>945</v>
      </c>
      <c r="F149" s="106" t="s">
        <v>1414</v>
      </c>
      <c r="G149" s="21"/>
      <c r="H149" s="21"/>
      <c r="I149" s="23"/>
      <c r="J149" s="21"/>
    </row>
    <row r="150" spans="1:10" x14ac:dyDescent="0.2">
      <c r="A150" s="107">
        <v>842079</v>
      </c>
      <c r="B150" t="s">
        <v>21</v>
      </c>
      <c r="C150">
        <v>0</v>
      </c>
      <c r="D150" t="s">
        <v>34</v>
      </c>
      <c r="E150" t="s">
        <v>1093</v>
      </c>
      <c r="F150" s="106" t="s">
        <v>1414</v>
      </c>
      <c r="G150" s="21"/>
      <c r="H150" s="21"/>
      <c r="I150" s="23"/>
      <c r="J150" s="21"/>
    </row>
    <row r="151" spans="1:10" x14ac:dyDescent="0.2">
      <c r="A151" s="107">
        <v>842061</v>
      </c>
      <c r="B151" t="s">
        <v>21</v>
      </c>
      <c r="C151">
        <v>0</v>
      </c>
      <c r="D151" t="s">
        <v>34</v>
      </c>
      <c r="E151" t="s">
        <v>1093</v>
      </c>
      <c r="F151" s="106" t="s">
        <v>1414</v>
      </c>
      <c r="G151" s="21"/>
      <c r="H151" s="21"/>
      <c r="I151" s="23"/>
      <c r="J151" s="21"/>
    </row>
    <row r="152" spans="1:10" x14ac:dyDescent="0.2">
      <c r="A152" s="107">
        <v>842052</v>
      </c>
      <c r="B152" t="s">
        <v>21</v>
      </c>
      <c r="C152">
        <v>0</v>
      </c>
      <c r="D152" t="s">
        <v>34</v>
      </c>
      <c r="E152" t="s">
        <v>1092</v>
      </c>
      <c r="F152" s="106" t="s">
        <v>1414</v>
      </c>
      <c r="G152" s="21"/>
      <c r="H152" s="21"/>
      <c r="I152" s="23"/>
      <c r="J152" s="21"/>
    </row>
    <row r="153" spans="1:10" x14ac:dyDescent="0.2">
      <c r="A153" s="107">
        <v>842044</v>
      </c>
      <c r="B153" t="s">
        <v>21</v>
      </c>
      <c r="C153">
        <v>0</v>
      </c>
      <c r="D153" t="s">
        <v>897</v>
      </c>
      <c r="E153" t="s">
        <v>944</v>
      </c>
      <c r="F153" s="106" t="s">
        <v>1414</v>
      </c>
      <c r="G153" s="21"/>
      <c r="H153" s="21"/>
      <c r="I153" s="23"/>
      <c r="J153" s="21"/>
    </row>
    <row r="154" spans="1:10" x14ac:dyDescent="0.2">
      <c r="A154" s="107">
        <v>842036</v>
      </c>
      <c r="B154" t="s">
        <v>21</v>
      </c>
      <c r="C154">
        <v>0</v>
      </c>
      <c r="D154" t="s">
        <v>34</v>
      </c>
      <c r="E154" t="s">
        <v>1091</v>
      </c>
      <c r="F154" s="106" t="s">
        <v>1414</v>
      </c>
      <c r="G154" s="21"/>
      <c r="H154" s="21"/>
      <c r="I154" s="23"/>
      <c r="J154" s="21"/>
    </row>
    <row r="155" spans="1:10" x14ac:dyDescent="0.2">
      <c r="A155" s="107">
        <v>842010</v>
      </c>
      <c r="B155" t="s">
        <v>21</v>
      </c>
      <c r="C155">
        <v>0</v>
      </c>
      <c r="D155" t="s">
        <v>34</v>
      </c>
      <c r="E155" t="s">
        <v>1089</v>
      </c>
      <c r="F155" s="106" t="s">
        <v>1414</v>
      </c>
      <c r="G155" s="21"/>
      <c r="H155" s="21"/>
      <c r="I155" s="23"/>
      <c r="J155" s="21"/>
    </row>
    <row r="156" spans="1:10" x14ac:dyDescent="0.2">
      <c r="A156" s="107">
        <v>842001</v>
      </c>
      <c r="B156" t="s">
        <v>21</v>
      </c>
      <c r="C156">
        <v>0</v>
      </c>
      <c r="D156" t="s">
        <v>34</v>
      </c>
      <c r="E156" t="s">
        <v>1088</v>
      </c>
      <c r="F156" s="106" t="s">
        <v>1414</v>
      </c>
      <c r="G156" s="21"/>
      <c r="H156" s="21"/>
      <c r="I156" s="23"/>
      <c r="J156" s="21"/>
    </row>
    <row r="157" spans="1:10" x14ac:dyDescent="0.2">
      <c r="A157" s="107">
        <v>841404</v>
      </c>
      <c r="B157" t="s">
        <v>21</v>
      </c>
      <c r="C157">
        <v>0</v>
      </c>
      <c r="D157" t="s">
        <v>1360</v>
      </c>
      <c r="E157" t="s">
        <v>1364</v>
      </c>
      <c r="F157" s="106" t="s">
        <v>1414</v>
      </c>
      <c r="G157" s="21"/>
      <c r="H157" s="21"/>
      <c r="I157" s="23"/>
      <c r="J157" s="21"/>
    </row>
    <row r="158" spans="1:10" x14ac:dyDescent="0.2">
      <c r="A158" s="107">
        <v>841391</v>
      </c>
      <c r="B158" t="s">
        <v>21</v>
      </c>
      <c r="C158">
        <v>0</v>
      </c>
      <c r="D158" t="s">
        <v>897</v>
      </c>
      <c r="E158" t="s">
        <v>1365</v>
      </c>
      <c r="F158" s="106" t="s">
        <v>1414</v>
      </c>
      <c r="G158" s="21"/>
      <c r="H158" s="21"/>
      <c r="I158" s="23"/>
      <c r="J158" s="21"/>
    </row>
    <row r="159" spans="1:10" x14ac:dyDescent="0.2">
      <c r="A159" s="107">
        <v>841382</v>
      </c>
      <c r="B159" t="s">
        <v>21</v>
      </c>
      <c r="C159">
        <v>0</v>
      </c>
      <c r="D159" t="s">
        <v>897</v>
      </c>
      <c r="E159" t="s">
        <v>943</v>
      </c>
      <c r="F159" s="106" t="s">
        <v>1414</v>
      </c>
      <c r="G159" s="21"/>
      <c r="H159" s="21"/>
      <c r="I159" s="23"/>
      <c r="J159" s="21"/>
    </row>
    <row r="160" spans="1:10" x14ac:dyDescent="0.2">
      <c r="A160" s="107">
        <v>841374</v>
      </c>
      <c r="B160" t="s">
        <v>21</v>
      </c>
      <c r="C160">
        <v>0</v>
      </c>
      <c r="D160" t="s">
        <v>34</v>
      </c>
      <c r="E160" t="s">
        <v>1391</v>
      </c>
      <c r="F160" s="106" t="s">
        <v>1414</v>
      </c>
      <c r="G160" s="21"/>
      <c r="H160" s="21"/>
      <c r="I160" s="23"/>
      <c r="J160" s="21"/>
    </row>
    <row r="161" spans="1:10" x14ac:dyDescent="0.2">
      <c r="A161" s="107">
        <v>841366</v>
      </c>
      <c r="B161" t="s">
        <v>21</v>
      </c>
      <c r="C161">
        <v>0</v>
      </c>
      <c r="D161" t="s">
        <v>34</v>
      </c>
      <c r="E161" t="s">
        <v>1086</v>
      </c>
      <c r="F161" s="106" t="s">
        <v>1414</v>
      </c>
      <c r="G161" s="21"/>
      <c r="H161" s="21"/>
      <c r="I161" s="23"/>
      <c r="J161" s="21"/>
    </row>
    <row r="162" spans="1:10" x14ac:dyDescent="0.2">
      <c r="A162" s="107">
        <v>841358</v>
      </c>
      <c r="B162" t="s">
        <v>21</v>
      </c>
      <c r="C162">
        <v>0</v>
      </c>
      <c r="D162" t="s">
        <v>897</v>
      </c>
      <c r="E162" t="s">
        <v>1392</v>
      </c>
      <c r="F162" s="106" t="s">
        <v>1414</v>
      </c>
      <c r="G162" s="21"/>
      <c r="H162" s="21"/>
      <c r="I162" s="23"/>
      <c r="J162" s="21"/>
    </row>
    <row r="163" spans="1:10" x14ac:dyDescent="0.2">
      <c r="A163" s="107">
        <v>841340</v>
      </c>
      <c r="B163" t="s">
        <v>21</v>
      </c>
      <c r="C163">
        <v>0</v>
      </c>
      <c r="D163" t="s">
        <v>897</v>
      </c>
      <c r="E163" t="s">
        <v>941</v>
      </c>
      <c r="F163" s="106" t="s">
        <v>1414</v>
      </c>
      <c r="G163" s="21"/>
      <c r="H163" s="21"/>
      <c r="I163" s="23"/>
      <c r="J163" s="21"/>
    </row>
    <row r="164" spans="1:10" x14ac:dyDescent="0.2">
      <c r="A164" s="107">
        <v>841331</v>
      </c>
      <c r="B164" t="s">
        <v>21</v>
      </c>
      <c r="C164">
        <v>0</v>
      </c>
      <c r="D164" t="s">
        <v>897</v>
      </c>
      <c r="E164" t="s">
        <v>940</v>
      </c>
      <c r="F164" s="106" t="s">
        <v>1414</v>
      </c>
      <c r="G164" s="21"/>
      <c r="H164" s="21"/>
      <c r="I164" s="23"/>
      <c r="J164" s="21"/>
    </row>
    <row r="165" spans="1:10" x14ac:dyDescent="0.2">
      <c r="A165" s="107">
        <v>841323</v>
      </c>
      <c r="B165" t="s">
        <v>21</v>
      </c>
      <c r="C165">
        <v>0</v>
      </c>
      <c r="D165" t="s">
        <v>897</v>
      </c>
      <c r="E165" t="s">
        <v>939</v>
      </c>
      <c r="F165" s="106" t="s">
        <v>1414</v>
      </c>
      <c r="G165" s="21"/>
      <c r="H165" s="21"/>
      <c r="I165" s="23"/>
      <c r="J165" s="21"/>
    </row>
    <row r="166" spans="1:10" x14ac:dyDescent="0.2">
      <c r="A166" s="107">
        <v>841315</v>
      </c>
      <c r="B166" t="s">
        <v>21</v>
      </c>
      <c r="C166">
        <v>0</v>
      </c>
      <c r="D166" t="s">
        <v>1360</v>
      </c>
      <c r="E166" t="s">
        <v>938</v>
      </c>
      <c r="F166" s="106" t="s">
        <v>1414</v>
      </c>
      <c r="G166" s="21"/>
      <c r="H166" s="21"/>
      <c r="I166" s="23"/>
      <c r="J166" s="21"/>
    </row>
    <row r="167" spans="1:10" x14ac:dyDescent="0.2">
      <c r="A167" s="107">
        <v>841307</v>
      </c>
      <c r="B167" t="s">
        <v>21</v>
      </c>
      <c r="C167">
        <v>0</v>
      </c>
      <c r="D167" t="s">
        <v>1360</v>
      </c>
      <c r="E167" t="s">
        <v>937</v>
      </c>
      <c r="F167" s="106" t="s">
        <v>1414</v>
      </c>
      <c r="G167" s="21"/>
      <c r="H167" s="21"/>
      <c r="I167" s="23"/>
      <c r="J167" s="21"/>
    </row>
    <row r="168" spans="1:10" x14ac:dyDescent="0.2">
      <c r="A168" s="107">
        <v>841293</v>
      </c>
      <c r="B168" t="s">
        <v>21</v>
      </c>
      <c r="C168">
        <v>0</v>
      </c>
      <c r="D168" t="s">
        <v>897</v>
      </c>
      <c r="E168" t="s">
        <v>936</v>
      </c>
      <c r="F168" s="106" t="s">
        <v>1414</v>
      </c>
      <c r="G168" s="21"/>
      <c r="H168" s="21"/>
      <c r="I168" s="23"/>
      <c r="J168" s="21"/>
    </row>
    <row r="169" spans="1:10" x14ac:dyDescent="0.2">
      <c r="A169" s="107">
        <v>841277</v>
      </c>
      <c r="B169" t="s">
        <v>21</v>
      </c>
      <c r="C169">
        <v>0</v>
      </c>
      <c r="D169" t="s">
        <v>897</v>
      </c>
      <c r="E169" t="s">
        <v>935</v>
      </c>
      <c r="F169" s="106" t="s">
        <v>1414</v>
      </c>
      <c r="G169" s="21"/>
      <c r="H169" s="21"/>
      <c r="I169" s="23"/>
      <c r="J169" s="21"/>
    </row>
    <row r="170" spans="1:10" x14ac:dyDescent="0.2">
      <c r="A170" s="107">
        <v>841269</v>
      </c>
      <c r="B170" t="s">
        <v>21</v>
      </c>
      <c r="C170">
        <v>0</v>
      </c>
      <c r="D170" t="s">
        <v>34</v>
      </c>
      <c r="E170" t="s">
        <v>1085</v>
      </c>
      <c r="F170" s="106" t="s">
        <v>1414</v>
      </c>
      <c r="G170" s="21"/>
      <c r="H170" s="21"/>
      <c r="I170" s="23"/>
      <c r="J170" s="21"/>
    </row>
    <row r="171" spans="1:10" x14ac:dyDescent="0.2">
      <c r="A171" s="107">
        <v>841161</v>
      </c>
      <c r="B171" t="s">
        <v>21</v>
      </c>
      <c r="C171">
        <v>0</v>
      </c>
      <c r="D171" t="s">
        <v>1360</v>
      </c>
      <c r="E171" t="s">
        <v>1079</v>
      </c>
      <c r="F171" s="106" t="s">
        <v>1414</v>
      </c>
      <c r="G171" s="21"/>
      <c r="H171" s="21"/>
      <c r="I171" s="23"/>
      <c r="J171" s="21"/>
    </row>
    <row r="172" spans="1:10" x14ac:dyDescent="0.2">
      <c r="A172" s="107">
        <v>841145</v>
      </c>
      <c r="B172" t="s">
        <v>21</v>
      </c>
      <c r="C172">
        <v>0</v>
      </c>
      <c r="D172" t="s">
        <v>34</v>
      </c>
      <c r="E172" t="s">
        <v>1077</v>
      </c>
      <c r="F172" s="106" t="s">
        <v>1414</v>
      </c>
      <c r="G172" s="21"/>
      <c r="H172" s="21"/>
      <c r="I172" s="23"/>
      <c r="J172" s="21"/>
    </row>
    <row r="173" spans="1:10" x14ac:dyDescent="0.2">
      <c r="A173" s="107">
        <v>841137</v>
      </c>
      <c r="B173" t="s">
        <v>21</v>
      </c>
      <c r="C173">
        <v>0</v>
      </c>
      <c r="D173" t="s">
        <v>34</v>
      </c>
      <c r="E173" t="s">
        <v>1076</v>
      </c>
      <c r="F173" s="106" t="s">
        <v>1414</v>
      </c>
      <c r="G173" s="21"/>
      <c r="H173" s="21"/>
      <c r="I173" s="23"/>
      <c r="J173" s="21"/>
    </row>
    <row r="174" spans="1:10" x14ac:dyDescent="0.2">
      <c r="A174" s="107">
        <v>841129</v>
      </c>
      <c r="B174" t="s">
        <v>21</v>
      </c>
      <c r="C174">
        <v>0</v>
      </c>
      <c r="D174" t="s">
        <v>1360</v>
      </c>
      <c r="E174" t="s">
        <v>1075</v>
      </c>
      <c r="F174" s="106" t="s">
        <v>1414</v>
      </c>
      <c r="G174" s="21"/>
      <c r="H174" s="21"/>
      <c r="I174" s="23"/>
      <c r="J174" s="21"/>
    </row>
    <row r="175" spans="1:10" x14ac:dyDescent="0.2">
      <c r="A175" s="107">
        <v>841111</v>
      </c>
      <c r="B175" t="s">
        <v>21</v>
      </c>
      <c r="C175">
        <v>0</v>
      </c>
      <c r="D175" t="s">
        <v>1360</v>
      </c>
      <c r="E175" t="s">
        <v>1074</v>
      </c>
      <c r="F175" s="106" t="s">
        <v>1414</v>
      </c>
      <c r="G175" s="21"/>
      <c r="H175" s="21"/>
      <c r="I175" s="23"/>
      <c r="J175" s="21"/>
    </row>
    <row r="176" spans="1:10" x14ac:dyDescent="0.2">
      <c r="A176" s="107">
        <v>841102</v>
      </c>
      <c r="B176" t="s">
        <v>21</v>
      </c>
      <c r="C176">
        <v>0</v>
      </c>
      <c r="D176" t="s">
        <v>897</v>
      </c>
      <c r="E176" t="s">
        <v>932</v>
      </c>
      <c r="F176" s="106" t="s">
        <v>1414</v>
      </c>
      <c r="G176" s="21"/>
      <c r="H176" s="21"/>
      <c r="I176" s="23"/>
      <c r="J176" s="21"/>
    </row>
    <row r="177" spans="1:10" x14ac:dyDescent="0.2">
      <c r="A177" s="107">
        <v>841099</v>
      </c>
      <c r="B177" t="s">
        <v>21</v>
      </c>
      <c r="C177">
        <v>0</v>
      </c>
      <c r="D177" t="s">
        <v>34</v>
      </c>
      <c r="E177" t="s">
        <v>1073</v>
      </c>
      <c r="F177" s="106" t="s">
        <v>1414</v>
      </c>
      <c r="G177" s="21"/>
      <c r="H177" s="21"/>
      <c r="I177" s="23"/>
      <c r="J177" s="21"/>
    </row>
    <row r="178" spans="1:10" x14ac:dyDescent="0.2">
      <c r="A178" s="107">
        <v>841081</v>
      </c>
      <c r="B178" t="s">
        <v>21</v>
      </c>
      <c r="C178">
        <v>0</v>
      </c>
      <c r="D178" t="s">
        <v>1360</v>
      </c>
      <c r="E178" t="s">
        <v>1072</v>
      </c>
      <c r="F178" s="106" t="s">
        <v>1414</v>
      </c>
      <c r="G178" s="21"/>
      <c r="H178" s="21"/>
      <c r="I178" s="23"/>
      <c r="J178" s="21"/>
    </row>
    <row r="179" spans="1:10" x14ac:dyDescent="0.2">
      <c r="A179" s="107">
        <v>841072</v>
      </c>
      <c r="B179" t="s">
        <v>21</v>
      </c>
      <c r="C179">
        <v>0</v>
      </c>
      <c r="D179" t="s">
        <v>34</v>
      </c>
      <c r="E179" t="s">
        <v>1071</v>
      </c>
      <c r="F179" s="106" t="s">
        <v>1414</v>
      </c>
      <c r="G179" s="21"/>
      <c r="H179" s="21"/>
      <c r="I179" s="23"/>
      <c r="J179" s="21"/>
    </row>
    <row r="180" spans="1:10" x14ac:dyDescent="0.2">
      <c r="A180" s="107">
        <v>841064</v>
      </c>
      <c r="B180" t="s">
        <v>21</v>
      </c>
      <c r="C180">
        <v>0</v>
      </c>
      <c r="D180" t="s">
        <v>34</v>
      </c>
      <c r="E180" t="s">
        <v>1070</v>
      </c>
      <c r="F180" s="106" t="s">
        <v>1414</v>
      </c>
      <c r="G180" s="21"/>
      <c r="H180" s="21"/>
      <c r="I180" s="23"/>
      <c r="J180" s="21"/>
    </row>
    <row r="181" spans="1:10" x14ac:dyDescent="0.2">
      <c r="A181" s="107">
        <v>841056</v>
      </c>
      <c r="B181" t="s">
        <v>21</v>
      </c>
      <c r="C181">
        <v>0</v>
      </c>
      <c r="D181" t="s">
        <v>1360</v>
      </c>
      <c r="E181" t="s">
        <v>1069</v>
      </c>
      <c r="F181" s="106" t="s">
        <v>1414</v>
      </c>
      <c r="G181" s="21"/>
      <c r="H181" s="21"/>
      <c r="I181" s="23"/>
      <c r="J181" s="21"/>
    </row>
    <row r="182" spans="1:10" x14ac:dyDescent="0.2">
      <c r="A182" s="107">
        <v>841048</v>
      </c>
      <c r="B182" t="s">
        <v>21</v>
      </c>
      <c r="C182">
        <v>0</v>
      </c>
      <c r="D182" t="s">
        <v>897</v>
      </c>
      <c r="E182" t="s">
        <v>931</v>
      </c>
      <c r="F182" s="106" t="s">
        <v>1414</v>
      </c>
      <c r="G182" s="21"/>
      <c r="H182" s="21"/>
      <c r="I182" s="23"/>
      <c r="J182" s="21"/>
    </row>
    <row r="183" spans="1:10" x14ac:dyDescent="0.2">
      <c r="A183" s="107">
        <v>841030</v>
      </c>
      <c r="B183" t="s">
        <v>21</v>
      </c>
      <c r="C183">
        <v>0</v>
      </c>
      <c r="D183" t="s">
        <v>34</v>
      </c>
      <c r="E183" t="s">
        <v>1068</v>
      </c>
      <c r="F183" s="106" t="s">
        <v>1414</v>
      </c>
      <c r="G183" s="21"/>
      <c r="H183" s="21"/>
      <c r="I183" s="23"/>
      <c r="J183" s="21"/>
    </row>
    <row r="184" spans="1:10" x14ac:dyDescent="0.2">
      <c r="A184" s="107">
        <v>841005</v>
      </c>
      <c r="B184" t="s">
        <v>21</v>
      </c>
      <c r="C184">
        <v>0</v>
      </c>
      <c r="D184" t="s">
        <v>1360</v>
      </c>
      <c r="E184" t="s">
        <v>1066</v>
      </c>
      <c r="F184" s="106" t="s">
        <v>1414</v>
      </c>
      <c r="G184" s="21"/>
      <c r="H184" s="21"/>
      <c r="I184" s="23"/>
      <c r="J184" s="21"/>
    </row>
    <row r="185" spans="1:10" x14ac:dyDescent="0.2">
      <c r="A185" s="107">
        <v>840998</v>
      </c>
      <c r="B185" t="s">
        <v>21</v>
      </c>
      <c r="C185">
        <v>0</v>
      </c>
      <c r="D185" t="s">
        <v>1360</v>
      </c>
      <c r="E185" t="s">
        <v>1065</v>
      </c>
      <c r="F185" s="106" t="s">
        <v>1414</v>
      </c>
      <c r="G185" s="21"/>
      <c r="H185" s="21"/>
      <c r="I185" s="23"/>
      <c r="J185" s="21"/>
    </row>
    <row r="186" spans="1:10" x14ac:dyDescent="0.2">
      <c r="A186" s="107">
        <v>840980</v>
      </c>
      <c r="B186" t="s">
        <v>21</v>
      </c>
      <c r="C186">
        <v>0</v>
      </c>
      <c r="D186" t="s">
        <v>34</v>
      </c>
      <c r="E186" t="s">
        <v>1064</v>
      </c>
      <c r="F186" s="106" t="s">
        <v>1414</v>
      </c>
      <c r="G186" s="21"/>
      <c r="H186" s="21"/>
      <c r="I186" s="23"/>
      <c r="J186" s="21"/>
    </row>
    <row r="187" spans="1:10" x14ac:dyDescent="0.2">
      <c r="A187" s="107">
        <v>840955</v>
      </c>
      <c r="B187" t="s">
        <v>21</v>
      </c>
      <c r="C187">
        <v>0</v>
      </c>
      <c r="D187" t="s">
        <v>1360</v>
      </c>
      <c r="E187" t="s">
        <v>1062</v>
      </c>
      <c r="F187" s="106" t="s">
        <v>1414</v>
      </c>
      <c r="G187" s="21"/>
      <c r="H187" s="21"/>
      <c r="I187" s="23"/>
      <c r="J187" s="21"/>
    </row>
    <row r="188" spans="1:10" x14ac:dyDescent="0.2">
      <c r="A188" s="107">
        <v>840939</v>
      </c>
      <c r="B188" t="s">
        <v>21</v>
      </c>
      <c r="C188">
        <v>0</v>
      </c>
      <c r="D188" t="s">
        <v>1360</v>
      </c>
      <c r="E188" t="s">
        <v>1061</v>
      </c>
      <c r="F188" s="106" t="s">
        <v>1414</v>
      </c>
      <c r="G188" s="21"/>
      <c r="H188" s="21"/>
      <c r="I188" s="23"/>
      <c r="J188" s="21"/>
    </row>
    <row r="189" spans="1:10" x14ac:dyDescent="0.2">
      <c r="A189" s="107">
        <v>840921</v>
      </c>
      <c r="B189" t="s">
        <v>21</v>
      </c>
      <c r="C189">
        <v>0</v>
      </c>
      <c r="D189" t="s">
        <v>34</v>
      </c>
      <c r="E189" t="s">
        <v>1060</v>
      </c>
      <c r="F189" s="106" t="s">
        <v>1414</v>
      </c>
      <c r="G189" s="21"/>
      <c r="H189" s="21"/>
      <c r="I189" s="23"/>
      <c r="J189" s="21"/>
    </row>
    <row r="190" spans="1:10" x14ac:dyDescent="0.2">
      <c r="A190" s="107">
        <v>840912</v>
      </c>
      <c r="B190" t="s">
        <v>21</v>
      </c>
      <c r="C190">
        <v>0</v>
      </c>
      <c r="D190" t="s">
        <v>34</v>
      </c>
      <c r="E190" t="s">
        <v>1059</v>
      </c>
      <c r="F190" s="106" t="s">
        <v>1414</v>
      </c>
      <c r="G190" s="21"/>
      <c r="H190" s="21"/>
      <c r="I190" s="23"/>
      <c r="J190" s="21"/>
    </row>
    <row r="191" spans="1:10" x14ac:dyDescent="0.2">
      <c r="A191" s="107">
        <v>840904</v>
      </c>
      <c r="B191" t="s">
        <v>21</v>
      </c>
      <c r="C191">
        <v>0</v>
      </c>
      <c r="D191" t="s">
        <v>34</v>
      </c>
      <c r="E191" t="s">
        <v>1058</v>
      </c>
      <c r="F191" s="106" t="s">
        <v>1414</v>
      </c>
      <c r="G191" s="21"/>
      <c r="H191" s="21"/>
      <c r="I191" s="23"/>
      <c r="J191" s="21"/>
    </row>
    <row r="192" spans="1:10" x14ac:dyDescent="0.2">
      <c r="A192" s="107">
        <v>840874</v>
      </c>
      <c r="B192" t="s">
        <v>21</v>
      </c>
      <c r="C192">
        <v>0</v>
      </c>
      <c r="D192" t="s">
        <v>897</v>
      </c>
      <c r="E192" t="s">
        <v>930</v>
      </c>
      <c r="F192" s="106" t="s">
        <v>1414</v>
      </c>
      <c r="G192" s="21"/>
      <c r="H192" s="21"/>
      <c r="I192" s="23"/>
      <c r="J192" s="21"/>
    </row>
    <row r="193" spans="1:10" x14ac:dyDescent="0.2">
      <c r="A193" s="107">
        <v>840866</v>
      </c>
      <c r="B193" t="s">
        <v>21</v>
      </c>
      <c r="C193">
        <v>0</v>
      </c>
      <c r="D193" t="s">
        <v>34</v>
      </c>
      <c r="E193" t="s">
        <v>1057</v>
      </c>
      <c r="F193" s="106" t="s">
        <v>1414</v>
      </c>
      <c r="G193" s="21"/>
      <c r="H193" s="21"/>
      <c r="I193" s="23"/>
      <c r="J193" s="21"/>
    </row>
    <row r="194" spans="1:10" x14ac:dyDescent="0.2">
      <c r="A194" s="107">
        <v>840858</v>
      </c>
      <c r="B194" t="s">
        <v>21</v>
      </c>
      <c r="C194">
        <v>0</v>
      </c>
      <c r="D194" t="s">
        <v>1360</v>
      </c>
      <c r="E194" t="s">
        <v>929</v>
      </c>
      <c r="F194" s="106" t="s">
        <v>1414</v>
      </c>
      <c r="G194" s="21"/>
      <c r="H194" s="21"/>
      <c r="I194" s="23"/>
      <c r="J194" s="21"/>
    </row>
    <row r="195" spans="1:10" x14ac:dyDescent="0.2">
      <c r="A195" s="107">
        <v>840840</v>
      </c>
      <c r="B195" t="s">
        <v>21</v>
      </c>
      <c r="C195">
        <v>0</v>
      </c>
      <c r="D195" t="s">
        <v>1360</v>
      </c>
      <c r="E195" t="s">
        <v>1056</v>
      </c>
      <c r="F195" s="106" t="s">
        <v>1414</v>
      </c>
      <c r="G195" s="21"/>
      <c r="H195" s="21"/>
      <c r="I195" s="23"/>
      <c r="J195" s="21"/>
    </row>
    <row r="196" spans="1:10" x14ac:dyDescent="0.2">
      <c r="A196" s="107">
        <v>840831</v>
      </c>
      <c r="B196" t="s">
        <v>21</v>
      </c>
      <c r="C196">
        <v>0</v>
      </c>
      <c r="D196" t="s">
        <v>897</v>
      </c>
      <c r="E196" t="s">
        <v>928</v>
      </c>
      <c r="F196" s="106" t="s">
        <v>1414</v>
      </c>
      <c r="G196" s="21"/>
      <c r="H196" s="21"/>
      <c r="I196" s="23"/>
      <c r="J196" s="21"/>
    </row>
    <row r="197" spans="1:10" x14ac:dyDescent="0.2">
      <c r="A197" s="107">
        <v>840823</v>
      </c>
      <c r="B197" t="s">
        <v>21</v>
      </c>
      <c r="C197">
        <v>0</v>
      </c>
      <c r="D197" t="s">
        <v>34</v>
      </c>
      <c r="E197" t="s">
        <v>1055</v>
      </c>
      <c r="F197" s="106" t="s">
        <v>1414</v>
      </c>
      <c r="G197" s="21"/>
      <c r="H197" s="21"/>
      <c r="I197" s="23"/>
      <c r="J197" s="21"/>
    </row>
    <row r="198" spans="1:10" x14ac:dyDescent="0.2">
      <c r="A198" s="107">
        <v>840751</v>
      </c>
      <c r="B198" t="s">
        <v>21</v>
      </c>
      <c r="C198">
        <v>0</v>
      </c>
      <c r="D198" t="s">
        <v>897</v>
      </c>
      <c r="E198" t="s">
        <v>927</v>
      </c>
      <c r="F198" s="106" t="s">
        <v>1414</v>
      </c>
      <c r="G198" s="21"/>
      <c r="H198" s="21"/>
      <c r="I198" s="23"/>
      <c r="J198" s="21"/>
    </row>
    <row r="199" spans="1:10" x14ac:dyDescent="0.2">
      <c r="A199" s="107">
        <v>840742</v>
      </c>
      <c r="B199" t="s">
        <v>21</v>
      </c>
      <c r="C199">
        <v>0</v>
      </c>
      <c r="D199" t="s">
        <v>897</v>
      </c>
      <c r="E199" t="s">
        <v>926</v>
      </c>
      <c r="F199" s="106" t="s">
        <v>1414</v>
      </c>
      <c r="G199" s="21"/>
      <c r="H199" s="21"/>
      <c r="I199" s="23"/>
      <c r="J199" s="21"/>
    </row>
    <row r="200" spans="1:10" x14ac:dyDescent="0.2">
      <c r="A200" s="107">
        <v>840718</v>
      </c>
      <c r="B200" t="s">
        <v>21</v>
      </c>
      <c r="C200">
        <v>0</v>
      </c>
      <c r="D200" t="s">
        <v>34</v>
      </c>
      <c r="E200" t="s">
        <v>1054</v>
      </c>
      <c r="F200" s="106" t="s">
        <v>1414</v>
      </c>
      <c r="G200" s="21"/>
      <c r="H200" s="21"/>
      <c r="I200" s="23"/>
      <c r="J200" s="21"/>
    </row>
    <row r="201" spans="1:10" x14ac:dyDescent="0.2">
      <c r="A201" s="107">
        <v>840700</v>
      </c>
      <c r="B201" t="s">
        <v>21</v>
      </c>
      <c r="C201">
        <v>0</v>
      </c>
      <c r="D201" t="s">
        <v>897</v>
      </c>
      <c r="E201" t="s">
        <v>925</v>
      </c>
      <c r="F201" s="106" t="s">
        <v>1414</v>
      </c>
      <c r="G201" s="21"/>
      <c r="H201" s="21"/>
      <c r="I201" s="23"/>
      <c r="J201" s="21"/>
    </row>
    <row r="202" spans="1:10" x14ac:dyDescent="0.2">
      <c r="A202" s="107">
        <v>840611</v>
      </c>
      <c r="B202" t="s">
        <v>21</v>
      </c>
      <c r="C202">
        <v>0</v>
      </c>
      <c r="D202" t="s">
        <v>897</v>
      </c>
      <c r="E202" t="s">
        <v>924</v>
      </c>
      <c r="F202" s="106" t="s">
        <v>1414</v>
      </c>
      <c r="G202" s="21"/>
      <c r="H202" s="21"/>
      <c r="I202" s="23"/>
      <c r="J202" s="21"/>
    </row>
    <row r="203" spans="1:10" x14ac:dyDescent="0.2">
      <c r="A203" s="107">
        <v>840602</v>
      </c>
      <c r="B203" t="s">
        <v>21</v>
      </c>
      <c r="C203">
        <v>0</v>
      </c>
      <c r="D203" t="s">
        <v>34</v>
      </c>
      <c r="E203" t="s">
        <v>1053</v>
      </c>
      <c r="F203" s="106" t="s">
        <v>1414</v>
      </c>
      <c r="G203" s="21"/>
      <c r="H203" s="21"/>
      <c r="I203" s="23"/>
      <c r="J203" s="21"/>
    </row>
    <row r="204" spans="1:10" x14ac:dyDescent="0.2">
      <c r="A204" s="107">
        <v>840599</v>
      </c>
      <c r="B204" t="s">
        <v>21</v>
      </c>
      <c r="C204">
        <v>0</v>
      </c>
      <c r="D204" t="s">
        <v>34</v>
      </c>
      <c r="E204" t="s">
        <v>1052</v>
      </c>
      <c r="F204" s="106" t="s">
        <v>1414</v>
      </c>
      <c r="G204" s="21"/>
      <c r="H204" s="21"/>
      <c r="I204" s="23"/>
      <c r="J204" s="21"/>
    </row>
    <row r="205" spans="1:10" x14ac:dyDescent="0.2">
      <c r="A205" s="107">
        <v>840581</v>
      </c>
      <c r="B205" t="s">
        <v>21</v>
      </c>
      <c r="C205">
        <v>0</v>
      </c>
      <c r="D205" t="s">
        <v>34</v>
      </c>
      <c r="E205" t="s">
        <v>1051</v>
      </c>
      <c r="F205" s="106" t="s">
        <v>1414</v>
      </c>
      <c r="G205" s="21"/>
      <c r="H205" s="21"/>
      <c r="I205" s="23"/>
      <c r="J205" s="21"/>
    </row>
    <row r="206" spans="1:10" x14ac:dyDescent="0.2">
      <c r="A206" s="107">
        <v>840572</v>
      </c>
      <c r="B206" t="s">
        <v>21</v>
      </c>
      <c r="C206">
        <v>0</v>
      </c>
      <c r="D206" t="s">
        <v>34</v>
      </c>
      <c r="E206" t="s">
        <v>1050</v>
      </c>
      <c r="F206" s="106" t="s">
        <v>1414</v>
      </c>
      <c r="G206" s="21"/>
      <c r="H206" s="21"/>
      <c r="I206" s="23"/>
      <c r="J206" s="21"/>
    </row>
    <row r="207" spans="1:10" x14ac:dyDescent="0.2">
      <c r="A207" s="107">
        <v>840564</v>
      </c>
      <c r="B207" t="s">
        <v>21</v>
      </c>
      <c r="C207">
        <v>0</v>
      </c>
      <c r="D207" t="s">
        <v>34</v>
      </c>
      <c r="E207" t="s">
        <v>1049</v>
      </c>
      <c r="F207" s="106" t="s">
        <v>1414</v>
      </c>
      <c r="G207" s="21"/>
      <c r="H207" s="21"/>
      <c r="I207" s="23"/>
      <c r="J207" s="21"/>
    </row>
    <row r="208" spans="1:10" x14ac:dyDescent="0.2">
      <c r="A208" s="107">
        <v>840556</v>
      </c>
      <c r="B208" t="s">
        <v>21</v>
      </c>
      <c r="C208">
        <v>0</v>
      </c>
      <c r="D208" t="s">
        <v>1360</v>
      </c>
      <c r="E208" t="s">
        <v>1048</v>
      </c>
      <c r="F208" s="106" t="s">
        <v>1414</v>
      </c>
      <c r="G208" s="21"/>
      <c r="H208" s="21"/>
      <c r="I208" s="23"/>
      <c r="J208" s="21"/>
    </row>
    <row r="209" spans="1:10" x14ac:dyDescent="0.2">
      <c r="A209" s="107">
        <v>840505</v>
      </c>
      <c r="B209" t="s">
        <v>21</v>
      </c>
      <c r="C209">
        <v>0</v>
      </c>
      <c r="D209" t="s">
        <v>897</v>
      </c>
      <c r="E209" t="s">
        <v>923</v>
      </c>
      <c r="F209" s="106" t="s">
        <v>1414</v>
      </c>
      <c r="G209" s="21"/>
      <c r="H209" s="21"/>
      <c r="I209" s="23"/>
      <c r="J209" s="21"/>
    </row>
    <row r="210" spans="1:10" x14ac:dyDescent="0.2">
      <c r="A210" s="107">
        <v>840491</v>
      </c>
      <c r="B210" t="s">
        <v>21</v>
      </c>
      <c r="C210">
        <v>0</v>
      </c>
      <c r="D210" t="s">
        <v>897</v>
      </c>
      <c r="E210" t="s">
        <v>922</v>
      </c>
      <c r="F210" s="106" t="s">
        <v>1414</v>
      </c>
      <c r="G210" s="21"/>
      <c r="H210" s="21"/>
      <c r="I210" s="23"/>
      <c r="J210" s="21"/>
    </row>
    <row r="211" spans="1:10" x14ac:dyDescent="0.2">
      <c r="A211" s="107">
        <v>840483</v>
      </c>
      <c r="B211" t="s">
        <v>21</v>
      </c>
      <c r="C211">
        <v>0</v>
      </c>
      <c r="D211" t="s">
        <v>897</v>
      </c>
      <c r="E211" t="s">
        <v>921</v>
      </c>
      <c r="F211" s="106" t="s">
        <v>1414</v>
      </c>
      <c r="G211" s="21"/>
      <c r="H211" s="21"/>
      <c r="I211" s="23"/>
      <c r="J211" s="21"/>
    </row>
    <row r="212" spans="1:10" x14ac:dyDescent="0.2">
      <c r="A212" s="107">
        <v>840467</v>
      </c>
      <c r="B212" t="s">
        <v>21</v>
      </c>
      <c r="C212">
        <v>0</v>
      </c>
      <c r="D212" t="s">
        <v>34</v>
      </c>
      <c r="E212" t="s">
        <v>1045</v>
      </c>
      <c r="F212" s="106" t="s">
        <v>1414</v>
      </c>
      <c r="G212" s="21"/>
      <c r="H212" s="21"/>
      <c r="I212" s="23"/>
      <c r="J212" s="21"/>
    </row>
    <row r="213" spans="1:10" x14ac:dyDescent="0.2">
      <c r="A213" s="107">
        <v>840459</v>
      </c>
      <c r="B213" t="s">
        <v>21</v>
      </c>
      <c r="C213">
        <v>0</v>
      </c>
      <c r="D213" t="s">
        <v>34</v>
      </c>
      <c r="E213" t="s">
        <v>1044</v>
      </c>
      <c r="F213" s="106" t="s">
        <v>1414</v>
      </c>
      <c r="G213" s="21"/>
      <c r="H213" s="21"/>
      <c r="I213" s="23"/>
      <c r="J213" s="21"/>
    </row>
    <row r="214" spans="1:10" x14ac:dyDescent="0.2">
      <c r="A214" s="107">
        <v>840441</v>
      </c>
      <c r="B214" t="s">
        <v>21</v>
      </c>
      <c r="C214">
        <v>0</v>
      </c>
      <c r="D214" t="s">
        <v>1360</v>
      </c>
      <c r="E214" t="s">
        <v>1043</v>
      </c>
      <c r="F214" s="106" t="s">
        <v>1414</v>
      </c>
      <c r="G214" s="21"/>
      <c r="H214" s="21"/>
      <c r="I214" s="23"/>
      <c r="J214" s="21"/>
    </row>
    <row r="215" spans="1:10" x14ac:dyDescent="0.2">
      <c r="A215" s="107">
        <v>840432</v>
      </c>
      <c r="B215" t="s">
        <v>21</v>
      </c>
      <c r="C215">
        <v>0</v>
      </c>
      <c r="D215" t="s">
        <v>34</v>
      </c>
      <c r="E215" t="s">
        <v>1042</v>
      </c>
      <c r="F215" s="106" t="s">
        <v>1414</v>
      </c>
      <c r="G215" s="21"/>
      <c r="H215" s="21"/>
      <c r="I215" s="23"/>
      <c r="J215" s="21"/>
    </row>
    <row r="216" spans="1:10" x14ac:dyDescent="0.2">
      <c r="A216" s="107">
        <v>840424</v>
      </c>
      <c r="B216" t="s">
        <v>21</v>
      </c>
      <c r="C216">
        <v>0</v>
      </c>
      <c r="D216" t="s">
        <v>34</v>
      </c>
      <c r="E216" t="s">
        <v>1041</v>
      </c>
      <c r="F216" s="106" t="s">
        <v>1414</v>
      </c>
      <c r="G216" s="21"/>
      <c r="H216" s="21"/>
      <c r="I216" s="23"/>
      <c r="J216" s="21"/>
    </row>
    <row r="217" spans="1:10" x14ac:dyDescent="0.2">
      <c r="A217" s="107">
        <v>840416</v>
      </c>
      <c r="B217" t="s">
        <v>21</v>
      </c>
      <c r="C217">
        <v>0</v>
      </c>
      <c r="D217" t="s">
        <v>34</v>
      </c>
      <c r="E217" t="s">
        <v>1040</v>
      </c>
      <c r="F217" s="106" t="s">
        <v>1414</v>
      </c>
      <c r="G217" s="21"/>
      <c r="H217" s="21"/>
      <c r="I217" s="23"/>
      <c r="J217" s="21"/>
    </row>
    <row r="218" spans="1:10" x14ac:dyDescent="0.2">
      <c r="A218" s="107">
        <v>840408</v>
      </c>
      <c r="B218" t="s">
        <v>21</v>
      </c>
      <c r="C218">
        <v>0</v>
      </c>
      <c r="D218" t="s">
        <v>34</v>
      </c>
      <c r="E218" t="s">
        <v>1039</v>
      </c>
      <c r="F218" s="106" t="s">
        <v>1414</v>
      </c>
      <c r="G218" s="21"/>
      <c r="H218" s="21"/>
      <c r="I218" s="23"/>
      <c r="J218" s="21"/>
    </row>
    <row r="219" spans="1:10" x14ac:dyDescent="0.2">
      <c r="A219" s="107">
        <v>840394</v>
      </c>
      <c r="B219" t="s">
        <v>21</v>
      </c>
      <c r="C219">
        <v>0</v>
      </c>
      <c r="D219" t="s">
        <v>34</v>
      </c>
      <c r="E219" t="s">
        <v>1038</v>
      </c>
      <c r="F219" s="106" t="s">
        <v>1414</v>
      </c>
      <c r="G219" s="21"/>
      <c r="H219" s="21"/>
      <c r="I219" s="23"/>
      <c r="J219" s="21"/>
    </row>
    <row r="220" spans="1:10" x14ac:dyDescent="0.2">
      <c r="A220" s="107">
        <v>840386</v>
      </c>
      <c r="B220" t="s">
        <v>21</v>
      </c>
      <c r="C220">
        <v>0</v>
      </c>
      <c r="D220" t="s">
        <v>34</v>
      </c>
      <c r="E220" t="s">
        <v>1037</v>
      </c>
      <c r="F220" s="106" t="s">
        <v>1414</v>
      </c>
      <c r="G220" s="21"/>
      <c r="H220" s="21"/>
      <c r="I220" s="23"/>
      <c r="J220" s="21"/>
    </row>
    <row r="221" spans="1:10" x14ac:dyDescent="0.2">
      <c r="A221" s="107">
        <v>840378</v>
      </c>
      <c r="B221" t="s">
        <v>21</v>
      </c>
      <c r="C221">
        <v>0</v>
      </c>
      <c r="D221" t="s">
        <v>34</v>
      </c>
      <c r="E221" t="s">
        <v>1036</v>
      </c>
      <c r="F221" s="106" t="s">
        <v>1414</v>
      </c>
      <c r="G221" s="21"/>
      <c r="H221" s="21"/>
      <c r="I221" s="23"/>
      <c r="J221" s="21"/>
    </row>
    <row r="222" spans="1:10" x14ac:dyDescent="0.2">
      <c r="A222" s="107">
        <v>840360</v>
      </c>
      <c r="B222" t="s">
        <v>21</v>
      </c>
      <c r="C222">
        <v>0</v>
      </c>
      <c r="D222" t="s">
        <v>34</v>
      </c>
      <c r="E222" t="s">
        <v>1035</v>
      </c>
      <c r="F222" s="106" t="s">
        <v>1414</v>
      </c>
      <c r="G222" s="21"/>
      <c r="H222" s="21"/>
      <c r="I222" s="23"/>
      <c r="J222" s="21"/>
    </row>
    <row r="223" spans="1:10" x14ac:dyDescent="0.2">
      <c r="A223" s="107">
        <v>840319</v>
      </c>
      <c r="B223" t="s">
        <v>21</v>
      </c>
      <c r="C223">
        <v>0</v>
      </c>
      <c r="D223" t="s">
        <v>897</v>
      </c>
      <c r="E223" t="s">
        <v>920</v>
      </c>
      <c r="F223" s="106" t="s">
        <v>1414</v>
      </c>
      <c r="G223" s="21"/>
      <c r="H223" s="21"/>
      <c r="I223" s="23"/>
      <c r="J223" s="21"/>
    </row>
    <row r="224" spans="1:10" x14ac:dyDescent="0.2">
      <c r="A224" s="107">
        <v>840301</v>
      </c>
      <c r="B224" t="s">
        <v>21</v>
      </c>
      <c r="C224">
        <v>0</v>
      </c>
      <c r="D224" t="s">
        <v>34</v>
      </c>
      <c r="E224" t="s">
        <v>1031</v>
      </c>
      <c r="F224" s="106" t="s">
        <v>1414</v>
      </c>
      <c r="G224" s="21"/>
      <c r="H224" s="21"/>
      <c r="I224" s="23"/>
      <c r="J224" s="21"/>
    </row>
    <row r="225" spans="1:10" x14ac:dyDescent="0.2">
      <c r="A225" s="107">
        <v>840297</v>
      </c>
      <c r="B225" t="s">
        <v>21</v>
      </c>
      <c r="C225">
        <v>0</v>
      </c>
      <c r="D225" t="s">
        <v>1360</v>
      </c>
      <c r="E225" t="s">
        <v>919</v>
      </c>
      <c r="F225" s="106" t="s">
        <v>1414</v>
      </c>
      <c r="G225" s="21"/>
      <c r="H225" s="21"/>
      <c r="I225" s="23"/>
      <c r="J225" s="21"/>
    </row>
    <row r="226" spans="1:10" x14ac:dyDescent="0.2">
      <c r="A226" s="107">
        <v>840271</v>
      </c>
      <c r="B226" t="s">
        <v>21</v>
      </c>
      <c r="C226">
        <v>0</v>
      </c>
      <c r="D226" t="s">
        <v>1360</v>
      </c>
      <c r="E226" t="s">
        <v>1030</v>
      </c>
      <c r="F226" s="106" t="s">
        <v>1414</v>
      </c>
      <c r="G226" s="21"/>
      <c r="H226" s="21"/>
      <c r="I226" s="23"/>
      <c r="J226" s="21"/>
    </row>
    <row r="227" spans="1:10" x14ac:dyDescent="0.2">
      <c r="A227" s="107">
        <v>840254</v>
      </c>
      <c r="B227" t="s">
        <v>21</v>
      </c>
      <c r="C227">
        <v>0</v>
      </c>
      <c r="D227" t="s">
        <v>1360</v>
      </c>
      <c r="E227" t="s">
        <v>1028</v>
      </c>
      <c r="F227" s="106" t="s">
        <v>1414</v>
      </c>
      <c r="G227" s="21"/>
      <c r="H227" s="21"/>
      <c r="I227" s="23"/>
      <c r="J227" s="21"/>
    </row>
    <row r="228" spans="1:10" x14ac:dyDescent="0.2">
      <c r="A228" s="107">
        <v>840246</v>
      </c>
      <c r="B228" t="s">
        <v>21</v>
      </c>
      <c r="C228">
        <v>0</v>
      </c>
      <c r="D228" t="s">
        <v>1360</v>
      </c>
      <c r="E228" t="s">
        <v>1027</v>
      </c>
      <c r="F228" s="106" t="s">
        <v>1414</v>
      </c>
      <c r="G228" s="21"/>
      <c r="H228" s="21"/>
      <c r="I228" s="23"/>
      <c r="J228" s="21"/>
    </row>
    <row r="229" spans="1:10" x14ac:dyDescent="0.2">
      <c r="A229" s="107">
        <v>840238</v>
      </c>
      <c r="B229" s="106" t="s">
        <v>1419</v>
      </c>
      <c r="C229">
        <v>0</v>
      </c>
      <c r="D229" t="s">
        <v>1360</v>
      </c>
      <c r="E229" s="106" t="s">
        <v>1418</v>
      </c>
      <c r="F229" s="106" t="s">
        <v>1414</v>
      </c>
      <c r="G229" s="21"/>
      <c r="H229" s="21"/>
      <c r="I229" s="23"/>
      <c r="J229" s="21"/>
    </row>
    <row r="230" spans="1:10" x14ac:dyDescent="0.2">
      <c r="A230" s="107">
        <v>840211</v>
      </c>
      <c r="B230" t="s">
        <v>21</v>
      </c>
      <c r="C230">
        <v>0</v>
      </c>
      <c r="D230" t="s">
        <v>1360</v>
      </c>
      <c r="E230" t="s">
        <v>1024</v>
      </c>
      <c r="F230" s="106" t="s">
        <v>1414</v>
      </c>
      <c r="G230" s="21"/>
      <c r="H230" s="21"/>
      <c r="I230" s="23"/>
      <c r="J230" s="21"/>
    </row>
    <row r="231" spans="1:10" x14ac:dyDescent="0.2">
      <c r="A231" s="107">
        <v>840181</v>
      </c>
      <c r="B231" t="s">
        <v>21</v>
      </c>
      <c r="C231">
        <v>0</v>
      </c>
      <c r="D231" t="s">
        <v>897</v>
      </c>
      <c r="E231" t="s">
        <v>917</v>
      </c>
      <c r="F231" s="106" t="s">
        <v>1414</v>
      </c>
      <c r="G231" s="21"/>
      <c r="H231" s="21"/>
      <c r="I231" s="23"/>
      <c r="J231" s="21"/>
    </row>
    <row r="232" spans="1:10" x14ac:dyDescent="0.2">
      <c r="A232" s="107">
        <v>840173</v>
      </c>
      <c r="B232" t="s">
        <v>21</v>
      </c>
      <c r="C232">
        <v>0</v>
      </c>
      <c r="D232" t="s">
        <v>34</v>
      </c>
      <c r="E232" t="s">
        <v>1022</v>
      </c>
      <c r="F232" s="106" t="s">
        <v>1414</v>
      </c>
      <c r="G232" s="21"/>
      <c r="H232" s="21"/>
      <c r="I232" s="23"/>
      <c r="J232" s="21"/>
    </row>
    <row r="233" spans="1:10" x14ac:dyDescent="0.2">
      <c r="A233" s="107">
        <v>840149</v>
      </c>
      <c r="B233" t="s">
        <v>21</v>
      </c>
      <c r="C233">
        <v>0</v>
      </c>
      <c r="D233" t="s">
        <v>897</v>
      </c>
      <c r="E233" t="s">
        <v>916</v>
      </c>
      <c r="F233" s="106" t="s">
        <v>1414</v>
      </c>
      <c r="G233" s="21"/>
      <c r="H233" s="21"/>
      <c r="I233" s="23"/>
      <c r="J233" s="21"/>
    </row>
    <row r="234" spans="1:10" x14ac:dyDescent="0.2">
      <c r="A234" s="107">
        <v>840131</v>
      </c>
      <c r="B234" t="s">
        <v>21</v>
      </c>
      <c r="C234">
        <v>0</v>
      </c>
      <c r="D234" t="s">
        <v>34</v>
      </c>
      <c r="E234" t="s">
        <v>1019</v>
      </c>
      <c r="F234" s="106" t="s">
        <v>1414</v>
      </c>
      <c r="G234" s="21"/>
      <c r="H234" s="21"/>
      <c r="I234" s="23"/>
      <c r="J234" s="21"/>
    </row>
    <row r="235" spans="1:10" x14ac:dyDescent="0.2">
      <c r="A235" s="107">
        <v>840122</v>
      </c>
      <c r="B235" t="s">
        <v>21</v>
      </c>
      <c r="C235">
        <v>0</v>
      </c>
      <c r="D235" t="s">
        <v>897</v>
      </c>
      <c r="E235" t="s">
        <v>915</v>
      </c>
      <c r="F235" s="106" t="s">
        <v>1414</v>
      </c>
      <c r="G235" s="21"/>
      <c r="H235" s="21"/>
      <c r="I235" s="23"/>
      <c r="J235" s="21"/>
    </row>
    <row r="236" spans="1:10" x14ac:dyDescent="0.2">
      <c r="A236" s="107">
        <v>840114</v>
      </c>
      <c r="B236" t="s">
        <v>21</v>
      </c>
      <c r="C236">
        <v>0</v>
      </c>
      <c r="D236" t="s">
        <v>34</v>
      </c>
      <c r="E236" t="s">
        <v>1018</v>
      </c>
      <c r="F236" s="106" t="s">
        <v>1414</v>
      </c>
      <c r="G236" s="21"/>
      <c r="H236" s="21"/>
      <c r="I236" s="23"/>
      <c r="J236" s="21"/>
    </row>
    <row r="237" spans="1:10" x14ac:dyDescent="0.2">
      <c r="A237" s="107">
        <v>840106</v>
      </c>
      <c r="B237" t="s">
        <v>21</v>
      </c>
      <c r="C237">
        <v>0</v>
      </c>
      <c r="D237" t="s">
        <v>897</v>
      </c>
      <c r="E237" t="s">
        <v>914</v>
      </c>
      <c r="F237" s="106" t="s">
        <v>1414</v>
      </c>
      <c r="G237" s="21"/>
      <c r="H237" s="21"/>
      <c r="I237" s="23"/>
      <c r="J237" s="21"/>
    </row>
    <row r="238" spans="1:10" x14ac:dyDescent="0.2">
      <c r="A238" s="107">
        <v>840092</v>
      </c>
      <c r="B238" t="s">
        <v>21</v>
      </c>
      <c r="C238">
        <v>0</v>
      </c>
      <c r="D238" t="s">
        <v>34</v>
      </c>
      <c r="E238" t="s">
        <v>1017</v>
      </c>
      <c r="F238" s="106" t="s">
        <v>1414</v>
      </c>
      <c r="G238" s="21"/>
      <c r="H238" s="21"/>
      <c r="I238" s="23"/>
      <c r="J238" s="21"/>
    </row>
    <row r="239" spans="1:10" x14ac:dyDescent="0.2">
      <c r="A239" s="107">
        <v>840084</v>
      </c>
      <c r="B239" t="s">
        <v>21</v>
      </c>
      <c r="C239">
        <v>0</v>
      </c>
      <c r="D239" t="s">
        <v>897</v>
      </c>
      <c r="E239" t="s">
        <v>913</v>
      </c>
      <c r="F239" s="106" t="s">
        <v>1414</v>
      </c>
      <c r="G239" s="21"/>
      <c r="H239" s="21"/>
      <c r="I239" s="23"/>
      <c r="J239" s="21"/>
    </row>
    <row r="240" spans="1:10" x14ac:dyDescent="0.2">
      <c r="A240" s="107">
        <v>840076</v>
      </c>
      <c r="B240" t="s">
        <v>21</v>
      </c>
      <c r="C240">
        <v>0</v>
      </c>
      <c r="D240" t="s">
        <v>34</v>
      </c>
      <c r="E240" t="s">
        <v>1016</v>
      </c>
      <c r="F240" s="106" t="s">
        <v>1414</v>
      </c>
      <c r="G240" s="21"/>
      <c r="H240" s="21"/>
      <c r="I240" s="23"/>
      <c r="J240" s="21"/>
    </row>
    <row r="241" spans="1:10" x14ac:dyDescent="0.2">
      <c r="A241" s="107">
        <v>840068</v>
      </c>
      <c r="B241" t="s">
        <v>21</v>
      </c>
      <c r="C241">
        <v>0</v>
      </c>
      <c r="D241" t="s">
        <v>897</v>
      </c>
      <c r="E241" t="s">
        <v>912</v>
      </c>
      <c r="F241" s="106" t="s">
        <v>1414</v>
      </c>
      <c r="G241" s="21"/>
      <c r="H241" s="21"/>
      <c r="I241" s="23"/>
      <c r="J241" s="21"/>
    </row>
    <row r="242" spans="1:10" x14ac:dyDescent="0.2">
      <c r="A242" s="107">
        <v>840041</v>
      </c>
      <c r="B242" t="s">
        <v>21</v>
      </c>
      <c r="C242">
        <v>0</v>
      </c>
      <c r="D242" t="s">
        <v>34</v>
      </c>
      <c r="E242" t="s">
        <v>1014</v>
      </c>
      <c r="F242" s="106" t="s">
        <v>1414</v>
      </c>
      <c r="G242" s="21"/>
      <c r="H242" s="21"/>
      <c r="I242" s="23"/>
      <c r="J242" s="21"/>
    </row>
    <row r="243" spans="1:10" x14ac:dyDescent="0.2">
      <c r="A243" s="107">
        <v>840033</v>
      </c>
      <c r="B243" t="s">
        <v>21</v>
      </c>
      <c r="C243">
        <v>0</v>
      </c>
      <c r="D243" t="s">
        <v>897</v>
      </c>
      <c r="E243" t="s">
        <v>911</v>
      </c>
      <c r="F243" s="106" t="s">
        <v>1414</v>
      </c>
      <c r="G243" s="21"/>
      <c r="H243" s="21"/>
      <c r="I243" s="23"/>
      <c r="J243" s="21"/>
    </row>
    <row r="244" spans="1:10" x14ac:dyDescent="0.2">
      <c r="A244" s="107">
        <v>840025</v>
      </c>
      <c r="B244" t="s">
        <v>21</v>
      </c>
      <c r="C244">
        <v>0</v>
      </c>
      <c r="D244" t="s">
        <v>34</v>
      </c>
      <c r="E244" t="s">
        <v>1366</v>
      </c>
      <c r="F244" s="106" t="s">
        <v>1414</v>
      </c>
      <c r="G244" s="21"/>
      <c r="H244" s="21"/>
      <c r="I244" s="23"/>
      <c r="J244" s="21"/>
    </row>
    <row r="245" spans="1:10" x14ac:dyDescent="0.2">
      <c r="A245" s="107">
        <v>840017</v>
      </c>
      <c r="B245" t="s">
        <v>21</v>
      </c>
      <c r="C245">
        <v>0</v>
      </c>
      <c r="D245" t="s">
        <v>34</v>
      </c>
      <c r="E245" t="s">
        <v>1366</v>
      </c>
      <c r="F245" s="106" t="s">
        <v>1414</v>
      </c>
      <c r="G245" s="21"/>
      <c r="H245" s="21"/>
      <c r="I245" s="23"/>
      <c r="J245" s="21"/>
    </row>
    <row r="246" spans="1:10" x14ac:dyDescent="0.2">
      <c r="A246" s="107">
        <v>820334</v>
      </c>
      <c r="B246" t="s">
        <v>21</v>
      </c>
      <c r="C246">
        <v>0</v>
      </c>
      <c r="D246" t="s">
        <v>34</v>
      </c>
      <c r="E246" t="s">
        <v>1393</v>
      </c>
      <c r="F246" s="106" t="s">
        <v>1414</v>
      </c>
      <c r="G246" s="21"/>
      <c r="H246" s="21"/>
      <c r="I246" s="23"/>
      <c r="J246" s="21"/>
    </row>
    <row r="247" spans="1:10" x14ac:dyDescent="0.2">
      <c r="A247" s="107">
        <v>820326</v>
      </c>
      <c r="B247" t="s">
        <v>21</v>
      </c>
      <c r="C247">
        <v>0</v>
      </c>
      <c r="D247" t="s">
        <v>34</v>
      </c>
      <c r="E247" t="s">
        <v>1367</v>
      </c>
      <c r="F247" s="106" t="s">
        <v>1414</v>
      </c>
      <c r="G247" s="21"/>
      <c r="H247" s="21"/>
      <c r="I247" s="23"/>
      <c r="J247" s="21"/>
    </row>
    <row r="248" spans="1:10" x14ac:dyDescent="0.2">
      <c r="A248" s="107">
        <v>820202</v>
      </c>
      <c r="B248" t="s">
        <v>21</v>
      </c>
      <c r="C248">
        <v>0</v>
      </c>
      <c r="D248" t="s">
        <v>34</v>
      </c>
      <c r="E248" t="s">
        <v>1007</v>
      </c>
      <c r="F248" s="106" t="s">
        <v>1414</v>
      </c>
      <c r="G248" s="21"/>
      <c r="H248" s="21"/>
      <c r="I248" s="23"/>
      <c r="J248" s="21"/>
    </row>
    <row r="249" spans="1:10" x14ac:dyDescent="0.2">
      <c r="A249" s="107">
        <v>820181</v>
      </c>
      <c r="B249" t="s">
        <v>21</v>
      </c>
      <c r="C249">
        <v>0</v>
      </c>
      <c r="D249" t="s">
        <v>34</v>
      </c>
      <c r="E249" t="s">
        <v>1005</v>
      </c>
      <c r="F249" s="106" t="s">
        <v>1414</v>
      </c>
      <c r="G249" s="21"/>
      <c r="H249" s="21"/>
      <c r="I249" s="23"/>
      <c r="J249" s="21"/>
    </row>
    <row r="250" spans="1:10" x14ac:dyDescent="0.2">
      <c r="A250" s="107">
        <v>820172</v>
      </c>
      <c r="B250" t="s">
        <v>21</v>
      </c>
      <c r="C250">
        <v>0</v>
      </c>
      <c r="D250" t="s">
        <v>34</v>
      </c>
      <c r="E250" t="s">
        <v>1004</v>
      </c>
      <c r="F250" s="106" t="s">
        <v>1414</v>
      </c>
      <c r="G250" s="21"/>
      <c r="H250" s="21"/>
      <c r="I250" s="23"/>
      <c r="J250" s="21"/>
    </row>
    <row r="251" spans="1:10" x14ac:dyDescent="0.2">
      <c r="A251" s="107">
        <v>820164</v>
      </c>
      <c r="B251" t="s">
        <v>21</v>
      </c>
      <c r="C251">
        <v>0</v>
      </c>
      <c r="D251" t="s">
        <v>897</v>
      </c>
      <c r="E251" t="s">
        <v>908</v>
      </c>
      <c r="F251" s="106" t="s">
        <v>1414</v>
      </c>
      <c r="G251" s="21"/>
      <c r="H251" s="21"/>
      <c r="I251" s="23"/>
      <c r="J251" s="21"/>
    </row>
    <row r="252" spans="1:10" x14ac:dyDescent="0.2">
      <c r="A252" s="107">
        <v>820156</v>
      </c>
      <c r="B252" t="s">
        <v>21</v>
      </c>
      <c r="C252">
        <v>0</v>
      </c>
      <c r="D252" t="s">
        <v>897</v>
      </c>
      <c r="E252" t="s">
        <v>907</v>
      </c>
      <c r="F252" s="106" t="s">
        <v>1414</v>
      </c>
      <c r="G252" s="21"/>
      <c r="H252" s="21"/>
      <c r="I252" s="23"/>
      <c r="J252" s="21"/>
    </row>
    <row r="253" spans="1:10" x14ac:dyDescent="0.2">
      <c r="A253" s="107">
        <v>820148</v>
      </c>
      <c r="B253" t="s">
        <v>21</v>
      </c>
      <c r="C253">
        <v>0</v>
      </c>
      <c r="D253" t="s">
        <v>897</v>
      </c>
      <c r="E253" t="s">
        <v>906</v>
      </c>
      <c r="F253" s="106" t="s">
        <v>1414</v>
      </c>
      <c r="G253" s="21"/>
      <c r="H253" s="21"/>
      <c r="I253" s="23"/>
      <c r="J253" s="21"/>
    </row>
    <row r="254" spans="1:10" x14ac:dyDescent="0.2">
      <c r="A254" s="107">
        <v>820130</v>
      </c>
      <c r="B254" t="s">
        <v>21</v>
      </c>
      <c r="C254">
        <v>0</v>
      </c>
      <c r="D254" t="s">
        <v>34</v>
      </c>
      <c r="E254" t="s">
        <v>1003</v>
      </c>
      <c r="F254" s="106" t="s">
        <v>1414</v>
      </c>
      <c r="G254" s="21"/>
      <c r="H254" s="21"/>
      <c r="I254" s="23"/>
      <c r="J254" s="21"/>
    </row>
    <row r="255" spans="1:10" x14ac:dyDescent="0.2">
      <c r="A255" s="107">
        <v>820121</v>
      </c>
      <c r="B255" t="s">
        <v>21</v>
      </c>
      <c r="C255">
        <v>0</v>
      </c>
      <c r="D255" t="s">
        <v>34</v>
      </c>
      <c r="E255" t="s">
        <v>1002</v>
      </c>
      <c r="F255" s="106" t="s">
        <v>1414</v>
      </c>
      <c r="G255" s="21"/>
      <c r="H255" s="21"/>
      <c r="I255" s="23"/>
      <c r="J255" s="21"/>
    </row>
    <row r="256" spans="1:10" x14ac:dyDescent="0.2">
      <c r="A256" s="107">
        <v>820113</v>
      </c>
      <c r="B256" t="s">
        <v>21</v>
      </c>
      <c r="C256">
        <v>0</v>
      </c>
      <c r="D256" t="s">
        <v>34</v>
      </c>
      <c r="E256" t="s">
        <v>1001</v>
      </c>
      <c r="F256" s="106" t="s">
        <v>1414</v>
      </c>
      <c r="G256" s="21"/>
      <c r="H256" s="21"/>
      <c r="I256" s="23"/>
      <c r="J256" s="21"/>
    </row>
    <row r="257" spans="1:10" x14ac:dyDescent="0.2">
      <c r="A257" s="107">
        <v>820091</v>
      </c>
      <c r="B257" t="s">
        <v>21</v>
      </c>
      <c r="C257">
        <v>0</v>
      </c>
      <c r="D257" t="s">
        <v>34</v>
      </c>
      <c r="E257" t="s">
        <v>999</v>
      </c>
      <c r="F257" s="106" t="s">
        <v>1414</v>
      </c>
      <c r="G257" s="21"/>
      <c r="H257" s="21"/>
      <c r="I257" s="23"/>
      <c r="J257" s="21"/>
    </row>
    <row r="258" spans="1:10" x14ac:dyDescent="0.2">
      <c r="A258" s="107">
        <v>820075</v>
      </c>
      <c r="B258" t="s">
        <v>21</v>
      </c>
      <c r="C258">
        <v>0</v>
      </c>
      <c r="D258" t="s">
        <v>897</v>
      </c>
      <c r="E258" t="s">
        <v>905</v>
      </c>
      <c r="F258" s="106" t="s">
        <v>1414</v>
      </c>
      <c r="G258" s="21"/>
      <c r="H258" s="21"/>
      <c r="I258" s="23"/>
      <c r="J258" s="21"/>
    </row>
    <row r="259" spans="1:10" x14ac:dyDescent="0.2">
      <c r="A259" s="107">
        <v>820067</v>
      </c>
      <c r="B259" t="s">
        <v>21</v>
      </c>
      <c r="C259">
        <v>0</v>
      </c>
      <c r="D259" t="s">
        <v>897</v>
      </c>
      <c r="E259" t="s">
        <v>904</v>
      </c>
      <c r="F259" s="106" t="s">
        <v>1414</v>
      </c>
      <c r="G259" s="21"/>
      <c r="H259" s="21"/>
      <c r="I259" s="23"/>
      <c r="J259" s="21"/>
    </row>
    <row r="260" spans="1:10" x14ac:dyDescent="0.2">
      <c r="A260" s="107">
        <v>820059</v>
      </c>
      <c r="B260" t="s">
        <v>21</v>
      </c>
      <c r="C260">
        <v>0</v>
      </c>
      <c r="D260" t="s">
        <v>897</v>
      </c>
      <c r="E260" t="s">
        <v>903</v>
      </c>
      <c r="F260" s="106" t="s">
        <v>1414</v>
      </c>
      <c r="G260" s="21"/>
      <c r="H260" s="21"/>
      <c r="I260" s="23"/>
      <c r="J260" s="21"/>
    </row>
    <row r="261" spans="1:10" x14ac:dyDescent="0.2">
      <c r="A261" s="107">
        <v>820032</v>
      </c>
      <c r="B261" t="s">
        <v>21</v>
      </c>
      <c r="C261">
        <v>0</v>
      </c>
      <c r="D261" t="s">
        <v>34</v>
      </c>
      <c r="E261" t="s">
        <v>998</v>
      </c>
      <c r="F261" s="106" t="s">
        <v>1414</v>
      </c>
      <c r="G261" s="21"/>
      <c r="H261" s="21"/>
      <c r="I261" s="23"/>
      <c r="J261" s="21"/>
    </row>
    <row r="262" spans="1:10" x14ac:dyDescent="0.2">
      <c r="A262" s="107">
        <v>820024</v>
      </c>
      <c r="B262" t="s">
        <v>21</v>
      </c>
      <c r="C262">
        <v>0</v>
      </c>
      <c r="D262" t="s">
        <v>34</v>
      </c>
      <c r="E262" t="s">
        <v>997</v>
      </c>
      <c r="F262" s="106" t="s">
        <v>1414</v>
      </c>
      <c r="G262" s="21"/>
      <c r="H262" s="21"/>
      <c r="I262" s="23"/>
      <c r="J262" s="21"/>
    </row>
    <row r="263" spans="1:10" x14ac:dyDescent="0.2">
      <c r="A263" s="107">
        <v>820016</v>
      </c>
      <c r="B263" t="s">
        <v>21</v>
      </c>
      <c r="C263">
        <v>0</v>
      </c>
      <c r="D263" t="s">
        <v>34</v>
      </c>
      <c r="E263" t="s">
        <v>996</v>
      </c>
      <c r="F263" s="106" t="s">
        <v>1414</v>
      </c>
      <c r="G263" s="21"/>
      <c r="H263" s="21"/>
      <c r="I263" s="23"/>
      <c r="J263" s="21"/>
    </row>
    <row r="264" spans="1:10" x14ac:dyDescent="0.2">
      <c r="A264" s="107">
        <v>820008</v>
      </c>
      <c r="B264" t="s">
        <v>21</v>
      </c>
      <c r="C264">
        <v>0</v>
      </c>
      <c r="D264" t="s">
        <v>34</v>
      </c>
      <c r="E264" t="s">
        <v>995</v>
      </c>
      <c r="F264" s="106" t="s">
        <v>1414</v>
      </c>
      <c r="G264" s="21"/>
      <c r="H264" s="21"/>
      <c r="I264" s="23"/>
      <c r="J264" s="21"/>
    </row>
    <row r="265" spans="1:10" x14ac:dyDescent="0.2">
      <c r="A265" s="107">
        <v>790206</v>
      </c>
      <c r="B265" t="s">
        <v>21</v>
      </c>
      <c r="C265">
        <v>0</v>
      </c>
      <c r="D265" t="s">
        <v>34</v>
      </c>
      <c r="E265" t="s">
        <v>1394</v>
      </c>
      <c r="F265" s="106" t="s">
        <v>1414</v>
      </c>
      <c r="G265" s="21"/>
      <c r="H265" s="21"/>
      <c r="I265" s="23"/>
      <c r="J265" s="21"/>
    </row>
    <row r="266" spans="1:10" x14ac:dyDescent="0.2">
      <c r="A266" s="107">
        <v>790109</v>
      </c>
      <c r="B266" t="s">
        <v>21</v>
      </c>
      <c r="C266">
        <v>0</v>
      </c>
      <c r="D266" t="s">
        <v>34</v>
      </c>
      <c r="E266" t="s">
        <v>1368</v>
      </c>
      <c r="F266" s="106" t="s">
        <v>1414</v>
      </c>
      <c r="G266" s="21"/>
      <c r="H266" s="21"/>
      <c r="I266" s="23"/>
      <c r="J266" s="21"/>
    </row>
    <row r="267" spans="1:10" x14ac:dyDescent="0.2">
      <c r="A267" s="107">
        <v>790087</v>
      </c>
      <c r="B267" t="s">
        <v>21</v>
      </c>
      <c r="C267">
        <v>0</v>
      </c>
      <c r="D267" t="s">
        <v>34</v>
      </c>
      <c r="E267" t="s">
        <v>1369</v>
      </c>
      <c r="F267" s="106" t="s">
        <v>1414</v>
      </c>
      <c r="G267" s="21"/>
      <c r="H267" s="21"/>
      <c r="I267" s="23"/>
      <c r="J267" s="21"/>
    </row>
    <row r="268" spans="1:10" x14ac:dyDescent="0.2">
      <c r="A268" s="107">
        <v>790079</v>
      </c>
      <c r="B268" t="s">
        <v>21</v>
      </c>
      <c r="C268">
        <v>0</v>
      </c>
      <c r="D268" t="s">
        <v>34</v>
      </c>
      <c r="E268" t="s">
        <v>993</v>
      </c>
      <c r="F268" s="106" t="s">
        <v>1414</v>
      </c>
      <c r="G268" s="21"/>
      <c r="H268" s="21"/>
      <c r="I268" s="23"/>
      <c r="J268" s="21"/>
    </row>
    <row r="269" spans="1:10" x14ac:dyDescent="0.2">
      <c r="A269" s="107">
        <v>790061</v>
      </c>
      <c r="B269" t="s">
        <v>21</v>
      </c>
      <c r="C269">
        <v>0</v>
      </c>
      <c r="D269" t="s">
        <v>897</v>
      </c>
      <c r="E269" t="s">
        <v>902</v>
      </c>
      <c r="F269" s="106" t="s">
        <v>1414</v>
      </c>
      <c r="G269" s="21"/>
      <c r="H269" s="21"/>
      <c r="I269" s="23"/>
      <c r="J269" s="21"/>
    </row>
    <row r="270" spans="1:10" x14ac:dyDescent="0.2">
      <c r="A270" s="107">
        <v>790052</v>
      </c>
      <c r="B270" t="s">
        <v>21</v>
      </c>
      <c r="C270">
        <v>0</v>
      </c>
      <c r="D270" t="s">
        <v>34</v>
      </c>
      <c r="E270" t="s">
        <v>992</v>
      </c>
      <c r="F270" s="106" t="s">
        <v>1414</v>
      </c>
      <c r="G270" s="21"/>
      <c r="H270" s="21"/>
      <c r="I270" s="23"/>
      <c r="J270" s="21"/>
    </row>
    <row r="271" spans="1:10" x14ac:dyDescent="0.2">
      <c r="A271" s="107">
        <v>790044</v>
      </c>
      <c r="B271" t="s">
        <v>21</v>
      </c>
      <c r="C271">
        <v>0</v>
      </c>
      <c r="D271" t="s">
        <v>34</v>
      </c>
      <c r="E271" t="s">
        <v>991</v>
      </c>
      <c r="F271" s="106" t="s">
        <v>1414</v>
      </c>
      <c r="G271" s="21"/>
      <c r="H271" s="21"/>
      <c r="I271" s="23"/>
      <c r="J271" s="21"/>
    </row>
    <row r="272" spans="1:10" x14ac:dyDescent="0.2">
      <c r="A272" s="107">
        <v>790036</v>
      </c>
      <c r="B272" t="s">
        <v>21</v>
      </c>
      <c r="C272">
        <v>0</v>
      </c>
      <c r="D272" t="s">
        <v>34</v>
      </c>
      <c r="E272" t="s">
        <v>990</v>
      </c>
      <c r="F272" s="106" t="s">
        <v>1414</v>
      </c>
      <c r="G272" s="21"/>
      <c r="H272" s="21"/>
      <c r="I272" s="23"/>
      <c r="J272" s="21"/>
    </row>
    <row r="273" spans="1:10" x14ac:dyDescent="0.2">
      <c r="A273" s="107">
        <v>790028</v>
      </c>
      <c r="B273" t="s">
        <v>21</v>
      </c>
      <c r="C273">
        <v>0</v>
      </c>
      <c r="D273" t="s">
        <v>34</v>
      </c>
      <c r="E273" t="s">
        <v>989</v>
      </c>
      <c r="F273" s="106" t="s">
        <v>1414</v>
      </c>
      <c r="G273" s="21"/>
      <c r="H273" s="21"/>
      <c r="I273" s="23"/>
      <c r="J273" s="21"/>
    </row>
    <row r="274" spans="1:10" x14ac:dyDescent="0.2">
      <c r="A274" s="107">
        <v>790010</v>
      </c>
      <c r="B274" t="s">
        <v>21</v>
      </c>
      <c r="C274">
        <v>0</v>
      </c>
      <c r="D274" t="s">
        <v>34</v>
      </c>
      <c r="E274" t="s">
        <v>988</v>
      </c>
      <c r="F274" s="106" t="s">
        <v>1414</v>
      </c>
      <c r="G274" s="21"/>
      <c r="H274" s="21"/>
      <c r="I274" s="23"/>
      <c r="J274" s="21"/>
    </row>
    <row r="275" spans="1:10" x14ac:dyDescent="0.2">
      <c r="A275" s="107">
        <v>740454</v>
      </c>
      <c r="B275" t="s">
        <v>21</v>
      </c>
      <c r="C275">
        <v>0</v>
      </c>
      <c r="D275" t="s">
        <v>36</v>
      </c>
      <c r="E275" t="s">
        <v>1370</v>
      </c>
      <c r="F275" s="106" t="s">
        <v>1414</v>
      </c>
      <c r="G275" s="21"/>
      <c r="H275" s="21"/>
      <c r="I275" s="23"/>
      <c r="J275" s="21"/>
    </row>
    <row r="276" spans="1:10" x14ac:dyDescent="0.2">
      <c r="A276" s="107">
        <v>740446</v>
      </c>
      <c r="B276" t="s">
        <v>21</v>
      </c>
      <c r="C276">
        <v>0</v>
      </c>
      <c r="D276" t="s">
        <v>36</v>
      </c>
      <c r="E276" t="s">
        <v>1371</v>
      </c>
      <c r="F276" s="106" t="s">
        <v>1414</v>
      </c>
      <c r="G276" s="21"/>
      <c r="H276" s="21"/>
      <c r="I276" s="23"/>
      <c r="J276" s="21"/>
    </row>
    <row r="277" spans="1:10" x14ac:dyDescent="0.2">
      <c r="A277" s="107">
        <v>740420</v>
      </c>
      <c r="B277" t="s">
        <v>21</v>
      </c>
      <c r="C277">
        <v>0</v>
      </c>
      <c r="D277" t="s">
        <v>1360</v>
      </c>
      <c r="E277" t="s">
        <v>1354</v>
      </c>
      <c r="F277" s="106" t="s">
        <v>1414</v>
      </c>
      <c r="G277" s="21"/>
      <c r="H277" s="21"/>
      <c r="I277" s="23"/>
      <c r="J277" s="21"/>
    </row>
    <row r="278" spans="1:10" x14ac:dyDescent="0.2">
      <c r="A278" s="107">
        <v>740411</v>
      </c>
      <c r="B278" t="s">
        <v>21</v>
      </c>
      <c r="C278">
        <v>0</v>
      </c>
      <c r="D278" t="s">
        <v>36</v>
      </c>
      <c r="E278" t="s">
        <v>1353</v>
      </c>
      <c r="F278" s="106" t="s">
        <v>1414</v>
      </c>
      <c r="G278" s="21"/>
      <c r="H278" s="21"/>
      <c r="I278" s="23"/>
      <c r="J278" s="21"/>
    </row>
    <row r="279" spans="1:10" x14ac:dyDescent="0.2">
      <c r="A279" s="107">
        <v>740403</v>
      </c>
      <c r="B279" t="s">
        <v>21</v>
      </c>
      <c r="C279">
        <v>0</v>
      </c>
      <c r="D279" t="s">
        <v>36</v>
      </c>
      <c r="E279" t="s">
        <v>1352</v>
      </c>
      <c r="F279" s="106" t="s">
        <v>1414</v>
      </c>
      <c r="G279" s="21"/>
      <c r="H279" s="21"/>
      <c r="I279" s="23"/>
      <c r="J279" s="21"/>
    </row>
    <row r="280" spans="1:10" x14ac:dyDescent="0.2">
      <c r="A280" s="107">
        <v>740349</v>
      </c>
      <c r="B280" t="s">
        <v>21</v>
      </c>
      <c r="C280">
        <v>0</v>
      </c>
      <c r="D280" t="s">
        <v>1360</v>
      </c>
      <c r="E280" t="s">
        <v>1350</v>
      </c>
      <c r="F280" s="106" t="s">
        <v>1414</v>
      </c>
      <c r="G280" s="21"/>
      <c r="H280" s="21"/>
      <c r="I280" s="23"/>
      <c r="J280" s="21"/>
    </row>
    <row r="281" spans="1:10" x14ac:dyDescent="0.2">
      <c r="A281" s="107">
        <v>740331</v>
      </c>
      <c r="B281" t="s">
        <v>21</v>
      </c>
      <c r="C281">
        <v>0</v>
      </c>
      <c r="D281" t="s">
        <v>36</v>
      </c>
      <c r="E281" t="s">
        <v>1349</v>
      </c>
      <c r="F281" s="106" t="s">
        <v>1414</v>
      </c>
      <c r="G281" s="21"/>
      <c r="H281" s="21"/>
      <c r="I281" s="23"/>
      <c r="J281" s="21"/>
    </row>
    <row r="282" spans="1:10" x14ac:dyDescent="0.2">
      <c r="A282" s="107">
        <v>740322</v>
      </c>
      <c r="B282" t="s">
        <v>21</v>
      </c>
      <c r="C282">
        <v>0</v>
      </c>
      <c r="D282" t="s">
        <v>36</v>
      </c>
      <c r="E282" t="s">
        <v>1348</v>
      </c>
      <c r="F282" s="106" t="s">
        <v>1414</v>
      </c>
      <c r="G282" s="21"/>
      <c r="H282" s="21"/>
      <c r="I282" s="23"/>
      <c r="J282" s="21"/>
    </row>
    <row r="283" spans="1:10" x14ac:dyDescent="0.2">
      <c r="A283" s="107">
        <v>740314</v>
      </c>
      <c r="B283" t="s">
        <v>21</v>
      </c>
      <c r="C283">
        <v>0</v>
      </c>
      <c r="D283" t="s">
        <v>36</v>
      </c>
      <c r="E283" t="s">
        <v>1347</v>
      </c>
      <c r="F283" s="106" t="s">
        <v>1414</v>
      </c>
      <c r="G283" s="21"/>
      <c r="H283" s="21"/>
      <c r="I283" s="23"/>
      <c r="J283" s="21"/>
    </row>
    <row r="284" spans="1:10" x14ac:dyDescent="0.2">
      <c r="A284" s="107">
        <v>740306</v>
      </c>
      <c r="B284" t="s">
        <v>21</v>
      </c>
      <c r="C284">
        <v>0</v>
      </c>
      <c r="D284" t="s">
        <v>36</v>
      </c>
      <c r="E284" t="s">
        <v>1346</v>
      </c>
      <c r="F284" s="106" t="s">
        <v>1414</v>
      </c>
      <c r="G284" s="21"/>
      <c r="H284" s="21"/>
      <c r="I284" s="23"/>
      <c r="J284" s="21"/>
    </row>
    <row r="285" spans="1:10" x14ac:dyDescent="0.2">
      <c r="A285" s="107">
        <v>740292</v>
      </c>
      <c r="B285" t="s">
        <v>21</v>
      </c>
      <c r="C285">
        <v>0</v>
      </c>
      <c r="D285" t="s">
        <v>36</v>
      </c>
      <c r="E285" t="s">
        <v>1345</v>
      </c>
      <c r="F285" s="106" t="s">
        <v>1414</v>
      </c>
      <c r="G285" s="21"/>
      <c r="H285" s="21"/>
      <c r="I285" s="23"/>
      <c r="J285" s="21"/>
    </row>
    <row r="286" spans="1:10" x14ac:dyDescent="0.2">
      <c r="A286" s="107">
        <v>740284</v>
      </c>
      <c r="B286" t="s">
        <v>21</v>
      </c>
      <c r="C286">
        <v>0</v>
      </c>
      <c r="D286" t="s">
        <v>36</v>
      </c>
      <c r="E286" t="s">
        <v>1344</v>
      </c>
      <c r="F286" s="106" t="s">
        <v>1414</v>
      </c>
      <c r="G286" s="21"/>
      <c r="H286" s="21"/>
      <c r="I286" s="23"/>
      <c r="J286" s="21"/>
    </row>
    <row r="287" spans="1:10" x14ac:dyDescent="0.2">
      <c r="A287" s="107">
        <v>740276</v>
      </c>
      <c r="B287" t="s">
        <v>21</v>
      </c>
      <c r="C287">
        <v>0</v>
      </c>
      <c r="D287" t="s">
        <v>36</v>
      </c>
      <c r="E287" t="s">
        <v>1343</v>
      </c>
      <c r="F287" s="106" t="s">
        <v>1414</v>
      </c>
      <c r="G287" s="21"/>
      <c r="H287" s="21"/>
      <c r="I287" s="23"/>
      <c r="J287" s="21"/>
    </row>
    <row r="288" spans="1:10" x14ac:dyDescent="0.2">
      <c r="A288" s="107">
        <v>740250</v>
      </c>
      <c r="B288" t="s">
        <v>21</v>
      </c>
      <c r="C288">
        <v>0</v>
      </c>
      <c r="D288" t="s">
        <v>36</v>
      </c>
      <c r="E288" t="s">
        <v>1342</v>
      </c>
      <c r="F288" s="106" t="s">
        <v>1414</v>
      </c>
      <c r="G288" s="21"/>
      <c r="H288" s="21"/>
      <c r="I288" s="23"/>
      <c r="J288" s="21"/>
    </row>
    <row r="289" spans="1:10" x14ac:dyDescent="0.2">
      <c r="A289" s="107">
        <v>740241</v>
      </c>
      <c r="B289" t="s">
        <v>21</v>
      </c>
      <c r="C289">
        <v>0</v>
      </c>
      <c r="D289" t="s">
        <v>36</v>
      </c>
      <c r="E289" t="s">
        <v>1341</v>
      </c>
      <c r="F289" s="106" t="s">
        <v>1414</v>
      </c>
      <c r="G289" s="21"/>
      <c r="H289" s="21"/>
      <c r="I289" s="23"/>
      <c r="J289" s="21"/>
    </row>
    <row r="290" spans="1:10" x14ac:dyDescent="0.2">
      <c r="A290" s="107">
        <v>740233</v>
      </c>
      <c r="B290" t="s">
        <v>21</v>
      </c>
      <c r="C290">
        <v>0</v>
      </c>
      <c r="D290" t="s">
        <v>1360</v>
      </c>
      <c r="E290" t="s">
        <v>1340</v>
      </c>
      <c r="F290" s="106" t="s">
        <v>1414</v>
      </c>
      <c r="G290" s="21"/>
      <c r="H290" s="21"/>
      <c r="I290" s="23"/>
      <c r="J290" s="21"/>
    </row>
    <row r="291" spans="1:10" x14ac:dyDescent="0.2">
      <c r="A291" s="107">
        <v>740225</v>
      </c>
      <c r="B291" t="s">
        <v>21</v>
      </c>
      <c r="C291">
        <v>0</v>
      </c>
      <c r="D291" t="s">
        <v>1360</v>
      </c>
      <c r="E291" t="s">
        <v>1339</v>
      </c>
      <c r="F291" s="106" t="s">
        <v>1414</v>
      </c>
      <c r="G291" s="21"/>
      <c r="H291" s="21"/>
      <c r="I291" s="23"/>
      <c r="J291" s="21"/>
    </row>
    <row r="292" spans="1:10" x14ac:dyDescent="0.2">
      <c r="A292" s="107">
        <v>740209</v>
      </c>
      <c r="B292" t="s">
        <v>21</v>
      </c>
      <c r="C292">
        <v>0</v>
      </c>
      <c r="D292" t="s">
        <v>1360</v>
      </c>
      <c r="E292" t="s">
        <v>1089</v>
      </c>
      <c r="F292" s="106" t="s">
        <v>1414</v>
      </c>
      <c r="G292" s="21"/>
      <c r="H292" s="21"/>
      <c r="I292" s="23"/>
      <c r="J292" s="21"/>
    </row>
    <row r="293" spans="1:10" x14ac:dyDescent="0.2">
      <c r="A293" s="107">
        <v>740187</v>
      </c>
      <c r="B293" t="s">
        <v>21</v>
      </c>
      <c r="C293">
        <v>0</v>
      </c>
      <c r="D293" t="s">
        <v>36</v>
      </c>
      <c r="E293" t="s">
        <v>1338</v>
      </c>
      <c r="F293" s="106" t="s">
        <v>1414</v>
      </c>
      <c r="G293" s="21"/>
      <c r="H293" s="21"/>
      <c r="I293" s="23"/>
      <c r="J293" s="21"/>
    </row>
    <row r="294" spans="1:10" x14ac:dyDescent="0.2">
      <c r="A294" s="107">
        <v>740161</v>
      </c>
      <c r="B294" t="s">
        <v>21</v>
      </c>
      <c r="C294">
        <v>0</v>
      </c>
      <c r="D294" t="s">
        <v>1360</v>
      </c>
      <c r="E294" t="s">
        <v>1336</v>
      </c>
      <c r="F294" s="106" t="s">
        <v>1414</v>
      </c>
      <c r="G294" s="21"/>
      <c r="H294" s="21"/>
      <c r="I294" s="23"/>
      <c r="J294" s="21"/>
    </row>
    <row r="295" spans="1:10" x14ac:dyDescent="0.2">
      <c r="A295" s="107">
        <v>740152</v>
      </c>
      <c r="B295" t="s">
        <v>21</v>
      </c>
      <c r="C295">
        <v>0</v>
      </c>
      <c r="D295" t="s">
        <v>36</v>
      </c>
      <c r="E295" t="s">
        <v>1335</v>
      </c>
      <c r="F295" s="106" t="s">
        <v>1414</v>
      </c>
      <c r="G295" s="21"/>
      <c r="H295" s="21"/>
      <c r="I295" s="23"/>
      <c r="J295" s="21"/>
    </row>
    <row r="296" spans="1:10" x14ac:dyDescent="0.2">
      <c r="A296" s="107">
        <v>740144</v>
      </c>
      <c r="B296" t="s">
        <v>21</v>
      </c>
      <c r="C296">
        <v>0</v>
      </c>
      <c r="D296" t="s">
        <v>36</v>
      </c>
      <c r="E296" t="s">
        <v>1334</v>
      </c>
      <c r="F296" s="106" t="s">
        <v>1414</v>
      </c>
      <c r="G296" s="21"/>
      <c r="H296" s="21"/>
      <c r="I296" s="23"/>
      <c r="J296" s="21"/>
    </row>
    <row r="297" spans="1:10" x14ac:dyDescent="0.2">
      <c r="A297" s="107">
        <v>740136</v>
      </c>
      <c r="B297" t="s">
        <v>21</v>
      </c>
      <c r="C297">
        <v>0</v>
      </c>
      <c r="D297" t="s">
        <v>36</v>
      </c>
      <c r="E297" t="s">
        <v>1333</v>
      </c>
      <c r="F297" s="106" t="s">
        <v>1414</v>
      </c>
      <c r="G297" s="21"/>
      <c r="H297" s="21"/>
      <c r="I297" s="23"/>
      <c r="J297" s="21"/>
    </row>
    <row r="298" spans="1:10" x14ac:dyDescent="0.2">
      <c r="A298" s="107">
        <v>740128</v>
      </c>
      <c r="B298" t="s">
        <v>21</v>
      </c>
      <c r="C298">
        <v>0</v>
      </c>
      <c r="D298" t="s">
        <v>36</v>
      </c>
      <c r="E298" t="s">
        <v>1332</v>
      </c>
      <c r="F298" s="106" t="s">
        <v>1414</v>
      </c>
      <c r="G298" s="21"/>
      <c r="H298" s="21"/>
      <c r="I298" s="23"/>
      <c r="J298" s="21"/>
    </row>
    <row r="299" spans="1:10" x14ac:dyDescent="0.2">
      <c r="A299" s="107">
        <v>740110</v>
      </c>
      <c r="B299" t="s">
        <v>21</v>
      </c>
      <c r="C299">
        <v>0</v>
      </c>
      <c r="D299" t="s">
        <v>36</v>
      </c>
      <c r="E299" t="s">
        <v>1331</v>
      </c>
      <c r="F299" s="106" t="s">
        <v>1414</v>
      </c>
      <c r="G299" s="21"/>
      <c r="H299" s="21"/>
      <c r="I299" s="23"/>
      <c r="J299" s="21"/>
    </row>
    <row r="300" spans="1:10" x14ac:dyDescent="0.2">
      <c r="A300" s="107">
        <v>740101</v>
      </c>
      <c r="B300" t="s">
        <v>21</v>
      </c>
      <c r="C300">
        <v>0</v>
      </c>
      <c r="D300" t="s">
        <v>36</v>
      </c>
      <c r="E300" t="s">
        <v>1395</v>
      </c>
      <c r="F300" s="106" t="s">
        <v>1414</v>
      </c>
      <c r="G300" s="21"/>
      <c r="H300" s="21"/>
      <c r="I300" s="23"/>
      <c r="J300" s="21"/>
    </row>
    <row r="301" spans="1:10" x14ac:dyDescent="0.2">
      <c r="A301" s="107">
        <v>740098</v>
      </c>
      <c r="B301" t="s">
        <v>21</v>
      </c>
      <c r="C301">
        <v>0</v>
      </c>
      <c r="D301" t="s">
        <v>36</v>
      </c>
      <c r="E301" t="s">
        <v>1329</v>
      </c>
      <c r="F301" s="106" t="s">
        <v>1414</v>
      </c>
      <c r="G301" s="21"/>
      <c r="H301" s="21"/>
      <c r="I301" s="23"/>
      <c r="J301" s="21"/>
    </row>
    <row r="302" spans="1:10" x14ac:dyDescent="0.2">
      <c r="A302" s="107">
        <v>740080</v>
      </c>
      <c r="B302" t="s">
        <v>21</v>
      </c>
      <c r="C302">
        <v>0</v>
      </c>
      <c r="D302" t="s">
        <v>36</v>
      </c>
      <c r="E302" t="s">
        <v>1328</v>
      </c>
      <c r="F302" s="106" t="s">
        <v>1414</v>
      </c>
      <c r="G302" s="21"/>
      <c r="H302" s="21"/>
      <c r="I302" s="23"/>
      <c r="J302" s="21"/>
    </row>
    <row r="303" spans="1:10" x14ac:dyDescent="0.2">
      <c r="A303" s="107">
        <v>740071</v>
      </c>
      <c r="B303" t="s">
        <v>21</v>
      </c>
      <c r="C303">
        <v>0</v>
      </c>
      <c r="D303" t="s">
        <v>36</v>
      </c>
      <c r="E303" t="s">
        <v>1327</v>
      </c>
      <c r="F303" s="106" t="s">
        <v>1414</v>
      </c>
      <c r="G303" s="21"/>
      <c r="H303" s="21"/>
      <c r="I303" s="23"/>
      <c r="J303" s="21"/>
    </row>
    <row r="304" spans="1:10" x14ac:dyDescent="0.2">
      <c r="A304" s="107">
        <v>740063</v>
      </c>
      <c r="B304" t="s">
        <v>21</v>
      </c>
      <c r="C304">
        <v>0</v>
      </c>
      <c r="D304" t="s">
        <v>36</v>
      </c>
      <c r="E304" t="s">
        <v>1326</v>
      </c>
      <c r="F304" s="106" t="s">
        <v>1414</v>
      </c>
      <c r="G304" s="21"/>
      <c r="H304" s="21"/>
      <c r="I304" s="23"/>
      <c r="J304" s="21"/>
    </row>
    <row r="305" spans="1:10" x14ac:dyDescent="0.2">
      <c r="A305" s="107">
        <v>740055</v>
      </c>
      <c r="B305" t="s">
        <v>21</v>
      </c>
      <c r="C305">
        <v>0</v>
      </c>
      <c r="D305" t="s">
        <v>36</v>
      </c>
      <c r="E305" t="s">
        <v>1325</v>
      </c>
      <c r="F305" s="106" t="s">
        <v>1414</v>
      </c>
      <c r="G305" s="21"/>
      <c r="H305" s="21"/>
      <c r="I305" s="23"/>
      <c r="J305" s="21"/>
    </row>
    <row r="306" spans="1:10" x14ac:dyDescent="0.2">
      <c r="A306" s="107">
        <v>740047</v>
      </c>
      <c r="B306" t="s">
        <v>21</v>
      </c>
      <c r="C306">
        <v>0</v>
      </c>
      <c r="D306" t="s">
        <v>36</v>
      </c>
      <c r="E306" t="s">
        <v>1324</v>
      </c>
      <c r="F306" s="106" t="s">
        <v>1414</v>
      </c>
      <c r="G306" s="21"/>
      <c r="H306" s="21"/>
      <c r="I306" s="23"/>
      <c r="J306" s="21"/>
    </row>
    <row r="307" spans="1:10" x14ac:dyDescent="0.2">
      <c r="A307" s="107">
        <v>740039</v>
      </c>
      <c r="B307" t="s">
        <v>21</v>
      </c>
      <c r="C307">
        <v>0</v>
      </c>
      <c r="D307" t="s">
        <v>36</v>
      </c>
      <c r="E307" t="s">
        <v>1323</v>
      </c>
      <c r="F307" s="106" t="s">
        <v>1414</v>
      </c>
      <c r="G307" s="21"/>
      <c r="H307" s="21"/>
      <c r="I307" s="23"/>
      <c r="J307" s="21"/>
    </row>
    <row r="308" spans="1:10" x14ac:dyDescent="0.2">
      <c r="A308" s="107">
        <v>740021</v>
      </c>
      <c r="B308" t="s">
        <v>21</v>
      </c>
      <c r="C308">
        <v>0</v>
      </c>
      <c r="D308" t="s">
        <v>36</v>
      </c>
      <c r="E308" t="s">
        <v>1322</v>
      </c>
      <c r="F308" s="106" t="s">
        <v>1414</v>
      </c>
      <c r="G308" s="21"/>
      <c r="H308" s="21"/>
      <c r="I308" s="23"/>
      <c r="J308" s="21"/>
    </row>
    <row r="309" spans="1:10" x14ac:dyDescent="0.2">
      <c r="A309" s="107">
        <v>740012</v>
      </c>
      <c r="B309" t="s">
        <v>21</v>
      </c>
      <c r="C309">
        <v>0</v>
      </c>
      <c r="D309" t="s">
        <v>36</v>
      </c>
      <c r="E309" t="s">
        <v>1396</v>
      </c>
      <c r="F309" s="106" t="s">
        <v>1414</v>
      </c>
      <c r="G309" s="21"/>
      <c r="H309" s="21"/>
      <c r="I309" s="23"/>
      <c r="J309" s="21"/>
    </row>
    <row r="310" spans="1:10" x14ac:dyDescent="0.2">
      <c r="A310" s="107">
        <v>730076</v>
      </c>
      <c r="B310" t="s">
        <v>21</v>
      </c>
      <c r="C310">
        <v>0</v>
      </c>
      <c r="D310" t="s">
        <v>36</v>
      </c>
      <c r="E310" t="s">
        <v>1311</v>
      </c>
      <c r="F310" s="106" t="s">
        <v>1414</v>
      </c>
      <c r="G310" s="21"/>
      <c r="H310" s="21"/>
      <c r="I310" s="23"/>
      <c r="J310" s="21"/>
    </row>
    <row r="311" spans="1:10" x14ac:dyDescent="0.2">
      <c r="A311" s="107">
        <v>730068</v>
      </c>
      <c r="B311" t="s">
        <v>21</v>
      </c>
      <c r="C311">
        <v>0</v>
      </c>
      <c r="D311" t="s">
        <v>36</v>
      </c>
      <c r="E311" t="s">
        <v>1310</v>
      </c>
      <c r="F311" s="106" t="s">
        <v>1414</v>
      </c>
      <c r="G311" s="21"/>
      <c r="H311" s="21"/>
      <c r="I311" s="23"/>
      <c r="J311" s="21"/>
    </row>
    <row r="312" spans="1:10" x14ac:dyDescent="0.2">
      <c r="A312" s="107">
        <v>730050</v>
      </c>
      <c r="B312" t="s">
        <v>21</v>
      </c>
      <c r="C312">
        <v>0</v>
      </c>
      <c r="D312" t="s">
        <v>36</v>
      </c>
      <c r="E312" t="s">
        <v>1309</v>
      </c>
      <c r="F312" s="106" t="s">
        <v>1414</v>
      </c>
      <c r="G312" s="21"/>
      <c r="H312" s="21"/>
      <c r="I312" s="23"/>
      <c r="J312" s="21"/>
    </row>
    <row r="313" spans="1:10" x14ac:dyDescent="0.2">
      <c r="A313" s="107">
        <v>730041</v>
      </c>
      <c r="B313" t="s">
        <v>21</v>
      </c>
      <c r="C313">
        <v>0</v>
      </c>
      <c r="D313" t="s">
        <v>36</v>
      </c>
      <c r="E313" t="s">
        <v>1308</v>
      </c>
      <c r="F313" s="106" t="s">
        <v>1414</v>
      </c>
      <c r="G313" s="21"/>
      <c r="H313" s="21"/>
      <c r="I313" s="23"/>
      <c r="J313" s="21"/>
    </row>
    <row r="314" spans="1:10" x14ac:dyDescent="0.2">
      <c r="A314" s="107">
        <v>730033</v>
      </c>
      <c r="B314" t="s">
        <v>21</v>
      </c>
      <c r="C314">
        <v>0</v>
      </c>
      <c r="D314" t="s">
        <v>36</v>
      </c>
      <c r="E314" t="s">
        <v>1307</v>
      </c>
      <c r="F314" s="106" t="s">
        <v>1414</v>
      </c>
      <c r="G314" s="21"/>
      <c r="H314" s="21"/>
      <c r="I314" s="23"/>
      <c r="J314" s="21"/>
    </row>
    <row r="315" spans="1:10" x14ac:dyDescent="0.2">
      <c r="A315" s="107">
        <v>730025</v>
      </c>
      <c r="B315" t="s">
        <v>21</v>
      </c>
      <c r="C315">
        <v>0</v>
      </c>
      <c r="D315" t="s">
        <v>36</v>
      </c>
      <c r="E315" t="s">
        <v>1306</v>
      </c>
      <c r="F315" s="106" t="s">
        <v>1414</v>
      </c>
      <c r="G315" s="21"/>
      <c r="H315" s="21"/>
      <c r="I315" s="23"/>
      <c r="J315" s="21"/>
    </row>
    <row r="316" spans="1:10" x14ac:dyDescent="0.2">
      <c r="A316" s="107">
        <v>730017</v>
      </c>
      <c r="B316" t="s">
        <v>21</v>
      </c>
      <c r="C316">
        <v>0</v>
      </c>
      <c r="D316" t="s">
        <v>36</v>
      </c>
      <c r="E316" t="s">
        <v>1305</v>
      </c>
      <c r="F316" s="106" t="s">
        <v>1414</v>
      </c>
      <c r="G316" s="21"/>
      <c r="H316" s="21"/>
      <c r="I316" s="23"/>
      <c r="J316" s="21"/>
    </row>
    <row r="317" spans="1:10" x14ac:dyDescent="0.2">
      <c r="A317" s="107">
        <v>720747</v>
      </c>
      <c r="B317" t="s">
        <v>21</v>
      </c>
      <c r="C317">
        <v>0</v>
      </c>
      <c r="D317" t="s">
        <v>36</v>
      </c>
      <c r="E317" t="s">
        <v>1304</v>
      </c>
      <c r="F317" s="106" t="s">
        <v>1414</v>
      </c>
      <c r="G317" s="21"/>
      <c r="H317" s="21"/>
      <c r="I317" s="23"/>
      <c r="J317" s="21"/>
    </row>
    <row r="318" spans="1:10" x14ac:dyDescent="0.2">
      <c r="A318" s="107">
        <v>720739</v>
      </c>
      <c r="B318" t="s">
        <v>21</v>
      </c>
      <c r="C318">
        <v>0</v>
      </c>
      <c r="D318" t="s">
        <v>36</v>
      </c>
      <c r="E318" t="s">
        <v>1303</v>
      </c>
      <c r="F318" s="106" t="s">
        <v>1414</v>
      </c>
      <c r="G318" s="21"/>
      <c r="H318" s="21"/>
      <c r="I318" s="23"/>
      <c r="J318" s="21"/>
    </row>
    <row r="319" spans="1:10" x14ac:dyDescent="0.2">
      <c r="A319" s="107">
        <v>720721</v>
      </c>
      <c r="B319" t="s">
        <v>21</v>
      </c>
      <c r="C319">
        <v>0</v>
      </c>
      <c r="D319" t="s">
        <v>36</v>
      </c>
      <c r="E319" t="s">
        <v>1302</v>
      </c>
      <c r="F319" s="106" t="s">
        <v>1414</v>
      </c>
      <c r="G319" s="21"/>
      <c r="H319" s="21"/>
      <c r="I319" s="23"/>
      <c r="J319" s="21"/>
    </row>
    <row r="320" spans="1:10" x14ac:dyDescent="0.2">
      <c r="A320" s="107">
        <v>720712</v>
      </c>
      <c r="B320" t="s">
        <v>21</v>
      </c>
      <c r="C320">
        <v>0</v>
      </c>
      <c r="D320" t="s">
        <v>36</v>
      </c>
      <c r="E320" t="s">
        <v>1301</v>
      </c>
      <c r="F320" s="106" t="s">
        <v>1414</v>
      </c>
      <c r="G320" s="21"/>
      <c r="H320" s="21"/>
      <c r="I320" s="23"/>
      <c r="J320" s="21"/>
    </row>
    <row r="321" spans="1:10" x14ac:dyDescent="0.2">
      <c r="A321" s="107">
        <v>720704</v>
      </c>
      <c r="B321" t="s">
        <v>21</v>
      </c>
      <c r="C321">
        <v>0</v>
      </c>
      <c r="D321" t="s">
        <v>36</v>
      </c>
      <c r="E321" t="s">
        <v>1300</v>
      </c>
      <c r="F321" s="106" t="s">
        <v>1414</v>
      </c>
      <c r="G321" s="21"/>
      <c r="H321" s="21"/>
      <c r="I321" s="23"/>
      <c r="J321" s="21"/>
    </row>
    <row r="322" spans="1:10" x14ac:dyDescent="0.2">
      <c r="A322" s="107">
        <v>720691</v>
      </c>
      <c r="B322" t="s">
        <v>21</v>
      </c>
      <c r="C322">
        <v>0</v>
      </c>
      <c r="D322" t="s">
        <v>36</v>
      </c>
      <c r="E322" t="s">
        <v>1299</v>
      </c>
      <c r="F322" s="106" t="s">
        <v>1414</v>
      </c>
      <c r="G322" s="21"/>
      <c r="H322" s="21"/>
      <c r="I322" s="23"/>
      <c r="J322" s="21"/>
    </row>
    <row r="323" spans="1:10" x14ac:dyDescent="0.2">
      <c r="A323" s="107">
        <v>720682</v>
      </c>
      <c r="B323" t="s">
        <v>21</v>
      </c>
      <c r="C323">
        <v>0</v>
      </c>
      <c r="D323" t="s">
        <v>36</v>
      </c>
      <c r="E323" t="s">
        <v>1298</v>
      </c>
      <c r="F323" s="106" t="s">
        <v>1414</v>
      </c>
      <c r="G323" s="21"/>
      <c r="H323" s="21"/>
      <c r="I323" s="23"/>
      <c r="J323" s="21"/>
    </row>
    <row r="324" spans="1:10" x14ac:dyDescent="0.2">
      <c r="A324" s="107">
        <v>720674</v>
      </c>
      <c r="B324" t="s">
        <v>21</v>
      </c>
      <c r="C324">
        <v>0</v>
      </c>
      <c r="D324" t="s">
        <v>36</v>
      </c>
      <c r="E324" t="s">
        <v>1297</v>
      </c>
      <c r="F324" s="106" t="s">
        <v>1414</v>
      </c>
      <c r="G324" s="21"/>
      <c r="H324" s="21"/>
      <c r="I324" s="23"/>
      <c r="J324" s="21"/>
    </row>
    <row r="325" spans="1:10" x14ac:dyDescent="0.2">
      <c r="A325" s="107">
        <v>720666</v>
      </c>
      <c r="B325" t="s">
        <v>21</v>
      </c>
      <c r="C325">
        <v>0</v>
      </c>
      <c r="D325" t="s">
        <v>36</v>
      </c>
      <c r="E325" t="s">
        <v>1296</v>
      </c>
      <c r="F325" s="106" t="s">
        <v>1414</v>
      </c>
      <c r="G325" s="21"/>
      <c r="H325" s="21"/>
      <c r="I325" s="23"/>
      <c r="J325" s="21"/>
    </row>
    <row r="326" spans="1:10" x14ac:dyDescent="0.2">
      <c r="A326" s="107">
        <v>720534</v>
      </c>
      <c r="B326" t="s">
        <v>21</v>
      </c>
      <c r="C326">
        <v>0</v>
      </c>
      <c r="D326" t="s">
        <v>36</v>
      </c>
      <c r="E326" t="s">
        <v>1295</v>
      </c>
      <c r="F326" s="106" t="s">
        <v>1414</v>
      </c>
      <c r="G326" s="21"/>
      <c r="H326" s="21"/>
      <c r="I326" s="23"/>
      <c r="J326" s="21"/>
    </row>
    <row r="327" spans="1:10" x14ac:dyDescent="0.2">
      <c r="A327" s="107">
        <v>720526</v>
      </c>
      <c r="B327" t="s">
        <v>21</v>
      </c>
      <c r="C327">
        <v>0</v>
      </c>
      <c r="D327" t="s">
        <v>36</v>
      </c>
      <c r="E327" t="s">
        <v>1294</v>
      </c>
      <c r="F327" s="106" t="s">
        <v>1414</v>
      </c>
      <c r="G327" s="21"/>
      <c r="H327" s="21"/>
      <c r="I327" s="23"/>
      <c r="J327" s="21"/>
    </row>
    <row r="328" spans="1:10" x14ac:dyDescent="0.2">
      <c r="A328" s="107">
        <v>720518</v>
      </c>
      <c r="B328" t="s">
        <v>21</v>
      </c>
      <c r="C328">
        <v>0</v>
      </c>
      <c r="D328" t="s">
        <v>36</v>
      </c>
      <c r="E328" t="s">
        <v>1397</v>
      </c>
      <c r="F328" s="106" t="s">
        <v>1414</v>
      </c>
      <c r="G328" s="21"/>
      <c r="H328" s="21"/>
      <c r="I328" s="23"/>
      <c r="J328" s="21"/>
    </row>
    <row r="329" spans="1:10" x14ac:dyDescent="0.2">
      <c r="A329" s="107">
        <v>720500</v>
      </c>
      <c r="B329" t="s">
        <v>21</v>
      </c>
      <c r="C329">
        <v>0</v>
      </c>
      <c r="D329" t="s">
        <v>36</v>
      </c>
      <c r="E329" t="s">
        <v>1292</v>
      </c>
      <c r="F329" s="106" t="s">
        <v>1414</v>
      </c>
      <c r="G329" s="21"/>
      <c r="H329" s="21"/>
      <c r="I329" s="23"/>
      <c r="J329" s="21"/>
    </row>
    <row r="330" spans="1:10" x14ac:dyDescent="0.2">
      <c r="A330" s="107">
        <v>720496</v>
      </c>
      <c r="B330" t="s">
        <v>21</v>
      </c>
      <c r="C330">
        <v>0</v>
      </c>
      <c r="D330" t="s">
        <v>36</v>
      </c>
      <c r="E330" t="s">
        <v>1291</v>
      </c>
      <c r="F330" s="106" t="s">
        <v>1414</v>
      </c>
      <c r="G330" s="21"/>
      <c r="H330" s="21"/>
      <c r="I330" s="23"/>
      <c r="J330" s="21"/>
    </row>
    <row r="331" spans="1:10" x14ac:dyDescent="0.2">
      <c r="A331" s="107">
        <v>720488</v>
      </c>
      <c r="B331" t="s">
        <v>21</v>
      </c>
      <c r="C331">
        <v>0</v>
      </c>
      <c r="D331" t="s">
        <v>36</v>
      </c>
      <c r="E331" t="s">
        <v>1290</v>
      </c>
      <c r="F331" s="106" t="s">
        <v>1414</v>
      </c>
      <c r="G331" s="21"/>
      <c r="H331" s="21"/>
      <c r="I331" s="23"/>
      <c r="J331" s="21"/>
    </row>
    <row r="332" spans="1:10" x14ac:dyDescent="0.2">
      <c r="A332" s="107">
        <v>720461</v>
      </c>
      <c r="B332" t="s">
        <v>21</v>
      </c>
      <c r="C332">
        <v>0</v>
      </c>
      <c r="D332" t="s">
        <v>1360</v>
      </c>
      <c r="E332" t="s">
        <v>1288</v>
      </c>
      <c r="F332" s="106" t="s">
        <v>1414</v>
      </c>
      <c r="G332" s="21"/>
      <c r="H332" s="21"/>
      <c r="I332" s="23"/>
      <c r="J332" s="21"/>
    </row>
    <row r="333" spans="1:10" x14ac:dyDescent="0.2">
      <c r="A333" s="107">
        <v>720437</v>
      </c>
      <c r="B333" t="s">
        <v>21</v>
      </c>
      <c r="C333">
        <v>0</v>
      </c>
      <c r="D333" t="s">
        <v>1360</v>
      </c>
      <c r="E333" t="s">
        <v>1398</v>
      </c>
      <c r="F333" s="106" t="s">
        <v>1414</v>
      </c>
      <c r="G333" s="21"/>
      <c r="H333" s="21"/>
      <c r="I333" s="23"/>
      <c r="J333" s="21"/>
    </row>
    <row r="334" spans="1:10" x14ac:dyDescent="0.2">
      <c r="A334" s="107">
        <v>720429</v>
      </c>
      <c r="B334" t="s">
        <v>21</v>
      </c>
      <c r="C334">
        <v>0</v>
      </c>
      <c r="D334" t="s">
        <v>1360</v>
      </c>
      <c r="E334" t="s">
        <v>1286</v>
      </c>
      <c r="F334" s="106" t="s">
        <v>1414</v>
      </c>
      <c r="G334" s="21"/>
      <c r="H334" s="21"/>
      <c r="I334" s="23"/>
      <c r="J334" s="21"/>
    </row>
    <row r="335" spans="1:10" x14ac:dyDescent="0.2">
      <c r="A335" s="107">
        <v>720411</v>
      </c>
      <c r="B335" t="s">
        <v>21</v>
      </c>
      <c r="C335">
        <v>0</v>
      </c>
      <c r="D335" t="s">
        <v>1360</v>
      </c>
      <c r="E335" t="s">
        <v>1285</v>
      </c>
      <c r="F335" s="106" t="s">
        <v>1414</v>
      </c>
      <c r="G335" s="21"/>
      <c r="H335" s="21"/>
      <c r="I335" s="23"/>
      <c r="J335" s="21"/>
    </row>
    <row r="336" spans="1:10" x14ac:dyDescent="0.2">
      <c r="A336" s="107">
        <v>720402</v>
      </c>
      <c r="B336" t="s">
        <v>21</v>
      </c>
      <c r="C336">
        <v>0</v>
      </c>
      <c r="D336" t="s">
        <v>36</v>
      </c>
      <c r="E336" t="s">
        <v>1284</v>
      </c>
      <c r="F336" s="106" t="s">
        <v>1414</v>
      </c>
      <c r="G336" s="21"/>
      <c r="H336" s="21"/>
      <c r="I336" s="23"/>
      <c r="J336" s="21"/>
    </row>
    <row r="337" spans="1:10" x14ac:dyDescent="0.2">
      <c r="A337" s="107">
        <v>720399</v>
      </c>
      <c r="B337" t="s">
        <v>21</v>
      </c>
      <c r="C337">
        <v>0</v>
      </c>
      <c r="D337" t="s">
        <v>1360</v>
      </c>
      <c r="E337" t="s">
        <v>1283</v>
      </c>
      <c r="F337" s="106" t="s">
        <v>1414</v>
      </c>
      <c r="G337" s="21"/>
      <c r="H337" s="21"/>
      <c r="I337" s="23"/>
      <c r="J337" s="21"/>
    </row>
    <row r="338" spans="1:10" x14ac:dyDescent="0.2">
      <c r="A338" s="107">
        <v>720372</v>
      </c>
      <c r="B338" t="s">
        <v>21</v>
      </c>
      <c r="C338">
        <v>0</v>
      </c>
      <c r="D338" t="s">
        <v>36</v>
      </c>
      <c r="E338" t="s">
        <v>1282</v>
      </c>
      <c r="F338" s="106" t="s">
        <v>1414</v>
      </c>
      <c r="G338" s="21"/>
      <c r="H338" s="21"/>
      <c r="I338" s="23"/>
      <c r="J338" s="21"/>
    </row>
    <row r="339" spans="1:10" x14ac:dyDescent="0.2">
      <c r="A339" s="107">
        <v>720364</v>
      </c>
      <c r="B339" t="s">
        <v>21</v>
      </c>
      <c r="C339">
        <v>0</v>
      </c>
      <c r="D339" t="s">
        <v>36</v>
      </c>
      <c r="E339" t="s">
        <v>1281</v>
      </c>
      <c r="F339" s="106" t="s">
        <v>1414</v>
      </c>
      <c r="G339" s="21"/>
      <c r="H339" s="21"/>
      <c r="I339" s="23"/>
      <c r="J339" s="21"/>
    </row>
    <row r="340" spans="1:10" x14ac:dyDescent="0.2">
      <c r="A340" s="107">
        <v>720356</v>
      </c>
      <c r="B340" t="s">
        <v>21</v>
      </c>
      <c r="C340">
        <v>0</v>
      </c>
      <c r="D340" t="s">
        <v>36</v>
      </c>
      <c r="E340" t="s">
        <v>1280</v>
      </c>
      <c r="F340" s="106" t="s">
        <v>1414</v>
      </c>
      <c r="G340" s="21"/>
      <c r="H340" s="21"/>
      <c r="I340" s="23"/>
      <c r="J340" s="21"/>
    </row>
    <row r="341" spans="1:10" x14ac:dyDescent="0.2">
      <c r="A341" s="107">
        <v>720348</v>
      </c>
      <c r="B341" t="s">
        <v>21</v>
      </c>
      <c r="C341">
        <v>0</v>
      </c>
      <c r="D341" t="s">
        <v>1360</v>
      </c>
      <c r="E341" t="s">
        <v>1279</v>
      </c>
      <c r="F341" s="106" t="s">
        <v>1414</v>
      </c>
      <c r="G341" s="21"/>
      <c r="H341" s="21"/>
      <c r="I341" s="23"/>
      <c r="J341" s="21"/>
    </row>
    <row r="342" spans="1:10" x14ac:dyDescent="0.2">
      <c r="A342" s="107">
        <v>720330</v>
      </c>
      <c r="B342" t="s">
        <v>21</v>
      </c>
      <c r="C342">
        <v>0</v>
      </c>
      <c r="D342" t="s">
        <v>36</v>
      </c>
      <c r="E342" t="s">
        <v>1278</v>
      </c>
      <c r="F342" s="106" t="s">
        <v>1414</v>
      </c>
      <c r="G342" s="21"/>
      <c r="H342" s="21"/>
      <c r="I342" s="23"/>
      <c r="J342" s="21"/>
    </row>
    <row r="343" spans="1:10" x14ac:dyDescent="0.2">
      <c r="A343" s="107">
        <v>720321</v>
      </c>
      <c r="B343" t="s">
        <v>21</v>
      </c>
      <c r="C343">
        <v>0</v>
      </c>
      <c r="D343" t="s">
        <v>36</v>
      </c>
      <c r="E343" t="s">
        <v>1277</v>
      </c>
      <c r="F343" s="106" t="s">
        <v>1414</v>
      </c>
      <c r="G343" s="21"/>
      <c r="H343" s="21"/>
      <c r="I343" s="23"/>
      <c r="J343" s="21"/>
    </row>
    <row r="344" spans="1:10" x14ac:dyDescent="0.2">
      <c r="A344" s="107">
        <v>720313</v>
      </c>
      <c r="B344" t="s">
        <v>21</v>
      </c>
      <c r="C344">
        <v>0</v>
      </c>
      <c r="D344" t="s">
        <v>36</v>
      </c>
      <c r="E344" t="s">
        <v>1276</v>
      </c>
      <c r="F344" s="106" t="s">
        <v>1414</v>
      </c>
      <c r="G344" s="21"/>
      <c r="H344" s="21"/>
      <c r="I344" s="23"/>
      <c r="J344" s="21"/>
    </row>
    <row r="345" spans="1:10" x14ac:dyDescent="0.2">
      <c r="A345" s="107">
        <v>720305</v>
      </c>
      <c r="B345" t="s">
        <v>21</v>
      </c>
      <c r="C345">
        <v>0</v>
      </c>
      <c r="D345" t="s">
        <v>1360</v>
      </c>
      <c r="E345" t="s">
        <v>1275</v>
      </c>
      <c r="F345" s="106" t="s">
        <v>1414</v>
      </c>
      <c r="G345" s="21"/>
      <c r="H345" s="21"/>
      <c r="I345" s="23"/>
      <c r="J345" s="21"/>
    </row>
    <row r="346" spans="1:10" x14ac:dyDescent="0.2">
      <c r="A346" s="107">
        <v>720291</v>
      </c>
      <c r="B346" t="s">
        <v>21</v>
      </c>
      <c r="C346">
        <v>0</v>
      </c>
      <c r="D346" t="s">
        <v>1360</v>
      </c>
      <c r="E346" t="s">
        <v>1274</v>
      </c>
      <c r="F346" s="106" t="s">
        <v>1414</v>
      </c>
      <c r="G346" s="21"/>
      <c r="H346" s="21"/>
      <c r="I346" s="23"/>
      <c r="J346" s="21"/>
    </row>
    <row r="347" spans="1:10" x14ac:dyDescent="0.2">
      <c r="A347" s="107">
        <v>720283</v>
      </c>
      <c r="B347" t="s">
        <v>21</v>
      </c>
      <c r="C347">
        <v>0</v>
      </c>
      <c r="D347" t="s">
        <v>1360</v>
      </c>
      <c r="E347" t="s">
        <v>1273</v>
      </c>
      <c r="F347" s="106" t="s">
        <v>1414</v>
      </c>
      <c r="G347" s="21"/>
      <c r="H347" s="21"/>
      <c r="I347" s="23"/>
      <c r="J347" s="21"/>
    </row>
    <row r="348" spans="1:10" x14ac:dyDescent="0.2">
      <c r="A348" s="107">
        <v>720275</v>
      </c>
      <c r="B348" t="s">
        <v>21</v>
      </c>
      <c r="C348">
        <v>0</v>
      </c>
      <c r="D348" t="s">
        <v>1360</v>
      </c>
      <c r="E348" t="s">
        <v>1272</v>
      </c>
      <c r="F348" s="106" t="s">
        <v>1414</v>
      </c>
      <c r="G348" s="21"/>
      <c r="H348" s="21"/>
      <c r="I348" s="23"/>
      <c r="J348" s="21"/>
    </row>
    <row r="349" spans="1:10" x14ac:dyDescent="0.2">
      <c r="A349" s="107">
        <v>720267</v>
      </c>
      <c r="B349" t="s">
        <v>21</v>
      </c>
      <c r="C349">
        <v>0</v>
      </c>
      <c r="D349" t="s">
        <v>36</v>
      </c>
      <c r="E349" t="s">
        <v>1271</v>
      </c>
      <c r="F349" s="106" t="s">
        <v>1414</v>
      </c>
      <c r="G349" s="21"/>
      <c r="H349" s="21"/>
      <c r="I349" s="23"/>
      <c r="J349" s="21"/>
    </row>
    <row r="350" spans="1:10" x14ac:dyDescent="0.2">
      <c r="A350" s="107">
        <v>720241</v>
      </c>
      <c r="B350" t="s">
        <v>21</v>
      </c>
      <c r="C350">
        <v>0</v>
      </c>
      <c r="D350" t="s">
        <v>1360</v>
      </c>
      <c r="E350" t="s">
        <v>1269</v>
      </c>
      <c r="F350" s="106" t="s">
        <v>1414</v>
      </c>
      <c r="G350" s="21"/>
      <c r="H350" s="21"/>
      <c r="I350" s="23"/>
      <c r="J350" s="21"/>
    </row>
    <row r="351" spans="1:10" x14ac:dyDescent="0.2">
      <c r="A351" s="107">
        <v>720232</v>
      </c>
      <c r="B351" t="s">
        <v>21</v>
      </c>
      <c r="C351">
        <v>0</v>
      </c>
      <c r="D351" t="s">
        <v>1360</v>
      </c>
      <c r="E351" t="s">
        <v>1268</v>
      </c>
      <c r="F351" s="106" t="s">
        <v>1414</v>
      </c>
      <c r="G351" s="21"/>
      <c r="H351" s="21"/>
      <c r="I351" s="23"/>
      <c r="J351" s="21"/>
    </row>
    <row r="352" spans="1:10" x14ac:dyDescent="0.2">
      <c r="A352" s="107">
        <v>720224</v>
      </c>
      <c r="B352" t="s">
        <v>21</v>
      </c>
      <c r="C352">
        <v>0</v>
      </c>
      <c r="D352" t="s">
        <v>1360</v>
      </c>
      <c r="E352" t="s">
        <v>1267</v>
      </c>
      <c r="F352" s="106" t="s">
        <v>1414</v>
      </c>
      <c r="G352" s="21"/>
      <c r="H352" s="21"/>
      <c r="I352" s="23"/>
      <c r="J352" s="21"/>
    </row>
    <row r="353" spans="1:10" x14ac:dyDescent="0.2">
      <c r="A353" s="107">
        <v>720216</v>
      </c>
      <c r="B353" t="s">
        <v>21</v>
      </c>
      <c r="C353">
        <v>0</v>
      </c>
      <c r="D353" t="s">
        <v>1360</v>
      </c>
      <c r="E353" t="s">
        <v>1266</v>
      </c>
      <c r="F353" s="106" t="s">
        <v>1414</v>
      </c>
      <c r="G353" s="21"/>
      <c r="H353" s="21"/>
      <c r="I353" s="23"/>
      <c r="J353" s="21"/>
    </row>
    <row r="354" spans="1:10" x14ac:dyDescent="0.2">
      <c r="A354" s="107">
        <v>720135</v>
      </c>
      <c r="B354" t="s">
        <v>21</v>
      </c>
      <c r="C354">
        <v>0</v>
      </c>
      <c r="D354" t="s">
        <v>36</v>
      </c>
      <c r="E354" t="s">
        <v>1258</v>
      </c>
      <c r="F354" s="106" t="s">
        <v>1414</v>
      </c>
      <c r="G354" s="21"/>
      <c r="H354" s="21"/>
      <c r="I354" s="23"/>
      <c r="J354" s="21"/>
    </row>
    <row r="355" spans="1:10" x14ac:dyDescent="0.2">
      <c r="A355" s="107">
        <v>720127</v>
      </c>
      <c r="B355" t="s">
        <v>21</v>
      </c>
      <c r="C355">
        <v>0</v>
      </c>
      <c r="D355" t="s">
        <v>1360</v>
      </c>
      <c r="E355" t="s">
        <v>1257</v>
      </c>
      <c r="F355" s="106" t="s">
        <v>1414</v>
      </c>
      <c r="G355" s="21"/>
      <c r="H355" s="21"/>
      <c r="I355" s="23"/>
      <c r="J355" s="21"/>
    </row>
    <row r="356" spans="1:10" x14ac:dyDescent="0.2">
      <c r="A356" s="107">
        <v>720101</v>
      </c>
      <c r="B356" t="s">
        <v>21</v>
      </c>
      <c r="C356">
        <v>0</v>
      </c>
      <c r="D356" t="s">
        <v>1360</v>
      </c>
      <c r="E356" t="s">
        <v>1255</v>
      </c>
      <c r="F356" s="106" t="s">
        <v>1414</v>
      </c>
      <c r="G356" s="21"/>
      <c r="H356" s="21"/>
      <c r="I356" s="23"/>
      <c r="J356" s="21"/>
    </row>
    <row r="357" spans="1:10" x14ac:dyDescent="0.2">
      <c r="A357" s="107">
        <v>720089</v>
      </c>
      <c r="B357" t="s">
        <v>21</v>
      </c>
      <c r="C357">
        <v>0</v>
      </c>
      <c r="D357" t="s">
        <v>1360</v>
      </c>
      <c r="E357" t="s">
        <v>1253</v>
      </c>
      <c r="F357" s="106" t="s">
        <v>1414</v>
      </c>
      <c r="G357" s="21"/>
      <c r="H357" s="21"/>
      <c r="I357" s="23"/>
      <c r="J357" s="21"/>
    </row>
    <row r="358" spans="1:10" x14ac:dyDescent="0.2">
      <c r="A358" s="107">
        <v>720071</v>
      </c>
      <c r="B358" t="s">
        <v>21</v>
      </c>
      <c r="C358">
        <v>0</v>
      </c>
      <c r="D358" t="s">
        <v>1360</v>
      </c>
      <c r="E358" t="s">
        <v>1399</v>
      </c>
      <c r="F358" s="106" t="s">
        <v>1414</v>
      </c>
      <c r="G358" s="21"/>
      <c r="H358" s="21"/>
      <c r="I358" s="23"/>
      <c r="J358" s="21"/>
    </row>
    <row r="359" spans="1:10" x14ac:dyDescent="0.2">
      <c r="A359" s="107">
        <v>720062</v>
      </c>
      <c r="B359" t="s">
        <v>21</v>
      </c>
      <c r="C359">
        <v>0</v>
      </c>
      <c r="D359" t="s">
        <v>36</v>
      </c>
      <c r="E359" t="s">
        <v>1400</v>
      </c>
      <c r="F359" s="106" t="s">
        <v>1414</v>
      </c>
      <c r="G359" s="21"/>
      <c r="H359" s="21"/>
      <c r="I359" s="23"/>
      <c r="J359" s="21"/>
    </row>
    <row r="360" spans="1:10" x14ac:dyDescent="0.2">
      <c r="A360" s="107">
        <v>720054</v>
      </c>
      <c r="B360" t="s">
        <v>21</v>
      </c>
      <c r="C360">
        <v>0</v>
      </c>
      <c r="D360" t="s">
        <v>36</v>
      </c>
      <c r="E360" t="s">
        <v>1250</v>
      </c>
      <c r="F360" s="106" t="s">
        <v>1414</v>
      </c>
      <c r="G360" s="21"/>
      <c r="H360" s="21"/>
      <c r="I360" s="23"/>
      <c r="J360" s="21"/>
    </row>
    <row r="361" spans="1:10" x14ac:dyDescent="0.2">
      <c r="A361" s="107">
        <v>720046</v>
      </c>
      <c r="B361" t="s">
        <v>21</v>
      </c>
      <c r="C361">
        <v>0</v>
      </c>
      <c r="D361" t="s">
        <v>36</v>
      </c>
      <c r="E361" t="s">
        <v>1249</v>
      </c>
      <c r="F361" s="106" t="s">
        <v>1414</v>
      </c>
      <c r="G361" s="21"/>
      <c r="H361" s="21"/>
      <c r="I361" s="23"/>
      <c r="J361" s="21"/>
    </row>
    <row r="362" spans="1:10" x14ac:dyDescent="0.2">
      <c r="A362" s="107">
        <v>720038</v>
      </c>
      <c r="B362" t="s">
        <v>21</v>
      </c>
      <c r="C362">
        <v>0</v>
      </c>
      <c r="D362" t="s">
        <v>36</v>
      </c>
      <c r="E362" t="s">
        <v>1248</v>
      </c>
      <c r="F362" s="106" t="s">
        <v>1414</v>
      </c>
      <c r="G362" s="21"/>
      <c r="H362" s="21"/>
      <c r="I362" s="23"/>
      <c r="J362" s="21"/>
    </row>
    <row r="363" spans="1:10" x14ac:dyDescent="0.2">
      <c r="A363" s="107">
        <v>720020</v>
      </c>
      <c r="B363" t="s">
        <v>21</v>
      </c>
      <c r="C363">
        <v>0</v>
      </c>
      <c r="D363" t="s">
        <v>36</v>
      </c>
      <c r="E363" t="s">
        <v>1247</v>
      </c>
      <c r="F363" s="106" t="s">
        <v>1414</v>
      </c>
      <c r="G363" s="21"/>
      <c r="H363" s="21"/>
      <c r="I363" s="23"/>
      <c r="J363" s="21"/>
    </row>
    <row r="364" spans="1:10" x14ac:dyDescent="0.2">
      <c r="A364" s="107">
        <v>720011</v>
      </c>
      <c r="B364" t="s">
        <v>21</v>
      </c>
      <c r="C364">
        <v>0</v>
      </c>
      <c r="D364" t="s">
        <v>36</v>
      </c>
      <c r="E364" t="s">
        <v>1246</v>
      </c>
      <c r="F364" s="106" t="s">
        <v>1414</v>
      </c>
      <c r="G364" s="21"/>
      <c r="H364" s="21"/>
      <c r="I364" s="23"/>
      <c r="J364" s="21"/>
    </row>
    <row r="365" spans="1:10" x14ac:dyDescent="0.2">
      <c r="A365" s="107">
        <v>166006</v>
      </c>
      <c r="B365" t="s">
        <v>21</v>
      </c>
      <c r="C365">
        <v>0</v>
      </c>
      <c r="D365" t="s">
        <v>863</v>
      </c>
      <c r="E365" t="s">
        <v>877</v>
      </c>
      <c r="F365" s="106" t="s">
        <v>1414</v>
      </c>
      <c r="G365" s="21"/>
      <c r="H365" s="21"/>
      <c r="I365" s="23"/>
      <c r="J365" s="21"/>
    </row>
    <row r="366" spans="1:10" x14ac:dyDescent="0.2">
      <c r="A366" s="107">
        <v>165107</v>
      </c>
      <c r="B366" t="s">
        <v>21</v>
      </c>
      <c r="C366">
        <v>0</v>
      </c>
      <c r="D366" t="s">
        <v>863</v>
      </c>
      <c r="E366" t="s">
        <v>876</v>
      </c>
      <c r="F366" s="106" t="s">
        <v>1414</v>
      </c>
      <c r="G366" s="21"/>
      <c r="H366" s="21"/>
      <c r="I366" s="23"/>
      <c r="J366" s="21"/>
    </row>
    <row r="367" spans="1:10" x14ac:dyDescent="0.2">
      <c r="A367" s="107">
        <v>165093</v>
      </c>
      <c r="B367" t="s">
        <v>21</v>
      </c>
      <c r="C367">
        <v>0</v>
      </c>
      <c r="D367" t="s">
        <v>863</v>
      </c>
      <c r="E367" t="s">
        <v>875</v>
      </c>
      <c r="F367" s="106" t="s">
        <v>1414</v>
      </c>
      <c r="G367" s="21"/>
      <c r="H367" s="21"/>
      <c r="I367" s="23"/>
      <c r="J367" s="21"/>
    </row>
    <row r="368" spans="1:10" x14ac:dyDescent="0.2">
      <c r="A368" s="107">
        <v>165085</v>
      </c>
      <c r="B368" t="s">
        <v>21</v>
      </c>
      <c r="C368">
        <v>0</v>
      </c>
      <c r="D368" t="s">
        <v>863</v>
      </c>
      <c r="E368" t="s">
        <v>874</v>
      </c>
      <c r="F368" s="106" t="s">
        <v>1414</v>
      </c>
      <c r="G368" s="21"/>
      <c r="H368" s="21"/>
      <c r="I368" s="23"/>
      <c r="J368" s="21"/>
    </row>
    <row r="369" spans="1:10" x14ac:dyDescent="0.2">
      <c r="A369" s="107">
        <v>165077</v>
      </c>
      <c r="B369" t="s">
        <v>21</v>
      </c>
      <c r="C369">
        <v>0</v>
      </c>
      <c r="D369" t="s">
        <v>863</v>
      </c>
      <c r="E369" t="s">
        <v>873</v>
      </c>
      <c r="F369" s="106" t="s">
        <v>1414</v>
      </c>
      <c r="G369" s="21"/>
      <c r="H369" s="21"/>
      <c r="I369" s="23"/>
      <c r="J369" s="21"/>
    </row>
    <row r="370" spans="1:10" x14ac:dyDescent="0.2">
      <c r="A370" s="107">
        <v>165069</v>
      </c>
      <c r="B370" t="s">
        <v>21</v>
      </c>
      <c r="C370">
        <v>0</v>
      </c>
      <c r="D370" t="s">
        <v>863</v>
      </c>
      <c r="E370" t="s">
        <v>872</v>
      </c>
      <c r="F370" s="106" t="s">
        <v>1414</v>
      </c>
      <c r="G370" s="21"/>
      <c r="H370" s="21"/>
      <c r="I370" s="23"/>
      <c r="J370" s="21"/>
    </row>
    <row r="371" spans="1:10" x14ac:dyDescent="0.2">
      <c r="A371" s="107">
        <v>165051</v>
      </c>
      <c r="B371" t="s">
        <v>21</v>
      </c>
      <c r="C371">
        <v>0</v>
      </c>
      <c r="D371" t="s">
        <v>863</v>
      </c>
      <c r="E371" t="s">
        <v>871</v>
      </c>
      <c r="F371" s="106" t="s">
        <v>1414</v>
      </c>
      <c r="G371" s="21"/>
      <c r="H371" s="21"/>
      <c r="I371" s="23"/>
      <c r="J371" s="21"/>
    </row>
    <row r="372" spans="1:10" x14ac:dyDescent="0.2">
      <c r="A372" s="107">
        <v>165042</v>
      </c>
      <c r="B372" t="s">
        <v>21</v>
      </c>
      <c r="C372">
        <v>0</v>
      </c>
      <c r="D372" t="s">
        <v>863</v>
      </c>
      <c r="E372" t="s">
        <v>870</v>
      </c>
      <c r="F372" s="106" t="s">
        <v>1414</v>
      </c>
      <c r="G372" s="21"/>
      <c r="H372" s="21"/>
      <c r="I372" s="23"/>
      <c r="J372" s="21"/>
    </row>
    <row r="373" spans="1:10" x14ac:dyDescent="0.2">
      <c r="A373" s="107">
        <v>165034</v>
      </c>
      <c r="B373" t="s">
        <v>21</v>
      </c>
      <c r="C373">
        <v>0</v>
      </c>
      <c r="D373" t="s">
        <v>863</v>
      </c>
      <c r="E373" t="s">
        <v>869</v>
      </c>
      <c r="F373" s="106" t="s">
        <v>1414</v>
      </c>
      <c r="G373" s="21"/>
      <c r="H373" s="21"/>
      <c r="I373" s="23"/>
      <c r="J373" s="21"/>
    </row>
    <row r="374" spans="1:10" x14ac:dyDescent="0.2">
      <c r="A374" s="107">
        <v>165026</v>
      </c>
      <c r="B374" t="s">
        <v>21</v>
      </c>
      <c r="C374">
        <v>0</v>
      </c>
      <c r="D374" t="s">
        <v>863</v>
      </c>
      <c r="E374" t="s">
        <v>868</v>
      </c>
      <c r="F374" s="106" t="s">
        <v>1414</v>
      </c>
      <c r="G374" s="21"/>
      <c r="H374" s="21"/>
      <c r="I374" s="23"/>
      <c r="J374" s="21"/>
    </row>
    <row r="375" spans="1:10" x14ac:dyDescent="0.2">
      <c r="A375" s="107">
        <v>165018</v>
      </c>
      <c r="B375" t="s">
        <v>21</v>
      </c>
      <c r="C375">
        <v>0</v>
      </c>
      <c r="D375" t="s">
        <v>863</v>
      </c>
      <c r="E375" t="s">
        <v>867</v>
      </c>
      <c r="F375" s="106" t="s">
        <v>1414</v>
      </c>
      <c r="G375" s="21"/>
      <c r="H375" s="21"/>
      <c r="I375" s="23"/>
      <c r="J375" s="21"/>
    </row>
    <row r="376" spans="1:10" x14ac:dyDescent="0.2">
      <c r="A376" s="107">
        <v>160555</v>
      </c>
      <c r="B376" t="s">
        <v>21</v>
      </c>
      <c r="C376">
        <v>0</v>
      </c>
      <c r="D376" t="s">
        <v>879</v>
      </c>
      <c r="E376" t="s">
        <v>1401</v>
      </c>
      <c r="F376" s="106" t="s">
        <v>1414</v>
      </c>
      <c r="G376" s="21"/>
      <c r="H376" s="21"/>
      <c r="I376" s="23"/>
      <c r="J376" s="21"/>
    </row>
    <row r="377" spans="1:10" x14ac:dyDescent="0.2">
      <c r="A377" s="107">
        <v>160547</v>
      </c>
      <c r="B377" t="s">
        <v>21</v>
      </c>
      <c r="C377">
        <v>0</v>
      </c>
      <c r="D377" t="s">
        <v>879</v>
      </c>
      <c r="E377" t="s">
        <v>1402</v>
      </c>
      <c r="F377" s="106" t="s">
        <v>1414</v>
      </c>
      <c r="G377" s="21"/>
      <c r="H377" s="21"/>
      <c r="I377" s="23"/>
      <c r="J377" s="21"/>
    </row>
    <row r="378" spans="1:10" x14ac:dyDescent="0.2">
      <c r="A378" s="107">
        <v>160539</v>
      </c>
      <c r="B378" t="s">
        <v>21</v>
      </c>
      <c r="C378">
        <v>0</v>
      </c>
      <c r="D378" t="s">
        <v>879</v>
      </c>
      <c r="E378" t="s">
        <v>1403</v>
      </c>
      <c r="F378" s="106" t="s">
        <v>1414</v>
      </c>
      <c r="G378" s="21"/>
      <c r="H378" s="21"/>
      <c r="I378" s="23"/>
      <c r="J378" s="21"/>
    </row>
    <row r="379" spans="1:10" x14ac:dyDescent="0.2">
      <c r="A379" s="107">
        <v>160512</v>
      </c>
      <c r="B379" t="s">
        <v>21</v>
      </c>
      <c r="C379">
        <v>0</v>
      </c>
      <c r="D379" t="s">
        <v>879</v>
      </c>
      <c r="E379" t="s">
        <v>1404</v>
      </c>
      <c r="F379" s="106" t="s">
        <v>1414</v>
      </c>
      <c r="G379" s="21"/>
      <c r="H379" s="21"/>
      <c r="I379" s="23"/>
      <c r="J379" s="21"/>
    </row>
    <row r="380" spans="1:10" x14ac:dyDescent="0.2">
      <c r="A380" s="107">
        <v>160504</v>
      </c>
      <c r="B380" t="s">
        <v>21</v>
      </c>
      <c r="C380">
        <v>0</v>
      </c>
      <c r="D380" t="s">
        <v>879</v>
      </c>
      <c r="E380" t="s">
        <v>1405</v>
      </c>
      <c r="F380" s="106" t="s">
        <v>1414</v>
      </c>
      <c r="G380" s="21"/>
      <c r="H380" s="21"/>
      <c r="I380" s="23"/>
      <c r="J380" s="21"/>
    </row>
    <row r="381" spans="1:10" x14ac:dyDescent="0.2">
      <c r="A381" s="107">
        <v>160491</v>
      </c>
      <c r="B381" t="s">
        <v>21</v>
      </c>
      <c r="C381">
        <v>0</v>
      </c>
      <c r="D381" t="s">
        <v>879</v>
      </c>
      <c r="E381" t="s">
        <v>1406</v>
      </c>
      <c r="F381" s="106" t="s">
        <v>1414</v>
      </c>
      <c r="G381" s="21"/>
      <c r="H381" s="21"/>
      <c r="I381" s="23"/>
      <c r="J381" s="21"/>
    </row>
    <row r="382" spans="1:10" x14ac:dyDescent="0.2">
      <c r="A382" s="107">
        <v>160482</v>
      </c>
      <c r="B382" t="s">
        <v>21</v>
      </c>
      <c r="C382">
        <v>0</v>
      </c>
      <c r="D382" t="s">
        <v>879</v>
      </c>
      <c r="E382" t="s">
        <v>1407</v>
      </c>
      <c r="F382" s="106" t="s">
        <v>1414</v>
      </c>
      <c r="G382" s="21"/>
      <c r="H382" s="21"/>
      <c r="I382" s="23"/>
      <c r="J382" s="21"/>
    </row>
    <row r="383" spans="1:10" x14ac:dyDescent="0.2">
      <c r="A383" s="107">
        <v>160474</v>
      </c>
      <c r="B383" t="s">
        <v>21</v>
      </c>
      <c r="C383">
        <v>0</v>
      </c>
      <c r="D383" t="s">
        <v>879</v>
      </c>
      <c r="E383" t="s">
        <v>1408</v>
      </c>
      <c r="F383" s="106" t="s">
        <v>1414</v>
      </c>
      <c r="G383" s="21"/>
      <c r="H383" s="21"/>
      <c r="I383" s="23"/>
      <c r="J383" s="21"/>
    </row>
    <row r="384" spans="1:10" x14ac:dyDescent="0.2">
      <c r="A384" s="107">
        <v>160466</v>
      </c>
      <c r="B384" t="s">
        <v>21</v>
      </c>
      <c r="C384">
        <v>0</v>
      </c>
      <c r="D384" t="s">
        <v>879</v>
      </c>
      <c r="E384" t="s">
        <v>1409</v>
      </c>
      <c r="F384" s="106" t="s">
        <v>1414</v>
      </c>
      <c r="G384" s="21"/>
      <c r="H384" s="21"/>
      <c r="I384" s="23"/>
      <c r="J384" s="21"/>
    </row>
    <row r="385" spans="1:10" x14ac:dyDescent="0.2">
      <c r="A385" s="107">
        <v>160458</v>
      </c>
      <c r="B385" t="s">
        <v>21</v>
      </c>
      <c r="C385">
        <v>0</v>
      </c>
      <c r="D385" t="s">
        <v>879</v>
      </c>
      <c r="E385" t="s">
        <v>1372</v>
      </c>
      <c r="F385" s="106" t="s">
        <v>1414</v>
      </c>
      <c r="G385" s="21"/>
      <c r="H385" s="21"/>
      <c r="I385" s="23"/>
      <c r="J385" s="21"/>
    </row>
    <row r="386" spans="1:10" x14ac:dyDescent="0.2">
      <c r="A386" s="107">
        <v>160440</v>
      </c>
      <c r="B386" t="s">
        <v>21</v>
      </c>
      <c r="C386">
        <v>0</v>
      </c>
      <c r="D386" t="s">
        <v>879</v>
      </c>
      <c r="E386" t="s">
        <v>1373</v>
      </c>
      <c r="F386" s="106" t="s">
        <v>1414</v>
      </c>
      <c r="G386" s="21"/>
      <c r="H386" s="21"/>
      <c r="I386" s="23"/>
      <c r="J386" s="21"/>
    </row>
    <row r="387" spans="1:10" x14ac:dyDescent="0.2">
      <c r="A387" s="107">
        <v>160431</v>
      </c>
      <c r="B387" t="s">
        <v>21</v>
      </c>
      <c r="C387">
        <v>0</v>
      </c>
      <c r="D387" t="s">
        <v>879</v>
      </c>
      <c r="E387" t="s">
        <v>1374</v>
      </c>
      <c r="F387" s="106" t="s">
        <v>1414</v>
      </c>
      <c r="G387" s="21"/>
      <c r="H387" s="21"/>
      <c r="I387" s="23"/>
      <c r="J387" s="21"/>
    </row>
    <row r="388" spans="1:10" x14ac:dyDescent="0.2">
      <c r="A388" s="107">
        <v>160423</v>
      </c>
      <c r="B388" t="s">
        <v>21</v>
      </c>
      <c r="C388">
        <v>0</v>
      </c>
      <c r="D388" t="s">
        <v>879</v>
      </c>
      <c r="E388" t="s">
        <v>1375</v>
      </c>
      <c r="F388" s="106" t="s">
        <v>1414</v>
      </c>
      <c r="G388" s="21"/>
      <c r="H388" s="21"/>
      <c r="I388" s="23"/>
      <c r="J388" s="21"/>
    </row>
    <row r="389" spans="1:10" x14ac:dyDescent="0.2">
      <c r="A389" s="107">
        <v>160415</v>
      </c>
      <c r="B389" t="s">
        <v>21</v>
      </c>
      <c r="C389">
        <v>0</v>
      </c>
      <c r="D389" t="s">
        <v>879</v>
      </c>
      <c r="E389" t="s">
        <v>1376</v>
      </c>
      <c r="F389" s="106" t="s">
        <v>1414</v>
      </c>
      <c r="G389" s="21"/>
      <c r="H389" s="21"/>
      <c r="I389" s="23"/>
      <c r="J389" s="21"/>
    </row>
    <row r="390" spans="1:10" x14ac:dyDescent="0.2">
      <c r="A390" s="107">
        <v>160407</v>
      </c>
      <c r="B390" t="s">
        <v>21</v>
      </c>
      <c r="C390">
        <v>0</v>
      </c>
      <c r="D390" t="s">
        <v>879</v>
      </c>
      <c r="E390" t="s">
        <v>1377</v>
      </c>
      <c r="F390" s="106" t="s">
        <v>1414</v>
      </c>
      <c r="G390" s="21"/>
      <c r="H390" s="21"/>
      <c r="I390" s="23"/>
      <c r="J390" s="21"/>
    </row>
    <row r="391" spans="1:10" x14ac:dyDescent="0.2">
      <c r="A391" s="107">
        <v>160393</v>
      </c>
      <c r="B391" t="s">
        <v>21</v>
      </c>
      <c r="C391">
        <v>0</v>
      </c>
      <c r="D391" t="s">
        <v>879</v>
      </c>
      <c r="E391" t="s">
        <v>1410</v>
      </c>
      <c r="F391" s="106" t="s">
        <v>1414</v>
      </c>
      <c r="G391" s="21"/>
      <c r="H391" s="21"/>
      <c r="I391" s="23"/>
      <c r="J391" s="21"/>
    </row>
    <row r="392" spans="1:10" x14ac:dyDescent="0.2">
      <c r="A392" s="107">
        <v>160385</v>
      </c>
      <c r="B392" t="s">
        <v>21</v>
      </c>
      <c r="C392">
        <v>0</v>
      </c>
      <c r="D392" t="s">
        <v>879</v>
      </c>
      <c r="E392" t="s">
        <v>1411</v>
      </c>
      <c r="F392" s="106" t="s">
        <v>1414</v>
      </c>
      <c r="G392" s="21"/>
      <c r="H392" s="21"/>
      <c r="I392" s="23"/>
      <c r="J392" s="21"/>
    </row>
    <row r="393" spans="1:10" x14ac:dyDescent="0.2">
      <c r="A393" s="107">
        <v>160377</v>
      </c>
      <c r="B393" t="s">
        <v>21</v>
      </c>
      <c r="C393">
        <v>0</v>
      </c>
      <c r="D393" t="s">
        <v>879</v>
      </c>
      <c r="E393" t="s">
        <v>1412</v>
      </c>
      <c r="F393" s="106" t="s">
        <v>1414</v>
      </c>
      <c r="G393" s="21"/>
      <c r="H393" s="21"/>
      <c r="I393" s="23"/>
      <c r="J393" s="21"/>
    </row>
    <row r="394" spans="1:10" x14ac:dyDescent="0.2">
      <c r="A394" s="107">
        <v>160369</v>
      </c>
      <c r="B394" t="s">
        <v>21</v>
      </c>
      <c r="C394">
        <v>0</v>
      </c>
      <c r="D394" t="s">
        <v>879</v>
      </c>
      <c r="E394" t="s">
        <v>896</v>
      </c>
      <c r="F394" s="106" t="s">
        <v>1414</v>
      </c>
      <c r="G394" s="21"/>
      <c r="H394" s="21"/>
      <c r="I394" s="23"/>
      <c r="J394" s="21"/>
    </row>
    <row r="395" spans="1:10" x14ac:dyDescent="0.2">
      <c r="A395" s="107">
        <v>160351</v>
      </c>
      <c r="B395" t="s">
        <v>21</v>
      </c>
      <c r="C395">
        <v>0</v>
      </c>
      <c r="D395" t="s">
        <v>879</v>
      </c>
      <c r="E395" t="s">
        <v>895</v>
      </c>
      <c r="F395" s="106" t="s">
        <v>1414</v>
      </c>
      <c r="G395" s="21"/>
      <c r="H395" s="21"/>
      <c r="I395" s="23"/>
      <c r="J395" s="21"/>
    </row>
    <row r="396" spans="1:10" x14ac:dyDescent="0.2">
      <c r="A396" s="107">
        <v>160342</v>
      </c>
      <c r="B396" t="s">
        <v>21</v>
      </c>
      <c r="C396">
        <v>0</v>
      </c>
      <c r="D396" t="s">
        <v>879</v>
      </c>
      <c r="E396" t="s">
        <v>894</v>
      </c>
      <c r="F396" s="106" t="s">
        <v>1414</v>
      </c>
      <c r="G396" s="21"/>
      <c r="H396" s="21"/>
      <c r="I396" s="23"/>
      <c r="J396" s="21"/>
    </row>
    <row r="397" spans="1:10" x14ac:dyDescent="0.2">
      <c r="A397" s="107">
        <v>160334</v>
      </c>
      <c r="B397" t="s">
        <v>21</v>
      </c>
      <c r="C397">
        <v>0</v>
      </c>
      <c r="D397" t="s">
        <v>879</v>
      </c>
      <c r="E397" t="s">
        <v>893</v>
      </c>
      <c r="F397" s="106" t="s">
        <v>1414</v>
      </c>
      <c r="G397" s="21"/>
      <c r="H397" s="21"/>
      <c r="I397" s="23"/>
      <c r="J397" s="21"/>
    </row>
    <row r="398" spans="1:10" x14ac:dyDescent="0.2">
      <c r="A398" s="107">
        <v>160326</v>
      </c>
      <c r="B398" t="s">
        <v>21</v>
      </c>
      <c r="C398">
        <v>0</v>
      </c>
      <c r="D398" t="s">
        <v>879</v>
      </c>
      <c r="E398" t="s">
        <v>892</v>
      </c>
      <c r="F398" s="106" t="s">
        <v>1414</v>
      </c>
      <c r="G398" s="21"/>
      <c r="H398" s="21"/>
      <c r="I398" s="23"/>
      <c r="J398" s="21"/>
    </row>
    <row r="399" spans="1:10" x14ac:dyDescent="0.2">
      <c r="A399" s="107">
        <v>160318</v>
      </c>
      <c r="B399" t="s">
        <v>21</v>
      </c>
      <c r="C399">
        <v>0</v>
      </c>
      <c r="D399" t="s">
        <v>879</v>
      </c>
      <c r="E399" t="s">
        <v>891</v>
      </c>
      <c r="F399" s="106" t="s">
        <v>1414</v>
      </c>
      <c r="G399" s="21"/>
      <c r="H399" s="21"/>
      <c r="I399" s="23"/>
      <c r="J399" s="21"/>
    </row>
    <row r="400" spans="1:10" x14ac:dyDescent="0.2">
      <c r="A400" s="107">
        <v>160300</v>
      </c>
      <c r="B400" t="s">
        <v>21</v>
      </c>
      <c r="C400">
        <v>0</v>
      </c>
      <c r="D400" t="s">
        <v>879</v>
      </c>
      <c r="E400" t="s">
        <v>890</v>
      </c>
      <c r="F400" s="106" t="s">
        <v>1414</v>
      </c>
      <c r="G400" s="21"/>
      <c r="H400" s="21"/>
      <c r="I400" s="23"/>
      <c r="J400" s="21"/>
    </row>
    <row r="401" spans="1:10" x14ac:dyDescent="0.2">
      <c r="A401" s="107">
        <v>160296</v>
      </c>
      <c r="B401" t="s">
        <v>21</v>
      </c>
      <c r="C401">
        <v>0</v>
      </c>
      <c r="D401" t="s">
        <v>34</v>
      </c>
      <c r="E401" t="s">
        <v>986</v>
      </c>
      <c r="F401" s="106" t="s">
        <v>1414</v>
      </c>
      <c r="G401" s="21"/>
      <c r="H401" s="21"/>
      <c r="I401" s="23"/>
      <c r="J401" s="21"/>
    </row>
    <row r="402" spans="1:10" x14ac:dyDescent="0.2">
      <c r="A402" s="107">
        <v>160288</v>
      </c>
      <c r="B402" t="s">
        <v>21</v>
      </c>
      <c r="C402">
        <v>0</v>
      </c>
      <c r="D402" t="s">
        <v>879</v>
      </c>
      <c r="E402" t="s">
        <v>889</v>
      </c>
      <c r="F402" s="106" t="s">
        <v>1414</v>
      </c>
      <c r="G402" s="21"/>
      <c r="H402" s="21"/>
      <c r="I402" s="23"/>
      <c r="J402" s="21"/>
    </row>
    <row r="403" spans="1:10" x14ac:dyDescent="0.2">
      <c r="A403" s="107">
        <v>160270</v>
      </c>
      <c r="B403" t="s">
        <v>21</v>
      </c>
      <c r="C403">
        <v>0</v>
      </c>
      <c r="D403" t="s">
        <v>879</v>
      </c>
      <c r="E403" t="s">
        <v>888</v>
      </c>
      <c r="F403" s="106" t="s">
        <v>1414</v>
      </c>
      <c r="G403" s="21"/>
      <c r="H403" s="21"/>
      <c r="I403" s="23"/>
      <c r="J403" s="21"/>
    </row>
    <row r="404" spans="1:10" x14ac:dyDescent="0.2">
      <c r="A404" s="107">
        <v>160261</v>
      </c>
      <c r="B404" t="s">
        <v>21</v>
      </c>
      <c r="C404">
        <v>0</v>
      </c>
      <c r="D404" t="s">
        <v>879</v>
      </c>
      <c r="E404" t="s">
        <v>887</v>
      </c>
      <c r="F404" s="106" t="s">
        <v>1414</v>
      </c>
      <c r="G404" s="21"/>
      <c r="H404" s="21"/>
      <c r="I404" s="23"/>
      <c r="J404" s="21"/>
    </row>
    <row r="405" spans="1:10" x14ac:dyDescent="0.2">
      <c r="A405" s="107">
        <v>160253</v>
      </c>
      <c r="B405" t="s">
        <v>21</v>
      </c>
      <c r="C405">
        <v>0</v>
      </c>
      <c r="D405" t="s">
        <v>879</v>
      </c>
      <c r="E405" t="s">
        <v>886</v>
      </c>
      <c r="F405" s="106" t="s">
        <v>1414</v>
      </c>
      <c r="G405" s="21"/>
      <c r="H405" s="21"/>
      <c r="I405" s="23"/>
      <c r="J405" s="21"/>
    </row>
    <row r="406" spans="1:10" x14ac:dyDescent="0.2">
      <c r="A406" s="107">
        <v>160245</v>
      </c>
      <c r="B406" t="s">
        <v>21</v>
      </c>
      <c r="C406">
        <v>0</v>
      </c>
      <c r="D406" t="s">
        <v>879</v>
      </c>
      <c r="E406" t="s">
        <v>885</v>
      </c>
      <c r="F406" s="106" t="s">
        <v>1414</v>
      </c>
      <c r="G406" s="21"/>
      <c r="H406" s="21"/>
      <c r="I406" s="23"/>
      <c r="J406" s="21"/>
    </row>
    <row r="407" spans="1:10" x14ac:dyDescent="0.2">
      <c r="A407" s="107">
        <v>160199</v>
      </c>
      <c r="B407" t="s">
        <v>21</v>
      </c>
      <c r="C407">
        <v>0</v>
      </c>
      <c r="D407" t="s">
        <v>879</v>
      </c>
      <c r="E407" t="s">
        <v>884</v>
      </c>
      <c r="F407" s="106" t="s">
        <v>1414</v>
      </c>
      <c r="G407" s="21"/>
      <c r="H407" s="21"/>
      <c r="I407" s="23"/>
      <c r="J407" s="21"/>
    </row>
    <row r="408" spans="1:10" x14ac:dyDescent="0.2">
      <c r="A408" s="107">
        <v>160181</v>
      </c>
      <c r="B408" t="s">
        <v>21</v>
      </c>
      <c r="C408">
        <v>0</v>
      </c>
      <c r="D408" t="s">
        <v>879</v>
      </c>
      <c r="E408" t="s">
        <v>883</v>
      </c>
      <c r="F408" s="106" t="s">
        <v>1414</v>
      </c>
      <c r="G408" s="21"/>
      <c r="H408" s="21"/>
      <c r="I408" s="23"/>
      <c r="J408" s="21"/>
    </row>
    <row r="409" spans="1:10" x14ac:dyDescent="0.2">
      <c r="A409" s="107">
        <v>160172</v>
      </c>
      <c r="B409" t="s">
        <v>21</v>
      </c>
      <c r="C409">
        <v>0</v>
      </c>
      <c r="D409" t="s">
        <v>879</v>
      </c>
      <c r="E409" t="s">
        <v>882</v>
      </c>
      <c r="F409" s="106" t="s">
        <v>1414</v>
      </c>
      <c r="G409" s="21"/>
      <c r="H409" s="21"/>
      <c r="I409" s="23"/>
      <c r="J409" s="21"/>
    </row>
    <row r="410" spans="1:10" x14ac:dyDescent="0.2">
      <c r="A410" s="107">
        <v>160024</v>
      </c>
      <c r="B410" t="s">
        <v>21</v>
      </c>
      <c r="C410">
        <v>0</v>
      </c>
      <c r="D410" t="s">
        <v>879</v>
      </c>
      <c r="E410" t="s">
        <v>881</v>
      </c>
      <c r="F410" s="106" t="s">
        <v>1414</v>
      </c>
      <c r="G410" s="21"/>
      <c r="H410" s="21"/>
      <c r="I410" s="23"/>
      <c r="J410" s="21"/>
    </row>
    <row r="411" spans="1:10" x14ac:dyDescent="0.2">
      <c r="A411" s="107">
        <v>90204</v>
      </c>
      <c r="B411" t="s">
        <v>21</v>
      </c>
      <c r="C411">
        <v>0</v>
      </c>
      <c r="D411" t="s">
        <v>34</v>
      </c>
      <c r="E411" t="s">
        <v>976</v>
      </c>
      <c r="F411" s="106" t="s">
        <v>1414</v>
      </c>
      <c r="G411" s="21"/>
      <c r="H411" s="21"/>
      <c r="I411" s="23"/>
      <c r="J411" s="21"/>
    </row>
    <row r="412" spans="1:10" x14ac:dyDescent="0.2">
      <c r="A412" s="107">
        <v>90107</v>
      </c>
      <c r="B412" t="s">
        <v>21</v>
      </c>
      <c r="C412">
        <v>0</v>
      </c>
      <c r="D412" t="s">
        <v>1360</v>
      </c>
      <c r="E412" t="s">
        <v>901</v>
      </c>
      <c r="F412" s="106" t="s">
        <v>1414</v>
      </c>
      <c r="G412" s="21"/>
      <c r="H412" s="21"/>
      <c r="I412" s="23"/>
      <c r="J412" s="21"/>
    </row>
    <row r="413" spans="1:10" x14ac:dyDescent="0.2">
      <c r="A413" s="107">
        <v>90000</v>
      </c>
      <c r="B413" t="s">
        <v>21</v>
      </c>
      <c r="C413">
        <v>0</v>
      </c>
      <c r="D413" t="s">
        <v>34</v>
      </c>
      <c r="E413" t="s">
        <v>975</v>
      </c>
      <c r="F413" s="106" t="s">
        <v>1414</v>
      </c>
      <c r="G413" s="21"/>
      <c r="H413" s="21"/>
      <c r="I413" s="23"/>
      <c r="J413" s="21"/>
    </row>
    <row r="414" spans="1:10" x14ac:dyDescent="0.2">
      <c r="A414" s="107">
        <v>88021</v>
      </c>
      <c r="B414" t="s">
        <v>21</v>
      </c>
      <c r="C414">
        <v>0</v>
      </c>
      <c r="D414" t="s">
        <v>34</v>
      </c>
      <c r="E414" t="s">
        <v>974</v>
      </c>
      <c r="F414" s="106" t="s">
        <v>1414</v>
      </c>
      <c r="G414" s="21"/>
      <c r="H414" s="21"/>
      <c r="I414" s="23"/>
      <c r="J414" s="21"/>
    </row>
    <row r="415" spans="1:10" x14ac:dyDescent="0.2">
      <c r="A415" s="107">
        <v>88013</v>
      </c>
      <c r="B415" t="s">
        <v>21</v>
      </c>
      <c r="C415">
        <v>0</v>
      </c>
      <c r="D415" t="s">
        <v>34</v>
      </c>
      <c r="E415" t="s">
        <v>973</v>
      </c>
      <c r="F415" s="106" t="s">
        <v>1414</v>
      </c>
      <c r="G415" s="21"/>
      <c r="H415" s="21"/>
      <c r="I415" s="23"/>
      <c r="J415" s="21"/>
    </row>
    <row r="416" spans="1:10" x14ac:dyDescent="0.2">
      <c r="A416" s="107">
        <v>85006</v>
      </c>
      <c r="B416" t="s">
        <v>21</v>
      </c>
      <c r="C416">
        <v>0</v>
      </c>
      <c r="D416" t="s">
        <v>1360</v>
      </c>
      <c r="E416" t="s">
        <v>972</v>
      </c>
      <c r="F416" s="106" t="s">
        <v>1414</v>
      </c>
      <c r="G416" s="21"/>
      <c r="H416" s="21"/>
      <c r="I416" s="23"/>
      <c r="J416" s="21"/>
    </row>
    <row r="417" spans="1:10" x14ac:dyDescent="0.2">
      <c r="A417" s="107">
        <v>74004</v>
      </c>
      <c r="B417" t="s">
        <v>21</v>
      </c>
      <c r="C417">
        <v>0</v>
      </c>
      <c r="D417" t="s">
        <v>36</v>
      </c>
      <c r="E417" t="s">
        <v>1245</v>
      </c>
      <c r="F417" s="106" t="s">
        <v>1414</v>
      </c>
      <c r="G417" s="21"/>
      <c r="H417" s="21"/>
      <c r="I417" s="23"/>
      <c r="J417" s="21"/>
    </row>
    <row r="418" spans="1:10" x14ac:dyDescent="0.2">
      <c r="A418" s="107">
        <v>72001</v>
      </c>
      <c r="B418" t="s">
        <v>21</v>
      </c>
      <c r="C418">
        <v>0</v>
      </c>
      <c r="D418" t="s">
        <v>36</v>
      </c>
      <c r="E418" t="s">
        <v>1243</v>
      </c>
      <c r="F418" s="106" t="s">
        <v>1414</v>
      </c>
      <c r="G418" s="21"/>
      <c r="H418" s="21"/>
      <c r="I418" s="23"/>
      <c r="J418" s="21"/>
    </row>
    <row r="419" spans="1:10" x14ac:dyDescent="0.2">
      <c r="A419" s="107">
        <v>16501</v>
      </c>
      <c r="B419" t="s">
        <v>21</v>
      </c>
      <c r="C419">
        <v>0</v>
      </c>
      <c r="D419" t="s">
        <v>863</v>
      </c>
      <c r="E419" t="s">
        <v>864</v>
      </c>
      <c r="F419" s="106" t="s">
        <v>1414</v>
      </c>
      <c r="G419" s="21"/>
      <c r="H419" s="21"/>
      <c r="I419" s="23"/>
      <c r="J419" s="21"/>
    </row>
    <row r="420" spans="1:10" x14ac:dyDescent="0.2">
      <c r="A420" s="107">
        <v>16004</v>
      </c>
      <c r="B420" t="s">
        <v>21</v>
      </c>
      <c r="C420">
        <v>0</v>
      </c>
      <c r="D420" t="s">
        <v>879</v>
      </c>
      <c r="E420" t="s">
        <v>1413</v>
      </c>
      <c r="F420" s="106" t="s">
        <v>1414</v>
      </c>
      <c r="G420" s="21"/>
      <c r="H420" s="21"/>
      <c r="I420" s="23"/>
      <c r="J420" s="21"/>
    </row>
    <row r="421" spans="1:10" x14ac:dyDescent="0.2">
      <c r="F421" s="106"/>
      <c r="G421" s="21"/>
      <c r="H421" s="21"/>
      <c r="I421" s="23"/>
      <c r="J421" s="21"/>
    </row>
    <row r="422" spans="1:10" x14ac:dyDescent="0.2">
      <c r="F422" s="106"/>
      <c r="G422" s="21"/>
      <c r="H422" s="21"/>
      <c r="I422" s="23"/>
      <c r="J422" s="21"/>
    </row>
    <row r="423" spans="1:10" x14ac:dyDescent="0.2">
      <c r="F423" s="106"/>
      <c r="G423" s="21"/>
      <c r="H423" s="21"/>
      <c r="I423" s="23"/>
      <c r="J423" s="21"/>
    </row>
    <row r="424" spans="1:10" x14ac:dyDescent="0.2">
      <c r="F424" s="106"/>
      <c r="G424" s="21"/>
      <c r="H424" s="21"/>
      <c r="I424" s="23"/>
      <c r="J424" s="21"/>
    </row>
    <row r="425" spans="1:10" x14ac:dyDescent="0.2">
      <c r="F425" s="106"/>
      <c r="G425" s="21"/>
      <c r="H425" s="21"/>
      <c r="I425" s="23"/>
      <c r="J425" s="21"/>
    </row>
    <row r="426" spans="1:10" x14ac:dyDescent="0.2">
      <c r="F426" s="106"/>
      <c r="G426" s="21"/>
      <c r="H426" s="21"/>
      <c r="I426" s="23"/>
      <c r="J426" s="21"/>
    </row>
    <row r="427" spans="1:10" x14ac:dyDescent="0.2">
      <c r="F427" s="106"/>
      <c r="G427" s="21"/>
      <c r="H427" s="21"/>
      <c r="I427" s="23"/>
      <c r="J427" s="21"/>
    </row>
    <row r="428" spans="1:10" x14ac:dyDescent="0.2">
      <c r="F428" s="106"/>
      <c r="G428" s="21"/>
      <c r="H428" s="21"/>
      <c r="I428" s="23"/>
      <c r="J428" s="21"/>
    </row>
    <row r="429" spans="1:10" x14ac:dyDescent="0.2">
      <c r="F429" s="106"/>
      <c r="G429" s="21"/>
      <c r="H429" s="21"/>
      <c r="I429" s="23"/>
      <c r="J429" s="21"/>
    </row>
    <row r="430" spans="1:10" x14ac:dyDescent="0.2">
      <c r="F430" s="106"/>
      <c r="G430" s="21"/>
      <c r="H430" s="21"/>
      <c r="I430" s="23"/>
      <c r="J430" s="21"/>
    </row>
    <row r="431" spans="1:10" x14ac:dyDescent="0.2">
      <c r="F431" s="106"/>
      <c r="G431" s="21"/>
      <c r="H431" s="21"/>
      <c r="I431" s="23"/>
      <c r="J431" s="21"/>
    </row>
    <row r="432" spans="1:10" x14ac:dyDescent="0.2">
      <c r="F432" s="106"/>
      <c r="G432" s="21"/>
      <c r="H432" s="21"/>
      <c r="I432" s="23"/>
      <c r="J432" s="21"/>
    </row>
    <row r="433" spans="6:10" x14ac:dyDescent="0.2">
      <c r="F433" s="106"/>
      <c r="G433" s="21"/>
      <c r="H433" s="21"/>
      <c r="I433" s="23"/>
      <c r="J433" s="21"/>
    </row>
    <row r="434" spans="6:10" x14ac:dyDescent="0.2">
      <c r="F434" s="106"/>
      <c r="G434" s="21"/>
      <c r="H434" s="21"/>
      <c r="I434" s="23"/>
      <c r="J434" s="21"/>
    </row>
    <row r="435" spans="6:10" x14ac:dyDescent="0.2">
      <c r="F435" s="106"/>
      <c r="G435" s="21"/>
      <c r="H435" s="21"/>
      <c r="I435" s="23"/>
      <c r="J435" s="21"/>
    </row>
    <row r="436" spans="6:10" x14ac:dyDescent="0.2">
      <c r="F436" s="106"/>
      <c r="G436" s="21"/>
      <c r="H436" s="21"/>
      <c r="I436" s="23"/>
      <c r="J436" s="21"/>
    </row>
    <row r="437" spans="6:10" x14ac:dyDescent="0.2">
      <c r="F437" s="106"/>
      <c r="G437" s="21"/>
      <c r="H437" s="21"/>
      <c r="I437" s="23"/>
      <c r="J437" s="21"/>
    </row>
    <row r="438" spans="6:10" x14ac:dyDescent="0.2">
      <c r="F438" s="106"/>
      <c r="G438" s="21"/>
      <c r="H438" s="21"/>
      <c r="I438" s="23"/>
      <c r="J438" s="21"/>
    </row>
    <row r="439" spans="6:10" x14ac:dyDescent="0.2">
      <c r="F439" s="106"/>
      <c r="G439" s="21"/>
      <c r="H439" s="21"/>
      <c r="I439" s="23"/>
      <c r="J439" s="21"/>
    </row>
    <row r="440" spans="6:10" x14ac:dyDescent="0.2">
      <c r="F440" s="106"/>
      <c r="G440" s="21"/>
      <c r="H440" s="21"/>
      <c r="I440" s="23"/>
      <c r="J440" s="21"/>
    </row>
    <row r="441" spans="6:10" x14ac:dyDescent="0.2">
      <c r="F441" s="106"/>
      <c r="G441" s="21"/>
      <c r="H441" s="21"/>
      <c r="I441" s="23"/>
      <c r="J441" s="21"/>
    </row>
    <row r="442" spans="6:10" x14ac:dyDescent="0.2">
      <c r="F442" s="106"/>
      <c r="G442" s="21"/>
      <c r="H442" s="21"/>
      <c r="I442" s="23"/>
      <c r="J442" s="21"/>
    </row>
    <row r="443" spans="6:10" x14ac:dyDescent="0.2">
      <c r="F443" s="106"/>
      <c r="G443" s="21"/>
      <c r="H443" s="21"/>
      <c r="I443" s="23"/>
      <c r="J443" s="21"/>
    </row>
    <row r="444" spans="6:10" x14ac:dyDescent="0.2">
      <c r="F444" s="106"/>
      <c r="G444" s="21"/>
      <c r="H444" s="21"/>
      <c r="I444" s="23"/>
      <c r="J444" s="21"/>
    </row>
    <row r="445" spans="6:10" x14ac:dyDescent="0.2">
      <c r="F445" s="106"/>
      <c r="G445" s="21"/>
      <c r="H445" s="21"/>
      <c r="I445" s="23"/>
      <c r="J445" s="21"/>
    </row>
    <row r="446" spans="6:10" x14ac:dyDescent="0.2">
      <c r="F446" s="106"/>
      <c r="G446" s="21"/>
      <c r="H446" s="21"/>
      <c r="I446" s="23"/>
      <c r="J446" s="21"/>
    </row>
    <row r="447" spans="6:10" x14ac:dyDescent="0.2">
      <c r="F447" s="106"/>
      <c r="G447" s="21"/>
      <c r="H447" s="21"/>
      <c r="I447" s="23"/>
      <c r="J447" s="21"/>
    </row>
    <row r="448" spans="6:10" x14ac:dyDescent="0.2">
      <c r="F448" s="106"/>
      <c r="G448" s="21"/>
      <c r="H448" s="21"/>
      <c r="I448" s="23"/>
      <c r="J448" s="21"/>
    </row>
    <row r="449" spans="6:10" x14ac:dyDescent="0.2">
      <c r="F449" s="106"/>
      <c r="G449" s="21"/>
      <c r="H449" s="21"/>
      <c r="I449" s="23"/>
      <c r="J449" s="21"/>
    </row>
    <row r="450" spans="6:10" x14ac:dyDescent="0.2">
      <c r="F450" s="106"/>
      <c r="G450" s="21"/>
      <c r="H450" s="21"/>
      <c r="I450" s="23"/>
      <c r="J450" s="21"/>
    </row>
    <row r="451" spans="6:10" x14ac:dyDescent="0.2">
      <c r="F451" s="106"/>
      <c r="G451" s="21"/>
      <c r="H451" s="21"/>
      <c r="I451" s="23"/>
      <c r="J451" s="21"/>
    </row>
    <row r="452" spans="6:10" x14ac:dyDescent="0.2">
      <c r="F452" s="106"/>
      <c r="G452" s="21"/>
      <c r="H452" s="21"/>
      <c r="I452" s="23"/>
      <c r="J452" s="21"/>
    </row>
    <row r="453" spans="6:10" x14ac:dyDescent="0.2">
      <c r="F453" s="106"/>
      <c r="G453" s="21"/>
      <c r="H453" s="21"/>
      <c r="I453" s="23"/>
      <c r="J453" s="21"/>
    </row>
    <row r="454" spans="6:10" x14ac:dyDescent="0.2">
      <c r="F454" s="106"/>
      <c r="G454" s="21"/>
      <c r="H454" s="21"/>
      <c r="I454" s="23"/>
      <c r="J454" s="21"/>
    </row>
    <row r="455" spans="6:10" x14ac:dyDescent="0.2">
      <c r="F455" s="106"/>
      <c r="G455" s="21"/>
      <c r="H455" s="21"/>
      <c r="I455" s="23"/>
      <c r="J455" s="21"/>
    </row>
    <row r="456" spans="6:10" x14ac:dyDescent="0.2">
      <c r="F456" s="106"/>
      <c r="G456" s="21"/>
      <c r="H456" s="21"/>
      <c r="I456" s="23"/>
      <c r="J456" s="21"/>
    </row>
    <row r="457" spans="6:10" x14ac:dyDescent="0.2">
      <c r="F457" s="106"/>
      <c r="G457" s="21"/>
      <c r="H457" s="21"/>
      <c r="I457" s="23"/>
      <c r="J457" s="21"/>
    </row>
    <row r="458" spans="6:10" x14ac:dyDescent="0.2">
      <c r="F458" s="106"/>
      <c r="G458" s="21"/>
      <c r="H458" s="21"/>
      <c r="I458" s="23"/>
      <c r="J458" s="21"/>
    </row>
    <row r="459" spans="6:10" x14ac:dyDescent="0.2">
      <c r="F459" s="106"/>
      <c r="G459" s="21"/>
      <c r="H459" s="21"/>
      <c r="I459" s="23"/>
      <c r="J459" s="21"/>
    </row>
    <row r="460" spans="6:10" x14ac:dyDescent="0.2">
      <c r="F460" s="106"/>
      <c r="G460" s="21"/>
      <c r="H460" s="21"/>
      <c r="I460" s="23"/>
      <c r="J460" s="21"/>
    </row>
    <row r="461" spans="6:10" x14ac:dyDescent="0.2">
      <c r="F461" s="106"/>
      <c r="G461" s="21"/>
      <c r="H461" s="21"/>
      <c r="I461" s="23"/>
      <c r="J461" s="21"/>
    </row>
    <row r="462" spans="6:10" x14ac:dyDescent="0.2">
      <c r="F462" s="106"/>
      <c r="G462" s="21"/>
      <c r="H462" s="21"/>
      <c r="I462" s="23"/>
      <c r="J462" s="21"/>
    </row>
    <row r="463" spans="6:10" x14ac:dyDescent="0.2">
      <c r="F463" s="106"/>
      <c r="G463" s="21"/>
      <c r="H463" s="21"/>
      <c r="I463" s="23"/>
      <c r="J463" s="21"/>
    </row>
    <row r="464" spans="6:10" x14ac:dyDescent="0.2">
      <c r="F464" s="106"/>
      <c r="G464" s="21"/>
      <c r="H464" s="21"/>
      <c r="I464" s="23"/>
      <c r="J464" s="21"/>
    </row>
    <row r="465" spans="6:10" x14ac:dyDescent="0.2">
      <c r="F465" s="106"/>
      <c r="G465" s="21"/>
      <c r="H465" s="21"/>
      <c r="I465" s="23"/>
      <c r="J465" s="21"/>
    </row>
    <row r="466" spans="6:10" x14ac:dyDescent="0.2">
      <c r="F466" s="106"/>
      <c r="G466" s="21"/>
      <c r="H466" s="21"/>
      <c r="I466" s="23"/>
      <c r="J466" s="21"/>
    </row>
    <row r="467" spans="6:10" x14ac:dyDescent="0.2">
      <c r="F467" s="106"/>
      <c r="G467" s="21"/>
      <c r="H467" s="21"/>
      <c r="I467" s="23"/>
      <c r="J467" s="21"/>
    </row>
    <row r="468" spans="6:10" x14ac:dyDescent="0.2">
      <c r="F468" s="106"/>
      <c r="G468" s="21"/>
      <c r="H468" s="21"/>
      <c r="I468" s="23"/>
      <c r="J468" s="21"/>
    </row>
    <row r="469" spans="6:10" x14ac:dyDescent="0.2">
      <c r="F469" s="106"/>
      <c r="G469" s="21"/>
      <c r="H469" s="21"/>
      <c r="I469" s="23"/>
      <c r="J469" s="21"/>
    </row>
    <row r="470" spans="6:10" x14ac:dyDescent="0.2">
      <c r="F470" s="106"/>
      <c r="G470" s="21"/>
      <c r="H470" s="21"/>
      <c r="I470" s="23"/>
      <c r="J470" s="21"/>
    </row>
    <row r="471" spans="6:10" x14ac:dyDescent="0.2">
      <c r="F471" s="106"/>
      <c r="G471" s="21"/>
      <c r="H471" s="21"/>
      <c r="I471" s="23"/>
      <c r="J471" s="21"/>
    </row>
    <row r="472" spans="6:10" x14ac:dyDescent="0.2">
      <c r="F472" s="106"/>
      <c r="G472" s="21"/>
      <c r="H472" s="21"/>
      <c r="I472" s="23"/>
      <c r="J472" s="21"/>
    </row>
    <row r="473" spans="6:10" x14ac:dyDescent="0.2">
      <c r="F473" s="106"/>
      <c r="G473" s="21"/>
      <c r="H473" s="21"/>
      <c r="I473" s="23"/>
      <c r="J473" s="21"/>
    </row>
    <row r="474" spans="6:10" x14ac:dyDescent="0.2">
      <c r="F474" s="106"/>
      <c r="G474" s="21"/>
      <c r="H474" s="21"/>
      <c r="I474" s="23"/>
      <c r="J474" s="21"/>
    </row>
    <row r="475" spans="6:10" x14ac:dyDescent="0.2">
      <c r="F475" s="106"/>
      <c r="G475" s="21"/>
      <c r="H475" s="21"/>
      <c r="I475" s="23"/>
      <c r="J475" s="21"/>
    </row>
    <row r="476" spans="6:10" x14ac:dyDescent="0.2">
      <c r="F476" s="106"/>
      <c r="G476" s="21"/>
      <c r="H476" s="21"/>
      <c r="I476" s="23"/>
      <c r="J476" s="21"/>
    </row>
    <row r="477" spans="6:10" x14ac:dyDescent="0.2">
      <c r="F477" s="106"/>
      <c r="G477" s="21"/>
      <c r="H477" s="21"/>
      <c r="I477" s="23"/>
      <c r="J477" s="21"/>
    </row>
    <row r="478" spans="6:10" x14ac:dyDescent="0.2">
      <c r="F478" s="106"/>
      <c r="G478" s="21"/>
      <c r="H478" s="21"/>
      <c r="I478" s="23"/>
      <c r="J478" s="21"/>
    </row>
    <row r="479" spans="6:10" x14ac:dyDescent="0.2">
      <c r="F479" s="106"/>
      <c r="G479" s="21"/>
      <c r="H479" s="21"/>
      <c r="I479" s="23"/>
      <c r="J479" s="21"/>
    </row>
    <row r="480" spans="6:10" x14ac:dyDescent="0.2">
      <c r="F480" s="106"/>
      <c r="G480" s="21"/>
      <c r="H480" s="21"/>
      <c r="I480" s="23"/>
      <c r="J480" s="21"/>
    </row>
    <row r="481" spans="7:10" x14ac:dyDescent="0.2">
      <c r="G481" s="21"/>
      <c r="H481" s="21"/>
      <c r="I481" s="23"/>
      <c r="J481" s="21"/>
    </row>
    <row r="482" spans="7:10" x14ac:dyDescent="0.2">
      <c r="G482" s="21"/>
      <c r="H482" s="21"/>
      <c r="I482" s="23"/>
      <c r="J482" s="21"/>
    </row>
    <row r="483" spans="7:10" x14ac:dyDescent="0.2">
      <c r="G483" s="21"/>
      <c r="H483" s="21"/>
      <c r="I483" s="23"/>
      <c r="J483" s="21"/>
    </row>
    <row r="484" spans="7:10" x14ac:dyDescent="0.2">
      <c r="G484" s="21"/>
      <c r="H484" s="21"/>
      <c r="I484" s="23"/>
      <c r="J484" s="21"/>
    </row>
    <row r="485" spans="7:10" x14ac:dyDescent="0.2">
      <c r="G485" s="21"/>
      <c r="H485" s="21"/>
      <c r="I485" s="23"/>
      <c r="J485" s="21"/>
    </row>
    <row r="486" spans="7:10" x14ac:dyDescent="0.2">
      <c r="G486" s="21"/>
      <c r="H486" s="21"/>
      <c r="I486" s="23"/>
      <c r="J486" s="21"/>
    </row>
    <row r="487" spans="7:10" x14ac:dyDescent="0.2">
      <c r="G487" s="21"/>
      <c r="H487" s="21"/>
      <c r="I487" s="23"/>
      <c r="J487" s="21"/>
    </row>
    <row r="488" spans="7:10" x14ac:dyDescent="0.2">
      <c r="G488" s="21"/>
      <c r="H488" s="21"/>
      <c r="I488" s="23"/>
      <c r="J488" s="21"/>
    </row>
    <row r="489" spans="7:10" x14ac:dyDescent="0.2">
      <c r="G489" s="21"/>
      <c r="H489" s="21"/>
      <c r="I489" s="23"/>
      <c r="J489" s="21"/>
    </row>
    <row r="490" spans="7:10" x14ac:dyDescent="0.2">
      <c r="G490" s="21"/>
      <c r="H490" s="21"/>
      <c r="I490" s="23"/>
      <c r="J490" s="21"/>
    </row>
    <row r="491" spans="7:10" x14ac:dyDescent="0.2">
      <c r="G491" s="21"/>
      <c r="H491" s="21"/>
      <c r="I491" s="23"/>
      <c r="J491" s="21"/>
    </row>
    <row r="492" spans="7:10" x14ac:dyDescent="0.2">
      <c r="G492" s="21"/>
      <c r="H492" s="21"/>
      <c r="I492" s="23"/>
      <c r="J492" s="21"/>
    </row>
    <row r="493" spans="7:10" x14ac:dyDescent="0.2">
      <c r="G493" s="21"/>
      <c r="H493" s="21"/>
      <c r="I493" s="23"/>
      <c r="J493" s="21"/>
    </row>
    <row r="494" spans="7:10" x14ac:dyDescent="0.2">
      <c r="G494" s="21"/>
      <c r="H494" s="21"/>
      <c r="I494" s="23"/>
      <c r="J494" s="21"/>
    </row>
    <row r="495" spans="7:10" x14ac:dyDescent="0.2">
      <c r="G495" s="21"/>
      <c r="H495" s="21"/>
      <c r="I495" s="23"/>
      <c r="J495" s="21"/>
    </row>
    <row r="496" spans="7:10" x14ac:dyDescent="0.2">
      <c r="G496" s="21"/>
      <c r="H496" s="21"/>
      <c r="I496" s="23"/>
      <c r="J496" s="21"/>
    </row>
    <row r="497" spans="7:10" x14ac:dyDescent="0.2">
      <c r="G497" s="21"/>
      <c r="H497" s="21"/>
      <c r="I497" s="23"/>
      <c r="J497" s="21"/>
    </row>
    <row r="498" spans="7:10" x14ac:dyDescent="0.2">
      <c r="G498" s="21"/>
      <c r="H498" s="21"/>
      <c r="I498" s="23"/>
      <c r="J498" s="21"/>
    </row>
    <row r="499" spans="7:10" x14ac:dyDescent="0.2">
      <c r="G499" s="21"/>
      <c r="H499" s="21"/>
      <c r="I499" s="23"/>
      <c r="J499" s="21"/>
    </row>
    <row r="500" spans="7:10" x14ac:dyDescent="0.2">
      <c r="G500" s="21"/>
      <c r="H500" s="21"/>
      <c r="I500" s="23"/>
      <c r="J500" s="21"/>
    </row>
    <row r="501" spans="7:10" x14ac:dyDescent="0.2">
      <c r="G501" s="21"/>
      <c r="H501" s="21"/>
      <c r="I501" s="23"/>
      <c r="J501" s="21"/>
    </row>
    <row r="502" spans="7:10" x14ac:dyDescent="0.2">
      <c r="G502" s="21"/>
      <c r="H502" s="21"/>
      <c r="I502" s="23"/>
      <c r="J502" s="21"/>
    </row>
    <row r="503" spans="7:10" x14ac:dyDescent="0.2">
      <c r="G503" s="21"/>
      <c r="H503" s="21"/>
      <c r="I503" s="23"/>
      <c r="J503" s="21"/>
    </row>
    <row r="504" spans="7:10" x14ac:dyDescent="0.2">
      <c r="G504" s="21"/>
      <c r="H504" s="21"/>
      <c r="I504" s="23"/>
      <c r="J504" s="21"/>
    </row>
    <row r="505" spans="7:10" x14ac:dyDescent="0.2">
      <c r="G505" s="21"/>
      <c r="H505" s="21"/>
      <c r="I505" s="23"/>
      <c r="J505" s="21"/>
    </row>
    <row r="506" spans="7:10" x14ac:dyDescent="0.2">
      <c r="G506" s="21"/>
      <c r="H506" s="21"/>
      <c r="I506" s="23"/>
      <c r="J506" s="21"/>
    </row>
    <row r="507" spans="7:10" x14ac:dyDescent="0.2">
      <c r="G507" s="21"/>
      <c r="H507" s="21"/>
      <c r="I507" s="23"/>
      <c r="J507" s="21"/>
    </row>
    <row r="508" spans="7:10" x14ac:dyDescent="0.2">
      <c r="G508" s="21"/>
      <c r="H508" s="21"/>
      <c r="I508" s="23"/>
      <c r="J508" s="21"/>
    </row>
    <row r="509" spans="7:10" x14ac:dyDescent="0.2">
      <c r="G509" s="21"/>
      <c r="H509" s="21"/>
      <c r="I509" s="23"/>
      <c r="J509" s="21"/>
    </row>
    <row r="510" spans="7:10" x14ac:dyDescent="0.2">
      <c r="G510" s="21"/>
      <c r="H510" s="21"/>
      <c r="I510" s="23"/>
      <c r="J510" s="21"/>
    </row>
    <row r="511" spans="7:10" x14ac:dyDescent="0.2">
      <c r="G511" s="21"/>
      <c r="H511" s="21"/>
      <c r="I511" s="23"/>
      <c r="J511" s="21"/>
    </row>
    <row r="512" spans="7:10" x14ac:dyDescent="0.2">
      <c r="G512" s="21"/>
      <c r="H512" s="21"/>
      <c r="I512" s="23"/>
      <c r="J512" s="21"/>
    </row>
    <row r="513" spans="7:10" x14ac:dyDescent="0.2">
      <c r="G513" s="21"/>
      <c r="H513" s="21"/>
      <c r="I513" s="23"/>
      <c r="J513" s="21"/>
    </row>
    <row r="514" spans="7:10" x14ac:dyDescent="0.2">
      <c r="G514" s="21"/>
      <c r="H514" s="21"/>
      <c r="I514" s="23"/>
      <c r="J514" s="21"/>
    </row>
    <row r="515" spans="7:10" x14ac:dyDescent="0.2">
      <c r="G515" s="21"/>
      <c r="H515" s="21"/>
      <c r="I515" s="23"/>
      <c r="J515" s="21"/>
    </row>
    <row r="516" spans="7:10" x14ac:dyDescent="0.2">
      <c r="G516" s="21"/>
      <c r="H516" s="21"/>
      <c r="I516" s="23"/>
      <c r="J516" s="21"/>
    </row>
    <row r="517" spans="7:10" x14ac:dyDescent="0.2">
      <c r="G517" s="21"/>
      <c r="H517" s="21"/>
      <c r="I517" s="23"/>
      <c r="J517" s="21"/>
    </row>
    <row r="518" spans="7:10" x14ac:dyDescent="0.2">
      <c r="G518" s="21"/>
      <c r="H518" s="21"/>
      <c r="I518" s="23"/>
      <c r="J518" s="21"/>
    </row>
    <row r="519" spans="7:10" x14ac:dyDescent="0.2">
      <c r="G519" s="21"/>
      <c r="H519" s="21"/>
      <c r="I519" s="23"/>
      <c r="J519" s="21"/>
    </row>
    <row r="520" spans="7:10" x14ac:dyDescent="0.2">
      <c r="G520" s="21"/>
      <c r="H520" s="21"/>
      <c r="I520" s="23"/>
      <c r="J520" s="21"/>
    </row>
    <row r="521" spans="7:10" x14ac:dyDescent="0.2">
      <c r="G521" s="21"/>
      <c r="H521" s="21"/>
      <c r="I521" s="23"/>
      <c r="J521" s="21"/>
    </row>
    <row r="522" spans="7:10" x14ac:dyDescent="0.2">
      <c r="G522" s="21"/>
      <c r="H522" s="21"/>
      <c r="I522" s="23"/>
      <c r="J522" s="21"/>
    </row>
    <row r="523" spans="7:10" x14ac:dyDescent="0.2">
      <c r="G523" s="21"/>
      <c r="H523" s="21"/>
      <c r="I523" s="23"/>
      <c r="J523" s="21"/>
    </row>
    <row r="524" spans="7:10" x14ac:dyDescent="0.2">
      <c r="G524" s="21"/>
      <c r="H524" s="21"/>
      <c r="I524" s="23"/>
      <c r="J524" s="21"/>
    </row>
    <row r="525" spans="7:10" x14ac:dyDescent="0.2">
      <c r="G525" s="21"/>
      <c r="H525" s="21"/>
      <c r="I525" s="23"/>
      <c r="J525" s="21"/>
    </row>
    <row r="526" spans="7:10" x14ac:dyDescent="0.2">
      <c r="G526" s="21"/>
      <c r="H526" s="21"/>
      <c r="I526" s="23"/>
      <c r="J526" s="21"/>
    </row>
    <row r="527" spans="7:10" x14ac:dyDescent="0.2">
      <c r="G527" s="21"/>
      <c r="H527" s="21"/>
      <c r="I527" s="23"/>
      <c r="J527" s="21"/>
    </row>
    <row r="528" spans="7:10" x14ac:dyDescent="0.2">
      <c r="G528" s="21"/>
      <c r="H528" s="21"/>
      <c r="I528" s="23"/>
      <c r="J528" s="21"/>
    </row>
    <row r="529" spans="7:10" x14ac:dyDescent="0.2">
      <c r="G529" s="21"/>
      <c r="H529" s="21"/>
      <c r="I529" s="23"/>
      <c r="J529" s="21"/>
    </row>
    <row r="530" spans="7:10" x14ac:dyDescent="0.2">
      <c r="G530" s="21"/>
      <c r="H530" s="21"/>
      <c r="I530" s="23"/>
      <c r="J530" s="21"/>
    </row>
    <row r="531" spans="7:10" x14ac:dyDescent="0.2">
      <c r="G531" s="21"/>
      <c r="H531" s="21"/>
      <c r="I531" s="23"/>
      <c r="J531" s="21"/>
    </row>
    <row r="532" spans="7:10" x14ac:dyDescent="0.2">
      <c r="G532" s="21"/>
      <c r="H532" s="21"/>
      <c r="I532" s="23"/>
      <c r="J532" s="21"/>
    </row>
    <row r="533" spans="7:10" x14ac:dyDescent="0.2">
      <c r="G533" s="21"/>
      <c r="H533" s="21"/>
      <c r="I533" s="23"/>
      <c r="J533" s="21"/>
    </row>
    <row r="534" spans="7:10" x14ac:dyDescent="0.2">
      <c r="G534" s="21"/>
      <c r="H534" s="21"/>
      <c r="I534" s="23"/>
      <c r="J534" s="21"/>
    </row>
    <row r="535" spans="7:10" x14ac:dyDescent="0.2">
      <c r="G535" s="21"/>
      <c r="H535" s="21"/>
      <c r="I535" s="23"/>
      <c r="J535" s="21"/>
    </row>
    <row r="536" spans="7:10" x14ac:dyDescent="0.2">
      <c r="G536" s="21"/>
      <c r="H536" s="21"/>
      <c r="I536" s="23"/>
      <c r="J536" s="21"/>
    </row>
    <row r="537" spans="7:10" x14ac:dyDescent="0.2">
      <c r="G537" s="21"/>
      <c r="H537" s="21"/>
      <c r="I537" s="23"/>
      <c r="J537" s="21"/>
    </row>
    <row r="538" spans="7:10" x14ac:dyDescent="0.2">
      <c r="G538" s="21"/>
      <c r="H538" s="21"/>
      <c r="I538" s="23"/>
      <c r="J538" s="21"/>
    </row>
    <row r="539" spans="7:10" x14ac:dyDescent="0.2">
      <c r="G539" s="21"/>
      <c r="H539" s="21"/>
      <c r="I539" s="23"/>
      <c r="J539" s="21"/>
    </row>
    <row r="540" spans="7:10" x14ac:dyDescent="0.2">
      <c r="G540" s="21"/>
      <c r="H540" s="21"/>
      <c r="I540" s="23"/>
      <c r="J540" s="21"/>
    </row>
    <row r="541" spans="7:10" x14ac:dyDescent="0.2">
      <c r="G541" s="21"/>
      <c r="H541" s="21"/>
      <c r="I541" s="23"/>
      <c r="J541" s="21"/>
    </row>
    <row r="542" spans="7:10" x14ac:dyDescent="0.2">
      <c r="G542" s="21"/>
      <c r="H542" s="21"/>
      <c r="I542" s="23"/>
      <c r="J542" s="21"/>
    </row>
    <row r="543" spans="7:10" x14ac:dyDescent="0.2">
      <c r="G543" s="21"/>
      <c r="H543" s="21"/>
      <c r="I543" s="23"/>
      <c r="J543" s="21"/>
    </row>
    <row r="544" spans="7:10" x14ac:dyDescent="0.2">
      <c r="G544" s="21"/>
      <c r="H544" s="21"/>
      <c r="I544" s="23"/>
      <c r="J544" s="21"/>
    </row>
    <row r="545" spans="7:10" x14ac:dyDescent="0.2">
      <c r="G545" s="21"/>
      <c r="H545" s="21"/>
      <c r="I545" s="23"/>
      <c r="J545" s="21"/>
    </row>
    <row r="546" spans="7:10" x14ac:dyDescent="0.2">
      <c r="G546" s="21"/>
      <c r="H546" s="21"/>
      <c r="I546" s="23"/>
      <c r="J546" s="21"/>
    </row>
    <row r="547" spans="7:10" x14ac:dyDescent="0.2">
      <c r="G547" s="21"/>
      <c r="H547" s="21"/>
      <c r="I547" s="23"/>
      <c r="J547" s="21"/>
    </row>
    <row r="548" spans="7:10" x14ac:dyDescent="0.2">
      <c r="G548" s="21"/>
      <c r="H548" s="21"/>
      <c r="I548" s="23"/>
      <c r="J548" s="21"/>
    </row>
    <row r="549" spans="7:10" x14ac:dyDescent="0.2">
      <c r="G549" s="21"/>
      <c r="H549" s="21"/>
      <c r="I549" s="23"/>
      <c r="J549" s="21"/>
    </row>
    <row r="550" spans="7:10" x14ac:dyDescent="0.2">
      <c r="G550" s="21"/>
      <c r="H550" s="21"/>
      <c r="I550" s="23"/>
      <c r="J550" s="21"/>
    </row>
    <row r="551" spans="7:10" x14ac:dyDescent="0.2">
      <c r="G551" s="21"/>
      <c r="H551" s="21"/>
      <c r="I551" s="23"/>
      <c r="J551" s="21"/>
    </row>
    <row r="552" spans="7:10" x14ac:dyDescent="0.2">
      <c r="G552" s="21"/>
      <c r="H552" s="21"/>
      <c r="I552" s="23"/>
      <c r="J552" s="21"/>
    </row>
    <row r="553" spans="7:10" x14ac:dyDescent="0.2">
      <c r="G553" s="21"/>
      <c r="H553" s="21"/>
      <c r="I553" s="23"/>
      <c r="J553" s="21"/>
    </row>
    <row r="554" spans="7:10" x14ac:dyDescent="0.2">
      <c r="G554" s="21"/>
      <c r="H554" s="21"/>
      <c r="I554" s="23"/>
      <c r="J554" s="21"/>
    </row>
    <row r="555" spans="7:10" x14ac:dyDescent="0.2">
      <c r="G555" s="21"/>
      <c r="H555" s="21"/>
      <c r="I555" s="23"/>
      <c r="J555" s="21"/>
    </row>
    <row r="556" spans="7:10" x14ac:dyDescent="0.2">
      <c r="G556" s="21"/>
      <c r="H556" s="21"/>
      <c r="I556" s="23"/>
      <c r="J556" s="21"/>
    </row>
    <row r="557" spans="7:10" x14ac:dyDescent="0.2">
      <c r="G557" s="21"/>
      <c r="H557" s="21"/>
      <c r="I557" s="23"/>
      <c r="J557" s="21"/>
    </row>
    <row r="558" spans="7:10" x14ac:dyDescent="0.2">
      <c r="G558" s="21"/>
      <c r="H558" s="21"/>
      <c r="I558" s="23"/>
      <c r="J558" s="21"/>
    </row>
    <row r="559" spans="7:10" x14ac:dyDescent="0.2">
      <c r="G559" s="21"/>
      <c r="H559" s="21"/>
      <c r="I559" s="23"/>
      <c r="J559" s="21"/>
    </row>
    <row r="560" spans="7:10" x14ac:dyDescent="0.2">
      <c r="G560" s="21"/>
      <c r="H560" s="21"/>
      <c r="I560" s="23"/>
      <c r="J560" s="21"/>
    </row>
    <row r="561" spans="7:10" x14ac:dyDescent="0.2">
      <c r="G561" s="21"/>
      <c r="H561" s="21"/>
      <c r="I561" s="23"/>
      <c r="J561" s="21"/>
    </row>
    <row r="562" spans="7:10" x14ac:dyDescent="0.2">
      <c r="G562" s="21"/>
      <c r="H562" s="21"/>
      <c r="I562" s="23"/>
      <c r="J562" s="21"/>
    </row>
    <row r="563" spans="7:10" x14ac:dyDescent="0.2">
      <c r="G563" s="21"/>
      <c r="H563" s="21"/>
      <c r="I563" s="23"/>
      <c r="J563" s="21"/>
    </row>
    <row r="564" spans="7:10" x14ac:dyDescent="0.2">
      <c r="G564" s="21"/>
      <c r="H564" s="21"/>
      <c r="I564" s="23"/>
      <c r="J564" s="21"/>
    </row>
    <row r="565" spans="7:10" x14ac:dyDescent="0.2">
      <c r="G565" s="21"/>
      <c r="H565" s="21"/>
      <c r="I565" s="23"/>
      <c r="J565" s="21"/>
    </row>
    <row r="566" spans="7:10" x14ac:dyDescent="0.2">
      <c r="G566" s="21"/>
      <c r="H566" s="21"/>
      <c r="I566" s="23"/>
      <c r="J566" s="21"/>
    </row>
    <row r="567" spans="7:10" x14ac:dyDescent="0.2">
      <c r="G567" s="21"/>
      <c r="H567" s="21"/>
      <c r="I567" s="23"/>
      <c r="J567" s="21"/>
    </row>
    <row r="568" spans="7:10" x14ac:dyDescent="0.2">
      <c r="G568" s="21"/>
      <c r="H568" s="21"/>
      <c r="I568" s="23"/>
      <c r="J568" s="21"/>
    </row>
    <row r="569" spans="7:10" x14ac:dyDescent="0.2">
      <c r="G569" s="21"/>
      <c r="H569" s="21"/>
      <c r="I569" s="23"/>
      <c r="J569" s="21"/>
    </row>
    <row r="570" spans="7:10" x14ac:dyDescent="0.2">
      <c r="G570" s="21"/>
      <c r="H570" s="21"/>
      <c r="I570" s="23"/>
      <c r="J570" s="21"/>
    </row>
    <row r="571" spans="7:10" x14ac:dyDescent="0.2">
      <c r="G571" s="21"/>
      <c r="H571" s="21"/>
      <c r="I571" s="23"/>
      <c r="J571" s="21"/>
    </row>
    <row r="572" spans="7:10" x14ac:dyDescent="0.2">
      <c r="G572" s="21"/>
      <c r="H572" s="21"/>
      <c r="I572" s="23"/>
      <c r="J572" s="21"/>
    </row>
    <row r="573" spans="7:10" x14ac:dyDescent="0.2">
      <c r="G573" s="21"/>
      <c r="H573" s="21"/>
      <c r="I573" s="23"/>
      <c r="J573" s="21"/>
    </row>
    <row r="574" spans="7:10" x14ac:dyDescent="0.2">
      <c r="G574" s="21"/>
      <c r="H574" s="21"/>
      <c r="I574" s="23"/>
      <c r="J574" s="21"/>
    </row>
    <row r="575" spans="7:10" x14ac:dyDescent="0.2">
      <c r="G575" s="21"/>
      <c r="H575" s="21"/>
      <c r="I575" s="23"/>
      <c r="J575" s="21"/>
    </row>
    <row r="576" spans="7:10" x14ac:dyDescent="0.2">
      <c r="G576" s="21"/>
      <c r="H576" s="21"/>
      <c r="I576" s="23"/>
      <c r="J576" s="21"/>
    </row>
    <row r="577" spans="7:10" x14ac:dyDescent="0.2">
      <c r="G577" s="21"/>
      <c r="H577" s="21"/>
      <c r="I577" s="23"/>
      <c r="J577" s="21"/>
    </row>
    <row r="578" spans="7:10" x14ac:dyDescent="0.2">
      <c r="G578" s="21"/>
      <c r="H578" s="21"/>
      <c r="I578" s="23"/>
      <c r="J578" s="21"/>
    </row>
    <row r="579" spans="7:10" x14ac:dyDescent="0.2">
      <c r="G579" s="21"/>
      <c r="H579" s="21"/>
      <c r="I579" s="23"/>
      <c r="J579" s="21"/>
    </row>
    <row r="580" spans="7:10" x14ac:dyDescent="0.2">
      <c r="G580" s="21"/>
      <c r="H580" s="21"/>
      <c r="I580" s="23"/>
      <c r="J580" s="21"/>
    </row>
    <row r="581" spans="7:10" x14ac:dyDescent="0.2">
      <c r="G581" s="21"/>
      <c r="H581" s="21"/>
      <c r="I581" s="23"/>
      <c r="J581" s="21"/>
    </row>
    <row r="582" spans="7:10" x14ac:dyDescent="0.2">
      <c r="G582" s="21"/>
      <c r="H582" s="21"/>
      <c r="I582" s="23"/>
      <c r="J582" s="21"/>
    </row>
    <row r="583" spans="7:10" x14ac:dyDescent="0.2">
      <c r="G583" s="21"/>
      <c r="H583" s="21"/>
      <c r="I583" s="23"/>
      <c r="J583" s="21"/>
    </row>
    <row r="584" spans="7:10" x14ac:dyDescent="0.2">
      <c r="G584" s="21"/>
      <c r="H584" s="21"/>
      <c r="I584" s="23"/>
      <c r="J584" s="21"/>
    </row>
    <row r="585" spans="7:10" x14ac:dyDescent="0.2">
      <c r="G585" s="21"/>
      <c r="H585" s="21"/>
      <c r="I585" s="23"/>
      <c r="J585" s="21"/>
    </row>
    <row r="586" spans="7:10" x14ac:dyDescent="0.2">
      <c r="G586" s="21"/>
      <c r="H586" s="21"/>
      <c r="I586" s="23"/>
      <c r="J586" s="21"/>
    </row>
    <row r="587" spans="7:10" x14ac:dyDescent="0.2">
      <c r="G587" s="21"/>
      <c r="H587" s="21"/>
      <c r="I587" s="23"/>
      <c r="J587" s="21"/>
    </row>
    <row r="588" spans="7:10" x14ac:dyDescent="0.2">
      <c r="G588" s="21"/>
      <c r="H588" s="21"/>
      <c r="I588" s="23"/>
      <c r="J588" s="21"/>
    </row>
    <row r="589" spans="7:10" x14ac:dyDescent="0.2">
      <c r="G589" s="21"/>
      <c r="H589" s="21"/>
      <c r="I589" s="23"/>
      <c r="J589" s="21"/>
    </row>
    <row r="590" spans="7:10" x14ac:dyDescent="0.2">
      <c r="G590" s="21"/>
      <c r="H590" s="21"/>
      <c r="I590" s="23"/>
      <c r="J590" s="21"/>
    </row>
    <row r="591" spans="7:10" x14ac:dyDescent="0.2">
      <c r="G591" s="21"/>
      <c r="H591" s="21"/>
      <c r="I591" s="23"/>
      <c r="J591" s="21"/>
    </row>
    <row r="592" spans="7:10" x14ac:dyDescent="0.2">
      <c r="G592" s="21"/>
      <c r="H592" s="21"/>
      <c r="I592" s="23"/>
      <c r="J592" s="21"/>
    </row>
    <row r="593" spans="7:10" x14ac:dyDescent="0.2">
      <c r="G593" s="21"/>
      <c r="H593" s="21"/>
      <c r="I593" s="23"/>
      <c r="J593" s="21"/>
    </row>
    <row r="594" spans="7:10" x14ac:dyDescent="0.2">
      <c r="G594" s="21"/>
      <c r="H594" s="21"/>
      <c r="I594" s="23"/>
      <c r="J594" s="21"/>
    </row>
    <row r="595" spans="7:10" x14ac:dyDescent="0.2">
      <c r="G595" s="21"/>
      <c r="H595" s="21"/>
      <c r="I595" s="23"/>
      <c r="J595" s="21"/>
    </row>
    <row r="596" spans="7:10" x14ac:dyDescent="0.2">
      <c r="G596" s="21"/>
      <c r="H596" s="21"/>
      <c r="I596" s="23"/>
      <c r="J596" s="21"/>
    </row>
    <row r="597" spans="7:10" x14ac:dyDescent="0.2">
      <c r="G597" s="21"/>
      <c r="H597" s="21"/>
      <c r="I597" s="23"/>
      <c r="J597" s="21"/>
    </row>
    <row r="598" spans="7:10" x14ac:dyDescent="0.2">
      <c r="G598" s="21"/>
      <c r="H598" s="21"/>
      <c r="I598" s="23"/>
      <c r="J598" s="21"/>
    </row>
    <row r="599" spans="7:10" x14ac:dyDescent="0.2">
      <c r="G599" s="21"/>
      <c r="H599" s="21"/>
      <c r="I599" s="23"/>
      <c r="J599" s="21"/>
    </row>
    <row r="600" spans="7:10" x14ac:dyDescent="0.2">
      <c r="G600" s="21"/>
      <c r="H600" s="21"/>
      <c r="I600" s="23"/>
      <c r="J600" s="21"/>
    </row>
    <row r="601" spans="7:10" x14ac:dyDescent="0.2">
      <c r="G601" s="21"/>
      <c r="H601" s="21"/>
      <c r="I601" s="23"/>
      <c r="J601" s="21"/>
    </row>
    <row r="602" spans="7:10" x14ac:dyDescent="0.2">
      <c r="G602" s="21"/>
      <c r="H602" s="21"/>
      <c r="I602" s="23"/>
      <c r="J602" s="21"/>
    </row>
    <row r="603" spans="7:10" x14ac:dyDescent="0.2">
      <c r="G603" s="21"/>
      <c r="H603" s="21"/>
      <c r="I603" s="23"/>
      <c r="J603" s="21"/>
    </row>
    <row r="604" spans="7:10" x14ac:dyDescent="0.2">
      <c r="G604" s="21"/>
      <c r="H604" s="21"/>
      <c r="I604" s="23"/>
      <c r="J604" s="21"/>
    </row>
    <row r="605" spans="7:10" x14ac:dyDescent="0.2">
      <c r="G605" s="21"/>
      <c r="H605" s="21"/>
      <c r="I605" s="23"/>
      <c r="J605" s="21"/>
    </row>
    <row r="606" spans="7:10" x14ac:dyDescent="0.2">
      <c r="G606" s="21"/>
      <c r="H606" s="21"/>
      <c r="I606" s="23"/>
      <c r="J606" s="21"/>
    </row>
    <row r="607" spans="7:10" x14ac:dyDescent="0.2">
      <c r="G607" s="21"/>
      <c r="H607" s="21"/>
      <c r="I607" s="23"/>
      <c r="J607" s="21"/>
    </row>
    <row r="608" spans="7:10" x14ac:dyDescent="0.2">
      <c r="G608" s="21"/>
      <c r="H608" s="21"/>
      <c r="I608" s="23"/>
      <c r="J608" s="21"/>
    </row>
    <row r="609" spans="7:10" x14ac:dyDescent="0.2">
      <c r="G609" s="21"/>
      <c r="H609" s="21"/>
      <c r="I609" s="23"/>
      <c r="J609" s="21"/>
    </row>
    <row r="610" spans="7:10" x14ac:dyDescent="0.2">
      <c r="G610" s="21"/>
      <c r="H610" s="21"/>
      <c r="I610" s="23"/>
      <c r="J610" s="21"/>
    </row>
    <row r="611" spans="7:10" x14ac:dyDescent="0.2">
      <c r="G611" s="21"/>
      <c r="H611" s="21"/>
      <c r="I611" s="23"/>
      <c r="J611" s="21"/>
    </row>
    <row r="612" spans="7:10" x14ac:dyDescent="0.2">
      <c r="G612" s="21"/>
      <c r="H612" s="21"/>
      <c r="I612" s="23"/>
      <c r="J612" s="21"/>
    </row>
    <row r="613" spans="7:10" x14ac:dyDescent="0.2">
      <c r="G613" s="21"/>
      <c r="H613" s="21"/>
      <c r="I613" s="23"/>
      <c r="J613" s="21"/>
    </row>
    <row r="614" spans="7:10" x14ac:dyDescent="0.2">
      <c r="G614" s="21"/>
      <c r="H614" s="21"/>
      <c r="I614" s="23"/>
      <c r="J614" s="21"/>
    </row>
    <row r="615" spans="7:10" x14ac:dyDescent="0.2">
      <c r="G615" s="21"/>
      <c r="H615" s="21"/>
      <c r="I615" s="23"/>
      <c r="J615" s="21"/>
    </row>
    <row r="616" spans="7:10" x14ac:dyDescent="0.2">
      <c r="G616" s="21"/>
      <c r="H616" s="21"/>
      <c r="I616" s="23"/>
      <c r="J616" s="21"/>
    </row>
    <row r="617" spans="7:10" x14ac:dyDescent="0.2">
      <c r="G617" s="21"/>
      <c r="H617" s="21"/>
      <c r="I617" s="23"/>
      <c r="J617" s="21"/>
    </row>
    <row r="618" spans="7:10" x14ac:dyDescent="0.2">
      <c r="G618" s="21"/>
      <c r="H618" s="21"/>
      <c r="I618" s="23"/>
      <c r="J618" s="21"/>
    </row>
    <row r="619" spans="7:10" x14ac:dyDescent="0.2">
      <c r="G619" s="21"/>
      <c r="H619" s="21"/>
      <c r="I619" s="23"/>
      <c r="J619" s="21"/>
    </row>
    <row r="620" spans="7:10" x14ac:dyDescent="0.2">
      <c r="G620" s="21"/>
      <c r="H620" s="21"/>
      <c r="I620" s="23"/>
      <c r="J620" s="21"/>
    </row>
    <row r="621" spans="7:10" x14ac:dyDescent="0.2">
      <c r="G621" s="21"/>
      <c r="H621" s="21"/>
      <c r="I621" s="23"/>
      <c r="J621" s="21"/>
    </row>
    <row r="622" spans="7:10" x14ac:dyDescent="0.2">
      <c r="G622" s="21"/>
      <c r="H622" s="21"/>
      <c r="I622" s="23"/>
      <c r="J622" s="21"/>
    </row>
    <row r="623" spans="7:10" x14ac:dyDescent="0.2">
      <c r="G623" s="21"/>
      <c r="H623" s="21"/>
      <c r="I623" s="23"/>
      <c r="J623" s="21"/>
    </row>
    <row r="624" spans="7:10" x14ac:dyDescent="0.2">
      <c r="G624" s="21"/>
      <c r="H624" s="21"/>
      <c r="I624" s="23"/>
      <c r="J624" s="21"/>
    </row>
    <row r="625" spans="7:10" x14ac:dyDescent="0.2">
      <c r="G625" s="21"/>
      <c r="H625" s="21"/>
      <c r="I625" s="23"/>
      <c r="J625" s="21"/>
    </row>
    <row r="626" spans="7:10" x14ac:dyDescent="0.2">
      <c r="G626" s="21"/>
      <c r="H626" s="21"/>
      <c r="I626" s="23"/>
      <c r="J626" s="21"/>
    </row>
    <row r="627" spans="7:10" x14ac:dyDescent="0.2">
      <c r="G627" s="21"/>
      <c r="H627" s="21"/>
      <c r="I627" s="23"/>
      <c r="J627" s="21"/>
    </row>
    <row r="628" spans="7:10" x14ac:dyDescent="0.2">
      <c r="G628" s="21"/>
      <c r="H628" s="21"/>
      <c r="I628" s="23"/>
      <c r="J628" s="21"/>
    </row>
    <row r="629" spans="7:10" x14ac:dyDescent="0.2">
      <c r="G629" s="21"/>
      <c r="H629" s="21"/>
      <c r="I629" s="23"/>
      <c r="J629" s="21"/>
    </row>
    <row r="630" spans="7:10" x14ac:dyDescent="0.2">
      <c r="G630" s="21"/>
      <c r="H630" s="21"/>
      <c r="I630" s="23"/>
      <c r="J630" s="21"/>
    </row>
    <row r="631" spans="7:10" x14ac:dyDescent="0.2">
      <c r="G631" s="21"/>
      <c r="H631" s="21"/>
      <c r="I631" s="23"/>
      <c r="J631" s="21"/>
    </row>
    <row r="632" spans="7:10" x14ac:dyDescent="0.2">
      <c r="G632" s="21"/>
      <c r="H632" s="21"/>
      <c r="I632" s="23"/>
      <c r="J632" s="21"/>
    </row>
    <row r="633" spans="7:10" x14ac:dyDescent="0.2">
      <c r="G633" s="21"/>
      <c r="H633" s="21"/>
      <c r="I633" s="23"/>
      <c r="J633" s="21"/>
    </row>
    <row r="634" spans="7:10" x14ac:dyDescent="0.2">
      <c r="G634" s="21"/>
      <c r="H634" s="21"/>
      <c r="I634" s="23"/>
      <c r="J634" s="21"/>
    </row>
    <row r="635" spans="7:10" x14ac:dyDescent="0.2">
      <c r="G635" s="21"/>
      <c r="H635" s="21"/>
      <c r="I635" s="23"/>
      <c r="J635" s="21"/>
    </row>
    <row r="636" spans="7:10" x14ac:dyDescent="0.2">
      <c r="G636" s="21"/>
      <c r="H636" s="21"/>
      <c r="I636" s="23"/>
      <c r="J636" s="21"/>
    </row>
    <row r="637" spans="7:10" x14ac:dyDescent="0.2">
      <c r="G637" s="21"/>
      <c r="H637" s="21"/>
      <c r="I637" s="23"/>
      <c r="J637" s="21"/>
    </row>
    <row r="638" spans="7:10" x14ac:dyDescent="0.2">
      <c r="G638" s="21"/>
      <c r="H638" s="21"/>
      <c r="I638" s="23"/>
      <c r="J638" s="21"/>
    </row>
    <row r="639" spans="7:10" x14ac:dyDescent="0.2">
      <c r="G639" s="21"/>
      <c r="H639" s="21"/>
      <c r="I639" s="23"/>
      <c r="J639" s="21"/>
    </row>
    <row r="640" spans="7:10" x14ac:dyDescent="0.2">
      <c r="G640" s="21"/>
      <c r="H640" s="21"/>
      <c r="I640" s="23"/>
      <c r="J640" s="21"/>
    </row>
    <row r="641" spans="7:10" x14ac:dyDescent="0.2">
      <c r="G641" s="21"/>
      <c r="H641" s="21"/>
      <c r="I641" s="23"/>
      <c r="J641" s="21"/>
    </row>
    <row r="642" spans="7:10" x14ac:dyDescent="0.2">
      <c r="G642" s="21"/>
      <c r="H642" s="21"/>
      <c r="I642" s="23"/>
      <c r="J642" s="21"/>
    </row>
    <row r="643" spans="7:10" x14ac:dyDescent="0.2">
      <c r="G643" s="21"/>
      <c r="H643" s="21"/>
      <c r="I643" s="23"/>
      <c r="J643" s="21"/>
    </row>
    <row r="644" spans="7:10" x14ac:dyDescent="0.2">
      <c r="G644" s="21"/>
      <c r="H644" s="21"/>
      <c r="I644" s="23"/>
      <c r="J644" s="21"/>
    </row>
    <row r="645" spans="7:10" x14ac:dyDescent="0.2">
      <c r="G645" s="21"/>
      <c r="H645" s="21"/>
      <c r="I645" s="23"/>
      <c r="J645" s="21"/>
    </row>
    <row r="646" spans="7:10" x14ac:dyDescent="0.2">
      <c r="G646" s="21"/>
      <c r="H646" s="21"/>
      <c r="I646" s="23"/>
      <c r="J646" s="21"/>
    </row>
    <row r="647" spans="7:10" x14ac:dyDescent="0.2">
      <c r="G647" s="21"/>
      <c r="H647" s="21"/>
      <c r="I647" s="23"/>
      <c r="J647" s="21"/>
    </row>
    <row r="648" spans="7:10" x14ac:dyDescent="0.2">
      <c r="G648" s="21"/>
      <c r="H648" s="21"/>
      <c r="I648" s="23"/>
      <c r="J648" s="21"/>
    </row>
    <row r="649" spans="7:10" x14ac:dyDescent="0.2">
      <c r="G649" s="21"/>
      <c r="H649" s="21"/>
      <c r="I649" s="23"/>
      <c r="J649" s="21"/>
    </row>
    <row r="650" spans="7:10" x14ac:dyDescent="0.2">
      <c r="G650" s="21"/>
      <c r="H650" s="21"/>
      <c r="I650" s="23"/>
      <c r="J650" s="21"/>
    </row>
    <row r="651" spans="7:10" x14ac:dyDescent="0.2">
      <c r="G651" s="21"/>
      <c r="H651" s="21"/>
      <c r="I651" s="23"/>
      <c r="J651" s="21"/>
    </row>
    <row r="652" spans="7:10" x14ac:dyDescent="0.2">
      <c r="G652" s="21"/>
      <c r="H652" s="21"/>
      <c r="I652" s="23"/>
      <c r="J652" s="21"/>
    </row>
    <row r="653" spans="7:10" x14ac:dyDescent="0.2">
      <c r="G653" s="21"/>
      <c r="H653" s="21"/>
      <c r="I653" s="23"/>
      <c r="J653" s="21"/>
    </row>
    <row r="654" spans="7:10" x14ac:dyDescent="0.2">
      <c r="G654" s="21"/>
      <c r="H654" s="21"/>
      <c r="I654" s="23"/>
      <c r="J654" s="21"/>
    </row>
    <row r="655" spans="7:10" x14ac:dyDescent="0.2">
      <c r="G655" s="21"/>
      <c r="H655" s="21"/>
      <c r="I655" s="23"/>
      <c r="J655" s="21"/>
    </row>
    <row r="656" spans="7:10" x14ac:dyDescent="0.2">
      <c r="G656" s="21"/>
      <c r="H656" s="21"/>
      <c r="I656" s="23"/>
      <c r="J656" s="21"/>
    </row>
    <row r="657" spans="7:10" ht="12.75" customHeight="1" x14ac:dyDescent="0.2">
      <c r="G657" s="21"/>
      <c r="H657" s="21"/>
      <c r="I657" s="23"/>
      <c r="J657" s="21"/>
    </row>
  </sheetData>
  <sheetProtection algorithmName="SHA-512" hashValue="qyIFCA57Ri7xDq8h9br6BTPyIfEZ6Pvy7GZGr6TqdIAgA86aplxENkPMAjeeBzxjOriCRL9YO8VHUCjEF/OECw==" saltValue="rEh40eSk8elDv2qCr/nbMg==" spinCount="100000"/>
  <autoFilter ref="A1:J657" xr:uid="{00000000-0001-0000-0300-000000000000}"/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Actuación</vt:lpstr>
      <vt:lpstr>Maestro Materiales</vt:lpstr>
      <vt:lpstr>Baremos anteriores</vt:lpstr>
      <vt:lpstr>Baremos actuales</vt:lpstr>
      <vt:lpstr>Actuación!ALIAS</vt:lpstr>
      <vt:lpstr>Actuación!BAREMOS</vt:lpstr>
      <vt:lpstr>Actuación!CODIGOS</vt:lpstr>
      <vt:lpstr>Actuación!TIPO</vt:lpstr>
      <vt:lpstr>Actuación!Títulos_a_imprimir</vt:lpstr>
    </vt:vector>
  </TitlesOfParts>
  <Manager/>
  <Company>NEXTGAL, S.L.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parte de obra</dc:title>
  <dc:subject/>
  <dc:creator>Marino Pumar</dc:creator>
  <cp:keywords/>
  <dc:description>Plantilla para carga masiva del Parte de Obra en COLISEO</dc:description>
  <cp:lastModifiedBy>Dustin Vidarte</cp:lastModifiedBy>
  <cp:revision/>
  <dcterms:created xsi:type="dcterms:W3CDTF">2001-02-01T22:04:14Z</dcterms:created>
  <dcterms:modified xsi:type="dcterms:W3CDTF">2025-04-24T16:02:17Z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